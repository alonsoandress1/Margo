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00" windowHeight="7650" tabRatio="600" firstSheet="0" activeTab="7" autoFilterDateGrouping="1"/>
  </bookViews>
  <sheets>
    <sheet name="S1 Lunes" sheetId="1" state="visible" r:id="rId1"/>
    <sheet name="S1 Martes" sheetId="2" state="visible" r:id="rId2"/>
    <sheet name="S1 Miércoles" sheetId="3" state="visible" r:id="rId3"/>
    <sheet name="S1 Jueves" sheetId="4" state="visible" r:id="rId4"/>
    <sheet name="S1 Viernes" sheetId="5" state="visible" r:id="rId5"/>
    <sheet name="S1 Sábado" sheetId="6" state="visible" r:id="rId6"/>
    <sheet name="S1 Domingo" sheetId="7" state="visible" r:id="rId7"/>
    <sheet name="MERMAS S1" sheetId="8" state="visible" r:id="rId8"/>
  </sheets>
  <definedNames/>
  <calcPr calcId="145621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"/>
    <numFmt numFmtId="166" formatCode="_ &quot;$&quot;* #,##0_ ;_ &quot;$&quot;* \-#,##0_ ;_ &quot;$&quot;* &quot;-&quot;_ ;_ @_ "/>
    <numFmt numFmtId="167" formatCode="#.##"/>
    <numFmt numFmtId="168" formatCode="0.000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0"/>
    </font>
    <font>
      <name val="Calibri"/>
      <family val="2"/>
      <b val="1"/>
      <color indexed="8"/>
      <sz val="10"/>
    </font>
    <font>
      <name val="Calibri"/>
      <family val="2"/>
      <b val="1"/>
      <color theme="0"/>
      <sz val="10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Calibri"/>
      <family val="2"/>
      <b val="1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/>
      <sz val="10"/>
    </font>
    <font>
      <name val="Calibri"/>
      <family val="2"/>
      <color theme="1"/>
      <sz val="10"/>
      <scheme val="minor"/>
    </font>
    <font>
      <name val="Calibri"/>
      <family val="2"/>
      <color theme="0"/>
      <sz val="10"/>
      <scheme val="minor"/>
    </font>
    <font>
      <name val="Calibri"/>
      <family val="2"/>
      <color rgb="FF000000"/>
      <sz val="10"/>
    </font>
  </fonts>
  <fills count="18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1"/>
        <bgColor auto="1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ECECEC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"/>
        <bgColor indexed="64"/>
      </patternFill>
    </fill>
  </fills>
  <borders count="8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8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8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ck">
        <color auto="1"/>
      </left>
      <right style="medium">
        <color indexed="64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/>
    <xf numFmtId="9" fontId="1" fillId="0" borderId="0"/>
    <xf numFmtId="42" fontId="1" fillId="0" borderId="0"/>
  </cellStyleXfs>
  <cellXfs count="354">
    <xf numFmtId="0" fontId="0" fillId="0" borderId="0" pivotButton="0" quotePrefix="0" xfId="0"/>
    <xf numFmtId="49" fontId="2" fillId="2" borderId="2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5" borderId="0" pivotButton="0" quotePrefix="0" xfId="0"/>
    <xf numFmtId="0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wrapText="1"/>
    </xf>
    <xf numFmtId="0" fontId="2" fillId="2" borderId="3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5" borderId="4" applyAlignment="1" pivotButton="0" quotePrefix="0" xfId="0">
      <alignment horizontal="center"/>
    </xf>
    <xf numFmtId="2" fontId="3" fillId="6" borderId="7" applyAlignment="1" pivotButton="0" quotePrefix="0" xfId="0">
      <alignment horizontal="center"/>
    </xf>
    <xf numFmtId="49" fontId="3" fillId="6" borderId="8" applyAlignment="1" pivotButton="0" quotePrefix="0" xfId="0">
      <alignment horizontal="center"/>
    </xf>
    <xf numFmtId="164" fontId="3" fillId="6" borderId="9" applyAlignment="1" pivotButton="0" quotePrefix="0" xfId="0">
      <alignment horizontal="center"/>
    </xf>
    <xf numFmtId="0" fontId="2" fillId="2" borderId="10" applyAlignment="1" pivotButton="0" quotePrefix="0" xfId="0">
      <alignment horizontal="center"/>
    </xf>
    <xf numFmtId="0" fontId="2" fillId="0" borderId="2" pivotButton="0" quotePrefix="0" xfId="0"/>
    <xf numFmtId="0" fontId="2" fillId="2" borderId="0" pivotButton="0" quotePrefix="0" xfId="0"/>
    <xf numFmtId="0" fontId="2" fillId="2" borderId="4" applyAlignment="1" pivotButton="0" quotePrefix="0" xfId="0">
      <alignment horizontal="center"/>
    </xf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6" fillId="0" borderId="0" pivotButton="0" quotePrefix="0" xfId="0"/>
    <xf numFmtId="0" fontId="2" fillId="5" borderId="2" applyAlignment="1" pivotButton="0" quotePrefix="0" xfId="0">
      <alignment horizontal="center"/>
    </xf>
    <xf numFmtId="0" fontId="6" fillId="5" borderId="1" pivotButton="0" quotePrefix="0" xfId="0"/>
    <xf numFmtId="0" fontId="6" fillId="5" borderId="2" pivotButton="0" quotePrefix="0" xfId="0"/>
    <xf numFmtId="0" fontId="6" fillId="5" borderId="2" applyAlignment="1" applyProtection="1" pivotButton="0" quotePrefix="0" xfId="0">
      <alignment horizontal="center"/>
      <protection locked="0" hidden="0"/>
    </xf>
    <xf numFmtId="0" fontId="2" fillId="5" borderId="2" pivotButton="0" quotePrefix="0" xfId="0"/>
    <xf numFmtId="0" fontId="6" fillId="0" borderId="0" pivotButton="0" quotePrefix="0" xfId="0"/>
    <xf numFmtId="0" fontId="4" fillId="7" borderId="14" applyAlignment="1" pivotButton="0" quotePrefix="0" xfId="0">
      <alignment horizontal="center"/>
    </xf>
    <xf numFmtId="49" fontId="2" fillId="2" borderId="0" applyAlignment="1" pivotButton="0" quotePrefix="0" xfId="0">
      <alignment horizontal="center"/>
    </xf>
    <xf numFmtId="49" fontId="2" fillId="2" borderId="21" pivotButton="0" quotePrefix="0" xfId="0"/>
    <xf numFmtId="0" fontId="2" fillId="0" borderId="21" applyAlignment="1" pivotButton="0" quotePrefix="0" xfId="0">
      <alignment horizontal="left"/>
    </xf>
    <xf numFmtId="49" fontId="3" fillId="2" borderId="0" applyAlignment="1" pivotButton="0" quotePrefix="0" xfId="0">
      <alignment horizontal="center"/>
    </xf>
    <xf numFmtId="0" fontId="2" fillId="0" borderId="26" applyAlignment="1" pivotButton="0" quotePrefix="0" xfId="0">
      <alignment horizontal="center"/>
    </xf>
    <xf numFmtId="49" fontId="2" fillId="2" borderId="17" pivotButton="0" quotePrefix="0" xfId="0"/>
    <xf numFmtId="164" fontId="2" fillId="5" borderId="22" applyAlignment="1" pivotButton="0" quotePrefix="0" xfId="0">
      <alignment horizontal="center"/>
    </xf>
    <xf numFmtId="0" fontId="2" fillId="5" borderId="24" pivotButton="0" quotePrefix="0" xfId="0"/>
    <xf numFmtId="0" fontId="2" fillId="0" borderId="17" pivotButton="0" quotePrefix="0" xfId="0"/>
    <xf numFmtId="0" fontId="2" fillId="0" borderId="17" applyAlignment="1" pivotButton="0" quotePrefix="0" xfId="0">
      <alignment horizontal="center"/>
    </xf>
    <xf numFmtId="0" fontId="5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/>
    </xf>
    <xf numFmtId="0" fontId="6" fillId="5" borderId="0" pivotButton="0" quotePrefix="0" xfId="0"/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/>
    </xf>
    <xf numFmtId="0" fontId="6" fillId="5" borderId="17" applyAlignment="1" pivotButton="0" quotePrefix="0" xfId="0">
      <alignment horizontal="center"/>
    </xf>
    <xf numFmtId="165" fontId="2" fillId="8" borderId="2" applyAlignment="1" applyProtection="1" pivotButton="0" quotePrefix="0" xfId="0">
      <alignment horizontal="center"/>
      <protection locked="0" hidden="0"/>
    </xf>
    <xf numFmtId="165" fontId="2" fillId="8" borderId="12" applyAlignment="1" applyProtection="1" pivotButton="0" quotePrefix="0" xfId="0">
      <alignment horizontal="center"/>
      <protection locked="0" hidden="0"/>
    </xf>
    <xf numFmtId="49" fontId="2" fillId="2" borderId="0" pivotButton="0" quotePrefix="0" xfId="0"/>
    <xf numFmtId="49" fontId="2" fillId="5" borderId="19" pivotButton="0" quotePrefix="0" xfId="0"/>
    <xf numFmtId="49" fontId="2" fillId="5" borderId="17" pivotButton="0" quotePrefix="0" xfId="0"/>
    <xf numFmtId="49" fontId="2" fillId="5" borderId="29" pivotButton="0" quotePrefix="0" xfId="0"/>
    <xf numFmtId="0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49" fontId="2" fillId="2" borderId="2" applyAlignment="1" pivotButton="0" quotePrefix="0" xfId="0">
      <alignment horizontal="left"/>
    </xf>
    <xf numFmtId="0" fontId="3" fillId="5" borderId="0" pivotButton="0" quotePrefix="0" xfId="0"/>
    <xf numFmtId="0" fontId="4" fillId="5" borderId="0" applyAlignment="1" pivotButton="0" quotePrefix="0" xfId="0">
      <alignment horizontal="center"/>
    </xf>
    <xf numFmtId="0" fontId="4" fillId="7" borderId="17" applyAlignment="1" pivotButton="0" quotePrefix="0" xfId="0">
      <alignment horizontal="center"/>
    </xf>
    <xf numFmtId="0" fontId="4" fillId="7" borderId="34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49" fontId="2" fillId="2" borderId="18" pivotButton="0" quotePrefix="0" xfId="0"/>
    <xf numFmtId="0" fontId="2" fillId="0" borderId="35" applyAlignment="1" pivotButton="0" quotePrefix="0" xfId="0">
      <alignment horizontal="center"/>
    </xf>
    <xf numFmtId="49" fontId="2" fillId="2" borderId="20" pivotButton="0" quotePrefix="0" xfId="0"/>
    <xf numFmtId="165" fontId="2" fillId="8" borderId="21" applyAlignment="1" applyProtection="1" pivotButton="0" quotePrefix="0" xfId="0">
      <alignment horizontal="center"/>
      <protection locked="0" hidden="0"/>
    </xf>
    <xf numFmtId="0" fontId="2" fillId="0" borderId="23" applyAlignment="1" pivotButton="0" quotePrefix="0" xfId="0">
      <alignment horizontal="center"/>
    </xf>
    <xf numFmtId="0" fontId="6" fillId="5" borderId="0" pivotButton="0" quotePrefix="0" xfId="0"/>
    <xf numFmtId="0" fontId="6" fillId="5" borderId="19" applyAlignment="1" pivotButton="0" quotePrefix="0" xfId="0">
      <alignment horizontal="center"/>
    </xf>
    <xf numFmtId="0" fontId="6" fillId="5" borderId="22" applyAlignment="1" applyProtection="1" pivotButton="0" quotePrefix="0" xfId="0">
      <alignment horizontal="center"/>
      <protection locked="0" hidden="0"/>
    </xf>
    <xf numFmtId="0" fontId="6" fillId="5" borderId="17" applyAlignment="1" pivotButton="0" quotePrefix="0" xfId="0">
      <alignment horizontal="center"/>
    </xf>
    <xf numFmtId="0" fontId="2" fillId="5" borderId="17" pivotButton="0" quotePrefix="0" xfId="0"/>
    <xf numFmtId="49" fontId="2" fillId="5" borderId="2" pivotButton="0" quotePrefix="0" xfId="0"/>
    <xf numFmtId="0" fontId="6" fillId="5" borderId="20" applyAlignment="1" pivotButton="0" quotePrefix="0" xfId="0">
      <alignment horizontal="center"/>
    </xf>
    <xf numFmtId="0" fontId="6" fillId="5" borderId="21" applyAlignment="1" applyProtection="1" pivotButton="0" quotePrefix="0" xfId="0">
      <alignment horizontal="center"/>
      <protection locked="0" hidden="0"/>
    </xf>
    <xf numFmtId="0" fontId="6" fillId="5" borderId="23" applyAlignment="1" applyProtection="1" pivotButton="0" quotePrefix="0" xfId="0">
      <alignment horizontal="center"/>
      <protection locked="0" hidden="0"/>
    </xf>
    <xf numFmtId="0" fontId="2" fillId="5" borderId="1" applyAlignment="1" pivotButton="0" quotePrefix="0" xfId="0">
      <alignment horizontal="center"/>
    </xf>
    <xf numFmtId="0" fontId="2" fillId="5" borderId="21" applyAlignment="1" pivotButton="0" quotePrefix="0" xfId="0">
      <alignment horizontal="center"/>
    </xf>
    <xf numFmtId="0" fontId="5" fillId="13" borderId="23" applyAlignment="1" pivotButton="0" quotePrefix="0" xfId="0">
      <alignment horizontal="center" vertical="center" wrapText="1"/>
    </xf>
    <xf numFmtId="2" fontId="2" fillId="5" borderId="2" applyAlignment="1" pivotButton="0" quotePrefix="0" xfId="0">
      <alignment horizontal="center"/>
    </xf>
    <xf numFmtId="9" fontId="2" fillId="5" borderId="0" applyAlignment="1" pivotButton="0" quotePrefix="0" xfId="1">
      <alignment horizontal="center"/>
    </xf>
    <xf numFmtId="2" fontId="2" fillId="5" borderId="0" applyAlignment="1" pivotButton="0" quotePrefix="0" xfId="1">
      <alignment horizontal="center"/>
    </xf>
    <xf numFmtId="2" fontId="2" fillId="5" borderId="0" applyAlignment="1" pivotButton="0" quotePrefix="0" xfId="0">
      <alignment horizontal="center"/>
    </xf>
    <xf numFmtId="9" fontId="2" fillId="0" borderId="22" applyAlignment="1" pivotButton="0" quotePrefix="0" xfId="1">
      <alignment horizontal="center"/>
    </xf>
    <xf numFmtId="0" fontId="2" fillId="0" borderId="20" applyAlignment="1" pivotButton="0" quotePrefix="0" xfId="0">
      <alignment horizontal="center"/>
    </xf>
    <xf numFmtId="0" fontId="2" fillId="0" borderId="21" pivotButton="0" quotePrefix="0" xfId="0"/>
    <xf numFmtId="0" fontId="2" fillId="0" borderId="21" applyAlignment="1" pivotButton="0" quotePrefix="0" xfId="0">
      <alignment horizontal="center"/>
    </xf>
    <xf numFmtId="9" fontId="2" fillId="0" borderId="23" applyAlignment="1" pivotButton="0" quotePrefix="0" xfId="1">
      <alignment horizontal="center"/>
    </xf>
    <xf numFmtId="2" fontId="2" fillId="5" borderId="1" applyAlignment="1" pivotButton="0" quotePrefix="0" xfId="0">
      <alignment horizontal="center"/>
    </xf>
    <xf numFmtId="2" fontId="7" fillId="5" borderId="1" applyAlignment="1" pivotButton="0" quotePrefix="0" xfId="0">
      <alignment horizontal="center"/>
    </xf>
    <xf numFmtId="2" fontId="3" fillId="5" borderId="2" applyAlignment="1" pivotButton="0" quotePrefix="0" xfId="0">
      <alignment horizontal="center"/>
    </xf>
    <xf numFmtId="49" fontId="2" fillId="5" borderId="20" pivotButton="0" quotePrefix="0" xfId="0"/>
    <xf numFmtId="166" fontId="0" fillId="0" borderId="2" pivotButton="0" quotePrefix="0" xfId="2"/>
    <xf numFmtId="166" fontId="0" fillId="0" borderId="2" pivotButton="0" quotePrefix="0" xfId="0"/>
    <xf numFmtId="0" fontId="8" fillId="0" borderId="39" pivotButton="0" quotePrefix="0" xfId="0"/>
    <xf numFmtId="166" fontId="8" fillId="0" borderId="45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7" applyAlignment="1" pivotButton="0" quotePrefix="0" xfId="0">
      <alignment horizontal="center"/>
    </xf>
    <xf numFmtId="0" fontId="2" fillId="0" borderId="17" pivotButton="0" quotePrefix="0" xfId="0"/>
    <xf numFmtId="0" fontId="2" fillId="0" borderId="47" applyAlignment="1" pivotButton="0" quotePrefix="0" xfId="0">
      <alignment horizontal="left"/>
    </xf>
    <xf numFmtId="1" fontId="2" fillId="4" borderId="47" applyAlignment="1" applyProtection="1" pivotButton="0" quotePrefix="0" xfId="0">
      <alignment horizontal="center"/>
      <protection locked="0" hidden="0"/>
    </xf>
    <xf numFmtId="0" fontId="2" fillId="0" borderId="47" applyAlignment="1" pivotButton="0" quotePrefix="0" xfId="0">
      <alignment horizontal="left"/>
    </xf>
    <xf numFmtId="0" fontId="4" fillId="10" borderId="57" applyAlignment="1" pivotButton="0" quotePrefix="0" xfId="0">
      <alignment horizontal="center"/>
    </xf>
    <xf numFmtId="0" fontId="4" fillId="10" borderId="59" applyAlignment="1" pivotButton="0" quotePrefix="0" xfId="0">
      <alignment horizontal="center"/>
    </xf>
    <xf numFmtId="49" fontId="2" fillId="5" borderId="46" pivotButton="0" quotePrefix="0" xfId="0"/>
    <xf numFmtId="2" fontId="2" fillId="5" borderId="47" applyAlignment="1" pivotButton="0" quotePrefix="0" xfId="0">
      <alignment horizontal="center"/>
    </xf>
    <xf numFmtId="2" fontId="7" fillId="5" borderId="47" applyAlignment="1" pivotButton="0" quotePrefix="0" xfId="0">
      <alignment horizontal="center"/>
    </xf>
    <xf numFmtId="164" fontId="2" fillId="5" borderId="49" applyAlignment="1" pivotButton="0" quotePrefix="0" xfId="0">
      <alignment horizontal="center"/>
    </xf>
    <xf numFmtId="2" fontId="2" fillId="5" borderId="44" applyAlignment="1" pivotButton="0" quotePrefix="0" xfId="0">
      <alignment horizontal="center"/>
    </xf>
    <xf numFmtId="2" fontId="7" fillId="5" borderId="44" applyAlignment="1" pivotButton="0" quotePrefix="0" xfId="0">
      <alignment horizontal="center"/>
    </xf>
    <xf numFmtId="49" fontId="3" fillId="3" borderId="60" applyAlignment="1" pivotButton="0" quotePrefix="0" xfId="0">
      <alignment horizontal="center"/>
    </xf>
    <xf numFmtId="164" fontId="2" fillId="5" borderId="23" applyAlignment="1" pivotButton="0" quotePrefix="0" xfId="0">
      <alignment horizontal="center"/>
    </xf>
    <xf numFmtId="1" fontId="0" fillId="0" borderId="2" pivotButton="0" quotePrefix="0" xfId="0"/>
    <xf numFmtId="0" fontId="2" fillId="0" borderId="12" applyAlignment="1" pivotButton="0" quotePrefix="0" xfId="0">
      <alignment horizontal="left"/>
    </xf>
    <xf numFmtId="0" fontId="2" fillId="5" borderId="19" pivotButton="0" quotePrefix="0" xfId="0"/>
    <xf numFmtId="2" fontId="3" fillId="5" borderId="1" applyAlignment="1" pivotButton="0" quotePrefix="0" xfId="0">
      <alignment horizontal="center"/>
    </xf>
    <xf numFmtId="164" fontId="2" fillId="5" borderId="27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49" fontId="2" fillId="2" borderId="25" applyAlignment="1" pivotButton="0" quotePrefix="0" xfId="0">
      <alignment horizontal="center"/>
    </xf>
    <xf numFmtId="49" fontId="3" fillId="14" borderId="54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49" fontId="2" fillId="2" borderId="61" applyAlignment="1" pivotButton="0" quotePrefix="0" xfId="0">
      <alignment horizontal="left"/>
    </xf>
    <xf numFmtId="164" fontId="2" fillId="5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164" fontId="2" fillId="5" borderId="14" applyAlignment="1" pivotButton="0" quotePrefix="0" xfId="0">
      <alignment horizontal="center"/>
    </xf>
    <xf numFmtId="164" fontId="2" fillId="5" borderId="13" applyAlignment="1" pivotButton="0" quotePrefix="0" xfId="0">
      <alignment horizontal="center"/>
    </xf>
    <xf numFmtId="164" fontId="2" fillId="5" borderId="1" applyAlignment="1" pivotButton="0" quotePrefix="0" xfId="0">
      <alignment horizontal="center"/>
    </xf>
    <xf numFmtId="49" fontId="3" fillId="2" borderId="24" applyAlignment="1" pivotButton="0" quotePrefix="0" xfId="0">
      <alignment horizontal="center"/>
    </xf>
    <xf numFmtId="49" fontId="3" fillId="2" borderId="28" applyAlignment="1" pivotButton="0" quotePrefix="0" xfId="0">
      <alignment horizontal="center"/>
    </xf>
    <xf numFmtId="49" fontId="2" fillId="2" borderId="25" applyAlignment="1" pivotButton="0" quotePrefix="0" xfId="0">
      <alignment horizontal="center"/>
    </xf>
    <xf numFmtId="49" fontId="3" fillId="14" borderId="54" applyAlignment="1" pivotButton="0" quotePrefix="0" xfId="0">
      <alignment horizontal="center"/>
    </xf>
    <xf numFmtId="164" fontId="2" fillId="5" borderId="47" applyAlignment="1" pivotButton="0" quotePrefix="0" xfId="0">
      <alignment horizontal="center"/>
    </xf>
    <xf numFmtId="164" fontId="2" fillId="5" borderId="21" applyAlignment="1" pivotButton="0" quotePrefix="0" xfId="0">
      <alignment horizontal="center"/>
    </xf>
    <xf numFmtId="49" fontId="3" fillId="6" borderId="5" applyAlignment="1" pivotButton="0" quotePrefix="0" xfId="0">
      <alignment horizontal="center"/>
    </xf>
    <xf numFmtId="49" fontId="3" fillId="6" borderId="6" applyAlignment="1" pivotButton="0" quotePrefix="0" xfId="0">
      <alignment horizontal="center"/>
    </xf>
    <xf numFmtId="0" fontId="5" fillId="8" borderId="36" applyAlignment="1" pivotButton="0" quotePrefix="0" xfId="0">
      <alignment horizontal="center" vertical="center"/>
    </xf>
    <xf numFmtId="0" fontId="5" fillId="8" borderId="42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49" fontId="2" fillId="17" borderId="39" applyAlignment="1" pivotButton="0" quotePrefix="0" xfId="0">
      <alignment horizontal="center"/>
    </xf>
    <xf numFmtId="49" fontId="2" fillId="17" borderId="40" applyAlignment="1" pivotButton="0" quotePrefix="0" xfId="0">
      <alignment horizontal="center"/>
    </xf>
    <xf numFmtId="0" fontId="3" fillId="4" borderId="15" applyAlignment="1" pivotButton="0" quotePrefix="0" xfId="0">
      <alignment horizontal="center"/>
    </xf>
    <xf numFmtId="0" fontId="3" fillId="4" borderId="11" applyAlignment="1" pivotButton="0" quotePrefix="0" xfId="0">
      <alignment horizontal="center"/>
    </xf>
    <xf numFmtId="0" fontId="3" fillId="4" borderId="16" applyAlignment="1" pivotButton="0" quotePrefix="0" xfId="0">
      <alignment horizontal="center"/>
    </xf>
    <xf numFmtId="0" fontId="4" fillId="10" borderId="58" applyAlignment="1" pivotButton="0" quotePrefix="0" xfId="0">
      <alignment horizontal="center"/>
    </xf>
    <xf numFmtId="0" fontId="4" fillId="10" borderId="53" applyAlignment="1" pivotButton="0" quotePrefix="0" xfId="0">
      <alignment horizontal="center"/>
    </xf>
    <xf numFmtId="0" fontId="5" fillId="8" borderId="37" applyAlignment="1" pivotButton="0" quotePrefix="0" xfId="0">
      <alignment horizontal="center" vertical="center" wrapText="1"/>
    </xf>
    <xf numFmtId="0" fontId="5" fillId="13" borderId="38" applyAlignment="1" pivotButton="0" quotePrefix="0" xfId="0">
      <alignment horizontal="center" vertical="center" wrapText="1"/>
    </xf>
    <xf numFmtId="0" fontId="5" fillId="13" borderId="43" applyAlignment="1" pivotButton="0" quotePrefix="0" xfId="0">
      <alignment horizontal="center" vertical="center" wrapText="1"/>
    </xf>
    <xf numFmtId="0" fontId="5" fillId="13" borderId="4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/>
    </xf>
    <xf numFmtId="49" fontId="3" fillId="2" borderId="2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49" fontId="2" fillId="9" borderId="17" pivotButton="0" quotePrefix="0" xfId="0"/>
    <xf numFmtId="49" fontId="13" fillId="12" borderId="32" applyAlignment="1" pivotButton="0" quotePrefix="0" xfId="0">
      <alignment horizontal="left" vertical="center" wrapText="1" shrinkToFit="1" readingOrder="1"/>
    </xf>
    <xf numFmtId="49" fontId="13" fillId="12" borderId="0" applyAlignment="1" pivotButton="0" quotePrefix="0" xfId="0">
      <alignment horizontal="left" vertical="center" wrapText="1" shrinkToFit="1" readingOrder="1"/>
    </xf>
    <xf numFmtId="4" fontId="13" fillId="12" borderId="0" applyAlignment="1" pivotButton="0" quotePrefix="0" xfId="0">
      <alignment horizontal="right" vertical="center" wrapText="1" shrinkToFit="1" readingOrder="1"/>
    </xf>
    <xf numFmtId="4" fontId="13" fillId="12" borderId="0" applyAlignment="1" pivotButton="0" quotePrefix="0" xfId="0">
      <alignment horizontal="right" vertical="center" wrapText="1" shrinkToFit="1" readingOrder="1"/>
    </xf>
    <xf numFmtId="167" fontId="13" fillId="12" borderId="0" applyAlignment="1" pivotButton="0" quotePrefix="0" xfId="0">
      <alignment horizontal="right" vertical="center" wrapText="1" shrinkToFit="1" readingOrder="1"/>
    </xf>
    <xf numFmtId="168" fontId="13" fillId="12" borderId="0" applyAlignment="1" pivotButton="0" quotePrefix="0" xfId="0">
      <alignment horizontal="right" vertical="center" wrapText="1" shrinkToFit="1" readingOrder="1"/>
    </xf>
    <xf numFmtId="2" fontId="13" fillId="12" borderId="0" applyAlignment="1" pivotButton="0" quotePrefix="0" xfId="0">
      <alignment horizontal="right" vertical="center" wrapText="1" shrinkToFit="1" readingOrder="1"/>
    </xf>
    <xf numFmtId="2" fontId="13" fillId="12" borderId="33" applyAlignment="1" pivotButton="0" quotePrefix="0" xfId="0">
      <alignment horizontal="right" vertical="center" wrapText="1" shrinkToFit="1" readingOrder="1"/>
    </xf>
    <xf numFmtId="49" fontId="2" fillId="2" borderId="12" applyAlignment="1" pivotButton="0" quotePrefix="0" xfId="0">
      <alignment horizontal="left" vertical="center"/>
    </xf>
    <xf numFmtId="49" fontId="2" fillId="2" borderId="1" applyAlignment="1" pivotButton="0" quotePrefix="0" xfId="0">
      <alignment horizontal="left" vertical="center"/>
    </xf>
    <xf numFmtId="49" fontId="3" fillId="2" borderId="65" applyAlignment="1" pivotButton="0" quotePrefix="0" xfId="0">
      <alignment horizontal="center"/>
    </xf>
    <xf numFmtId="49" fontId="3" fillId="14" borderId="66" applyAlignment="1" pivotButton="0" quotePrefix="0" xfId="0">
      <alignment horizontal="center"/>
    </xf>
    <xf numFmtId="49" fontId="3" fillId="14" borderId="66" applyAlignment="1" pivotButton="0" quotePrefix="0" xfId="0">
      <alignment horizontal="center"/>
    </xf>
    <xf numFmtId="49" fontId="3" fillId="3" borderId="67" applyAlignment="1" pivotButton="0" quotePrefix="0" xfId="0">
      <alignment horizontal="center"/>
    </xf>
    <xf numFmtId="2" fontId="2" fillId="5" borderId="21" applyAlignment="1" pivotButton="0" quotePrefix="0" xfId="0">
      <alignment horizontal="center"/>
    </xf>
    <xf numFmtId="2" fontId="3" fillId="5" borderId="21" applyAlignment="1" pivotButton="0" quotePrefix="0" xfId="0">
      <alignment horizontal="center"/>
    </xf>
    <xf numFmtId="9" fontId="6" fillId="5" borderId="17" applyAlignment="1" pivotButton="0" quotePrefix="0" xfId="0">
      <alignment horizontal="center"/>
    </xf>
    <xf numFmtId="0" fontId="5" fillId="8" borderId="62" applyAlignment="1" pivotButton="0" quotePrefix="0" xfId="0">
      <alignment horizontal="center" vertical="center"/>
    </xf>
    <xf numFmtId="0" fontId="5" fillId="8" borderId="63" applyAlignment="1" pivotButton="0" quotePrefix="0" xfId="0">
      <alignment horizontal="center" vertical="center"/>
    </xf>
    <xf numFmtId="0" fontId="5" fillId="8" borderId="63" applyAlignment="1" pivotButton="0" quotePrefix="0" xfId="0">
      <alignment horizontal="center" vertical="center" wrapText="1"/>
    </xf>
    <xf numFmtId="0" fontId="5" fillId="4" borderId="63" applyAlignment="1" pivotButton="0" quotePrefix="0" xfId="0">
      <alignment horizontal="center" vertical="center" wrapText="1"/>
    </xf>
    <xf numFmtId="0" fontId="5" fillId="4" borderId="64" applyAlignment="1" pivotButton="0" quotePrefix="0" xfId="0">
      <alignment horizontal="center" vertical="center" wrapText="1"/>
    </xf>
    <xf numFmtId="0" fontId="6" fillId="5" borderId="21" pivotButton="0" quotePrefix="0" xfId="0"/>
    <xf numFmtId="0" fontId="6" fillId="5" borderId="1" applyAlignment="1" applyProtection="1" pivotButton="0" quotePrefix="0" xfId="0">
      <alignment horizontal="center"/>
      <protection locked="0" hidden="0"/>
    </xf>
    <xf numFmtId="0" fontId="6" fillId="5" borderId="27" applyAlignment="1" applyProtection="1" pivotButton="0" quotePrefix="0" xfId="0">
      <alignment horizontal="center"/>
      <protection locked="0" hidden="0"/>
    </xf>
    <xf numFmtId="0" fontId="5" fillId="8" borderId="20" applyAlignment="1" pivotButton="0" quotePrefix="0" xfId="0">
      <alignment horizontal="center" vertical="center"/>
    </xf>
    <xf numFmtId="0" fontId="5" fillId="8" borderId="21" applyAlignment="1" pivotButton="0" quotePrefix="0" xfId="0">
      <alignment horizontal="center" vertical="center"/>
    </xf>
    <xf numFmtId="0" fontId="5" fillId="8" borderId="21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8" borderId="28" applyAlignment="1" pivotButton="0" quotePrefix="0" xfId="0">
      <alignment horizontal="center" vertical="center"/>
    </xf>
    <xf numFmtId="0" fontId="5" fillId="8" borderId="61" applyAlignment="1" pivotButton="0" quotePrefix="0" xfId="0">
      <alignment horizontal="center" vertical="center"/>
    </xf>
    <xf numFmtId="0" fontId="5" fillId="8" borderId="69" applyAlignment="1" pivotButton="0" quotePrefix="0" xfId="0">
      <alignment horizontal="center" vertical="center" wrapText="1"/>
    </xf>
    <xf numFmtId="0" fontId="5" fillId="13" borderId="12" applyAlignment="1" pivotButton="0" quotePrefix="0" xfId="0">
      <alignment horizontal="center" vertical="center" wrapText="1"/>
    </xf>
    <xf numFmtId="0" fontId="2" fillId="5" borderId="2" applyAlignment="1" applyProtection="1" pivotButton="0" quotePrefix="0" xfId="0">
      <alignment horizontal="center"/>
      <protection locked="0" hidden="0"/>
    </xf>
    <xf numFmtId="0" fontId="6" fillId="5" borderId="62" applyAlignment="1" pivotButton="0" quotePrefix="0" xfId="0">
      <alignment horizontal="center"/>
    </xf>
    <xf numFmtId="0" fontId="2" fillId="5" borderId="63" applyAlignment="1" pivotButton="0" quotePrefix="0" xfId="0">
      <alignment horizontal="center"/>
    </xf>
    <xf numFmtId="0" fontId="6" fillId="5" borderId="63" pivotButton="0" quotePrefix="0" xfId="0"/>
    <xf numFmtId="0" fontId="6" fillId="5" borderId="63" applyAlignment="1" applyProtection="1" pivotButton="0" quotePrefix="0" xfId="0">
      <alignment horizontal="center"/>
      <protection locked="0" hidden="0"/>
    </xf>
    <xf numFmtId="0" fontId="6" fillId="5" borderId="64" applyAlignment="1" applyProtection="1" pivotButton="0" quotePrefix="0" xfId="0">
      <alignment horizontal="center"/>
      <protection locked="0" hidden="0"/>
    </xf>
    <xf numFmtId="0" fontId="3" fillId="3" borderId="70" applyAlignment="1" pivotButton="0" quotePrefix="0" xfId="0">
      <alignment horizontal="center"/>
    </xf>
    <xf numFmtId="0" fontId="3" fillId="3" borderId="71" applyAlignment="1" pivotButton="0" quotePrefix="0" xfId="0">
      <alignment horizontal="center"/>
    </xf>
    <xf numFmtId="0" fontId="3" fillId="3" borderId="72" applyAlignment="1" pivotButton="0" quotePrefix="0" xfId="0">
      <alignment horizontal="center"/>
    </xf>
    <xf numFmtId="49" fontId="10" fillId="16" borderId="63" pivotButton="0" quotePrefix="0" xfId="0"/>
    <xf numFmtId="0" fontId="4" fillId="7" borderId="2" applyAlignment="1" pivotButton="0" quotePrefix="0" xfId="0">
      <alignment horizontal="center"/>
    </xf>
    <xf numFmtId="0" fontId="3" fillId="3" borderId="62" applyAlignment="1" pivotButton="0" quotePrefix="0" xfId="0">
      <alignment horizontal="center"/>
    </xf>
    <xf numFmtId="0" fontId="3" fillId="3" borderId="63" applyAlignment="1" pivotButton="0" quotePrefix="0" xfId="0">
      <alignment horizontal="center"/>
    </xf>
    <xf numFmtId="0" fontId="3" fillId="3" borderId="64" applyAlignment="1" pivotButton="0" quotePrefix="0" xfId="0">
      <alignment horizontal="center"/>
    </xf>
    <xf numFmtId="0" fontId="4" fillId="7" borderId="17" pivotButton="0" quotePrefix="0" xfId="0"/>
    <xf numFmtId="0" fontId="4" fillId="7" borderId="22" applyAlignment="1" pivotButton="0" quotePrefix="0" xfId="0">
      <alignment horizontal="center"/>
    </xf>
    <xf numFmtId="0" fontId="11" fillId="0" borderId="0" pivotButton="0" quotePrefix="0" xfId="0"/>
    <xf numFmtId="165" fontId="11" fillId="0" borderId="0" pivotButton="0" quotePrefix="0" xfId="0"/>
    <xf numFmtId="0" fontId="11" fillId="5" borderId="1" applyAlignment="1" pivotButton="0" quotePrefix="0" xfId="0">
      <alignment horizontal="center"/>
    </xf>
    <xf numFmtId="0" fontId="11" fillId="5" borderId="2" applyAlignment="1" pivotButton="0" quotePrefix="0" xfId="0">
      <alignment horizontal="center"/>
    </xf>
    <xf numFmtId="0" fontId="11" fillId="5" borderId="21" applyAlignment="1" pivotButton="0" quotePrefix="0" xfId="0">
      <alignment horizontal="center"/>
    </xf>
    <xf numFmtId="0" fontId="2" fillId="8" borderId="2" applyAlignment="1" pivotButton="0" quotePrefix="0" xfId="0">
      <alignment horizontal="center"/>
    </xf>
    <xf numFmtId="0" fontId="2" fillId="8" borderId="21" applyAlignment="1" pivotButton="0" quotePrefix="0" xfId="0">
      <alignment horizontal="center"/>
    </xf>
    <xf numFmtId="0" fontId="11" fillId="5" borderId="0" pivotButton="0" quotePrefix="0" xfId="0"/>
    <xf numFmtId="0" fontId="6" fillId="5" borderId="0" applyAlignment="1" pivotButton="0" quotePrefix="0" xfId="0">
      <alignment horizontal="center"/>
    </xf>
    <xf numFmtId="0" fontId="12" fillId="5" borderId="0" pivotButton="0" quotePrefix="0" xfId="0"/>
    <xf numFmtId="0" fontId="12" fillId="10" borderId="56" pivotButton="0" quotePrefix="0" xfId="0"/>
    <xf numFmtId="0" fontId="11" fillId="5" borderId="0" applyAlignment="1" pivotButton="0" quotePrefix="0" xfId="0">
      <alignment horizontal="center"/>
    </xf>
    <xf numFmtId="0" fontId="11" fillId="0" borderId="46" applyAlignment="1" pivotButton="0" quotePrefix="0" xfId="0">
      <alignment horizontal="left"/>
    </xf>
    <xf numFmtId="0" fontId="11" fillId="0" borderId="47" pivotButton="0" quotePrefix="0" xfId="0"/>
    <xf numFmtId="0" fontId="11" fillId="0" borderId="17" applyAlignment="1" pivotButton="0" quotePrefix="0" xfId="0">
      <alignment horizontal="left"/>
    </xf>
    <xf numFmtId="0" fontId="11" fillId="0" borderId="2" applyAlignment="1" pivotButton="0" quotePrefix="0" xfId="0">
      <alignment horizontal="left"/>
    </xf>
    <xf numFmtId="0" fontId="11" fillId="0" borderId="2" pivotButton="0" quotePrefix="0" xfId="0"/>
    <xf numFmtId="0" fontId="11" fillId="0" borderId="17" pivotButton="0" quotePrefix="0" xfId="0"/>
    <xf numFmtId="0" fontId="11" fillId="0" borderId="2" applyAlignment="1" pivotButton="0" quotePrefix="0" xfId="0">
      <alignment horizontal="left"/>
    </xf>
    <xf numFmtId="0" fontId="11" fillId="0" borderId="18" applyAlignment="1" pivotButton="0" quotePrefix="0" xfId="0">
      <alignment horizontal="left" vertical="center"/>
    </xf>
    <xf numFmtId="0" fontId="11" fillId="0" borderId="12" applyAlignment="1" pivotButton="0" quotePrefix="0" xfId="0">
      <alignment horizontal="left"/>
    </xf>
    <xf numFmtId="0" fontId="11" fillId="0" borderId="19" applyAlignment="1" pivotButton="0" quotePrefix="0" xfId="0">
      <alignment horizontal="left" vertical="center"/>
    </xf>
    <xf numFmtId="0" fontId="11" fillId="0" borderId="28" applyAlignment="1" pivotButton="0" quotePrefix="0" xfId="0">
      <alignment horizontal="left"/>
    </xf>
    <xf numFmtId="0" fontId="11" fillId="0" borderId="20" applyAlignment="1" pivotButton="0" quotePrefix="0" xfId="0">
      <alignment horizontal="left"/>
    </xf>
    <xf numFmtId="0" fontId="11" fillId="0" borderId="21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1" fillId="17" borderId="50" applyAlignment="1" pivotButton="0" quotePrefix="0" xfId="0">
      <alignment horizontal="center"/>
    </xf>
    <xf numFmtId="0" fontId="11" fillId="17" borderId="51" applyAlignment="1" pivotButton="0" quotePrefix="0" xfId="0">
      <alignment horizontal="center"/>
    </xf>
    <xf numFmtId="0" fontId="11" fillId="17" borderId="52" applyAlignment="1" pivotButton="0" quotePrefix="0" xfId="0">
      <alignment horizontal="center"/>
    </xf>
    <xf numFmtId="0" fontId="11" fillId="0" borderId="0" pivotButton="0" quotePrefix="0" xfId="0"/>
    <xf numFmtId="0" fontId="12" fillId="16" borderId="62" pivotButton="0" quotePrefix="0" xfId="0"/>
    <xf numFmtId="0" fontId="12" fillId="16" borderId="64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16" borderId="63" applyAlignment="1" pivotButton="0" quotePrefix="0" xfId="0">
      <alignment horizontal="center"/>
    </xf>
    <xf numFmtId="0" fontId="12" fillId="16" borderId="63" applyAlignment="1" pivotButton="0" quotePrefix="0" xfId="0">
      <alignment horizontal="center"/>
    </xf>
    <xf numFmtId="0" fontId="11" fillId="0" borderId="17" pivotButton="0" quotePrefix="0" xfId="0"/>
    <xf numFmtId="0" fontId="11" fillId="0" borderId="22" pivotButton="0" quotePrefix="0" xfId="0"/>
    <xf numFmtId="0" fontId="11" fillId="0" borderId="20" pivotButton="0" quotePrefix="0" xfId="0"/>
    <xf numFmtId="0" fontId="11" fillId="0" borderId="23" pivotButton="0" quotePrefix="0" xfId="0"/>
    <xf numFmtId="0" fontId="11" fillId="0" borderId="20" pivotButton="0" quotePrefix="0" xfId="0"/>
    <xf numFmtId="2" fontId="2" fillId="5" borderId="47" applyAlignment="1" applyProtection="1" pivotButton="0" quotePrefix="0" xfId="0">
      <alignment horizontal="center"/>
      <protection locked="0" hidden="0"/>
    </xf>
    <xf numFmtId="2" fontId="2" fillId="5" borderId="1" applyAlignment="1" applyProtection="1" pivotButton="0" quotePrefix="0" xfId="0">
      <alignment horizontal="center"/>
      <protection locked="0" hidden="0"/>
    </xf>
    <xf numFmtId="2" fontId="2" fillId="5" borderId="44" applyAlignment="1" applyProtection="1" pivotButton="0" quotePrefix="0" xfId="0">
      <alignment horizontal="center"/>
      <protection locked="0" hidden="0"/>
    </xf>
    <xf numFmtId="0" fontId="6" fillId="5" borderId="68" applyAlignment="1" applyProtection="1" pivotButton="0" quotePrefix="0" xfId="0">
      <alignment horizontal="center"/>
      <protection locked="0" hidden="0"/>
    </xf>
    <xf numFmtId="1" fontId="11" fillId="4" borderId="2" applyAlignment="1" applyProtection="1" pivotButton="0" quotePrefix="0" xfId="0">
      <alignment horizontal="center"/>
      <protection locked="0" hidden="0"/>
    </xf>
    <xf numFmtId="165" fontId="11" fillId="4" borderId="2" applyProtection="1" pivotButton="0" quotePrefix="0" xfId="0">
      <protection locked="0" hidden="0"/>
    </xf>
    <xf numFmtId="1" fontId="11" fillId="4" borderId="12" applyAlignment="1" applyProtection="1" pivotButton="0" quotePrefix="0" xfId="0">
      <alignment horizontal="center"/>
      <protection locked="0" hidden="0"/>
    </xf>
    <xf numFmtId="1" fontId="11" fillId="4" borderId="1" applyAlignment="1" applyProtection="1" pivotButton="0" quotePrefix="0" xfId="0">
      <alignment horizontal="center"/>
      <protection locked="0" hidden="0"/>
    </xf>
    <xf numFmtId="1" fontId="11" fillId="4" borderId="61" applyAlignment="1" applyProtection="1" pivotButton="0" quotePrefix="0" xfId="0">
      <alignment horizontal="center"/>
      <protection locked="0" hidden="0"/>
    </xf>
    <xf numFmtId="1" fontId="11" fillId="4" borderId="21" applyAlignment="1" applyProtection="1" pivotButton="0" quotePrefix="0" xfId="0">
      <alignment horizontal="center"/>
      <protection locked="0" hidden="0"/>
    </xf>
    <xf numFmtId="1" fontId="11" fillId="4" borderId="47" applyAlignment="1" applyProtection="1" pivotButton="0" quotePrefix="0" xfId="0">
      <alignment horizontal="center"/>
      <protection locked="0" hidden="0"/>
    </xf>
    <xf numFmtId="1" fontId="11" fillId="4" borderId="48" applyAlignment="1" applyProtection="1" pivotButton="0" quotePrefix="0" xfId="0">
      <alignment horizontal="center"/>
      <protection locked="0" hidden="0"/>
    </xf>
    <xf numFmtId="1" fontId="11" fillId="4" borderId="2" applyAlignment="1" applyProtection="1" pivotButton="0" quotePrefix="0" xfId="0">
      <alignment horizontal="center"/>
      <protection locked="0" hidden="0"/>
    </xf>
    <xf numFmtId="1" fontId="11" fillId="4" borderId="14" applyAlignment="1" applyProtection="1" pivotButton="0" quotePrefix="0" xfId="0">
      <alignment horizontal="center"/>
      <protection locked="0" hidden="0"/>
    </xf>
    <xf numFmtId="165" fontId="11" fillId="4" borderId="2" applyAlignment="1" applyProtection="1" pivotButton="0" quotePrefix="0" xfId="0">
      <alignment horizontal="center"/>
      <protection locked="0" hidden="0"/>
    </xf>
    <xf numFmtId="165" fontId="11" fillId="4" borderId="14" applyAlignment="1" applyProtection="1" pivotButton="0" quotePrefix="0" xfId="0">
      <alignment horizontal="center"/>
      <protection locked="0" hidden="0"/>
    </xf>
    <xf numFmtId="165" fontId="11" fillId="4" borderId="30" applyAlignment="1" applyProtection="1" pivotButton="0" quotePrefix="0" xfId="0">
      <alignment horizontal="center"/>
      <protection locked="0" hidden="0"/>
    </xf>
    <xf numFmtId="1" fontId="11" fillId="4" borderId="13" applyAlignment="1" applyProtection="1" pivotButton="0" quotePrefix="0" xfId="0">
      <alignment horizontal="center"/>
      <protection locked="0" hidden="0"/>
    </xf>
    <xf numFmtId="1" fontId="11" fillId="4" borderId="31" applyAlignment="1" applyProtection="1" pivotButton="0" quotePrefix="0" xfId="0">
      <alignment horizontal="center"/>
      <protection locked="0" hidden="0"/>
    </xf>
    <xf numFmtId="1" fontId="11" fillId="4" borderId="55" applyAlignment="1" applyProtection="1" pivotButton="0" quotePrefix="0" xfId="0">
      <alignment horizontal="center"/>
      <protection locked="0" hidden="0"/>
    </xf>
    <xf numFmtId="0" fontId="11" fillId="0" borderId="47" applyProtection="1" pivotButton="0" quotePrefix="0" xfId="0">
      <protection locked="0" hidden="0"/>
    </xf>
    <xf numFmtId="0" fontId="11" fillId="4" borderId="49" applyProtection="1" pivotButton="0" quotePrefix="0" xfId="0">
      <protection locked="0" hidden="0"/>
    </xf>
    <xf numFmtId="0" fontId="11" fillId="0" borderId="2" applyAlignment="1" applyProtection="1" pivotButton="0" quotePrefix="0" xfId="0">
      <alignment horizontal="center"/>
      <protection locked="0" hidden="0"/>
    </xf>
    <xf numFmtId="0" fontId="11" fillId="4" borderId="22" applyAlignment="1" applyProtection="1" pivotButton="0" quotePrefix="0" xfId="0">
      <alignment horizontal="center"/>
      <protection locked="0" hidden="0"/>
    </xf>
    <xf numFmtId="0" fontId="11" fillId="0" borderId="2" applyProtection="1" pivotButton="0" quotePrefix="0" xfId="0">
      <protection locked="0" hidden="0"/>
    </xf>
    <xf numFmtId="0" fontId="11" fillId="4" borderId="22" applyProtection="1" pivotButton="0" quotePrefix="0" xfId="0">
      <protection locked="0" hidden="0"/>
    </xf>
    <xf numFmtId="0" fontId="11" fillId="0" borderId="12" applyProtection="1" pivotButton="0" quotePrefix="0" xfId="0">
      <protection locked="0" hidden="0"/>
    </xf>
    <xf numFmtId="0" fontId="11" fillId="4" borderId="35" applyProtection="1" pivotButton="0" quotePrefix="0" xfId="0">
      <protection locked="0" hidden="0"/>
    </xf>
    <xf numFmtId="0" fontId="11" fillId="0" borderId="21" applyAlignment="1" applyProtection="1" pivotButton="0" quotePrefix="0" xfId="0">
      <alignment horizontal="center"/>
      <protection locked="0" hidden="0"/>
    </xf>
    <xf numFmtId="0" fontId="11" fillId="4" borderId="23" applyAlignment="1" applyProtection="1" pivotButton="0" quotePrefix="0" xfId="0">
      <alignment horizontal="center"/>
      <protection locked="0" hidden="0"/>
    </xf>
    <xf numFmtId="0" fontId="11" fillId="15" borderId="2" applyAlignment="1" applyProtection="1" pivotButton="0" quotePrefix="0" xfId="0">
      <alignment horizontal="center"/>
      <protection locked="0" hidden="0"/>
    </xf>
    <xf numFmtId="0" fontId="11" fillId="15" borderId="2" applyProtection="1" pivotButton="0" quotePrefix="0" xfId="0">
      <protection locked="0" hidden="0"/>
    </xf>
    <xf numFmtId="0" fontId="11" fillId="15" borderId="21" applyAlignment="1" applyProtection="1" pivotButton="0" quotePrefix="0" xfId="0">
      <alignment horizontal="center"/>
      <protection locked="0" hidden="0"/>
    </xf>
    <xf numFmtId="0" fontId="11" fillId="15" borderId="21" applyProtection="1" pivotButton="0" quotePrefix="0" xfId="0">
      <protection locked="0" hidden="0"/>
    </xf>
    <xf numFmtId="0" fontId="11" fillId="15" borderId="22" applyAlignment="1" applyProtection="1" pivotButton="0" quotePrefix="0" xfId="0">
      <alignment horizontal="center"/>
      <protection locked="0" hidden="0"/>
    </xf>
    <xf numFmtId="0" fontId="11" fillId="15" borderId="23" applyAlignment="1" applyProtection="1" pivotButton="0" quotePrefix="0" xfId="0">
      <alignment horizontal="center"/>
      <protection locked="0" hidden="0"/>
    </xf>
    <xf numFmtId="49" fontId="13" fillId="11" borderId="32" applyAlignment="1" applyProtection="1" pivotButton="0" quotePrefix="0" xfId="0">
      <alignment horizontal="left" vertical="center" wrapText="1" shrinkToFit="1" readingOrder="1"/>
      <protection locked="0" hidden="0"/>
    </xf>
    <xf numFmtId="49" fontId="13" fillId="11" borderId="0" applyAlignment="1" applyProtection="1" pivotButton="0" quotePrefix="0" xfId="0">
      <alignment horizontal="left" vertical="center" wrapText="1" shrinkToFit="1" readingOrder="1"/>
      <protection locked="0" hidden="0"/>
    </xf>
    <xf numFmtId="4" fontId="13" fillId="11" borderId="0" applyAlignment="1" applyProtection="1" pivotButton="0" quotePrefix="0" xfId="0">
      <alignment horizontal="right" vertical="center" wrapText="1" shrinkToFit="1" readingOrder="1"/>
      <protection locked="0" hidden="0"/>
    </xf>
    <xf numFmtId="4" fontId="13" fillId="11" borderId="0" applyAlignment="1" applyProtection="1" pivotButton="0" quotePrefix="0" xfId="0">
      <alignment horizontal="right" vertical="center" wrapText="1" shrinkToFit="1" readingOrder="1"/>
      <protection locked="0" hidden="0"/>
    </xf>
    <xf numFmtId="167" fontId="13" fillId="11" borderId="0" applyAlignment="1" applyProtection="1" pivotButton="0" quotePrefix="0" xfId="0">
      <alignment horizontal="right" vertical="center" wrapText="1" shrinkToFit="1" readingOrder="1"/>
      <protection locked="0" hidden="0"/>
    </xf>
    <xf numFmtId="168" fontId="13" fillId="11" borderId="0" applyAlignment="1" applyProtection="1" pivotButton="0" quotePrefix="0" xfId="0">
      <alignment horizontal="right" vertical="center" wrapText="1" shrinkToFit="1" readingOrder="1"/>
      <protection locked="0" hidden="0"/>
    </xf>
    <xf numFmtId="2" fontId="13" fillId="11" borderId="0" applyAlignment="1" applyProtection="1" pivotButton="0" quotePrefix="0" xfId="0">
      <alignment horizontal="right" vertical="center" wrapText="1" shrinkToFit="1" readingOrder="1"/>
      <protection locked="0" hidden="0"/>
    </xf>
    <xf numFmtId="2" fontId="13" fillId="11" borderId="33" applyAlignment="1" applyProtection="1" pivotButton="0" quotePrefix="0" xfId="0">
      <alignment horizontal="right" vertical="center" wrapText="1" shrinkToFit="1" readingOrder="1"/>
      <protection locked="0" hidden="0"/>
    </xf>
    <xf numFmtId="49" fontId="13" fillId="12" borderId="32" applyAlignment="1" applyProtection="1" pivotButton="0" quotePrefix="0" xfId="0">
      <alignment horizontal="left" vertical="center" wrapText="1" shrinkToFit="1" readingOrder="1"/>
      <protection locked="0" hidden="0"/>
    </xf>
    <xf numFmtId="49" fontId="13" fillId="12" borderId="0" applyAlignment="1" applyProtection="1" pivotButton="0" quotePrefix="0" xfId="0">
      <alignment horizontal="left" vertical="center" wrapText="1" shrinkToFit="1" readingOrder="1"/>
      <protection locked="0" hidden="0"/>
    </xf>
    <xf numFmtId="4" fontId="13" fillId="12" borderId="0" applyAlignment="1" applyProtection="1" pivotButton="0" quotePrefix="0" xfId="0">
      <alignment horizontal="right" vertical="center" wrapText="1" shrinkToFit="1" readingOrder="1"/>
      <protection locked="0" hidden="0"/>
    </xf>
    <xf numFmtId="4" fontId="13" fillId="12" borderId="0" applyAlignment="1" applyProtection="1" pivotButton="0" quotePrefix="0" xfId="0">
      <alignment horizontal="right" vertical="center" wrapText="1" shrinkToFit="1" readingOrder="1"/>
      <protection locked="0" hidden="0"/>
    </xf>
    <xf numFmtId="167" fontId="13" fillId="12" borderId="0" applyAlignment="1" applyProtection="1" pivotButton="0" quotePrefix="0" xfId="0">
      <alignment horizontal="right" vertical="center" wrapText="1" shrinkToFit="1" readingOrder="1"/>
      <protection locked="0" hidden="0"/>
    </xf>
    <xf numFmtId="168" fontId="13" fillId="12" borderId="0" applyAlignment="1" applyProtection="1" pivotButton="0" quotePrefix="0" xfId="0">
      <alignment horizontal="right" vertical="center" wrapText="1" shrinkToFit="1" readingOrder="1"/>
      <protection locked="0" hidden="0"/>
    </xf>
    <xf numFmtId="2" fontId="13" fillId="12" borderId="0" applyAlignment="1" applyProtection="1" pivotButton="0" quotePrefix="0" xfId="0">
      <alignment horizontal="right" vertical="center" wrapText="1" shrinkToFit="1" readingOrder="1"/>
      <protection locked="0" hidden="0"/>
    </xf>
    <xf numFmtId="2" fontId="13" fillId="12" borderId="33" applyAlignment="1" applyProtection="1" pivotButton="0" quotePrefix="0" xfId="0">
      <alignment horizontal="right" vertical="center" wrapText="1" shrinkToFit="1" readingOrder="1"/>
      <protection locked="0" hidden="0"/>
    </xf>
    <xf numFmtId="0" fontId="0" fillId="0" borderId="0" applyProtection="1" pivotButton="0" quotePrefix="0" xfId="0">
      <protection locked="0" hidden="0"/>
    </xf>
    <xf numFmtId="49" fontId="2" fillId="2" borderId="54" applyAlignment="1" pivotButton="0" quotePrefix="0" xfId="0">
      <alignment horizontal="center"/>
    </xf>
    <xf numFmtId="0" fontId="0" fillId="0" borderId="77" pivotButton="0" quotePrefix="0" xfId="0"/>
    <xf numFmtId="0" fontId="0" fillId="0" borderId="82" pivotButton="0" quotePrefix="0" xfId="0"/>
    <xf numFmtId="164" fontId="2" fillId="5" borderId="63" applyAlignment="1" pivotButton="0" quotePrefix="0" xfId="0">
      <alignment horizontal="center"/>
    </xf>
    <xf numFmtId="0" fontId="0" fillId="0" borderId="78" pivotButton="0" quotePrefix="0" xfId="0"/>
    <xf numFmtId="0" fontId="0" fillId="0" borderId="13" pivotButton="0" quotePrefix="0" xfId="0"/>
    <xf numFmtId="165" fontId="11" fillId="0" borderId="0" pivotButton="0" quotePrefix="0" xfId="0"/>
    <xf numFmtId="0" fontId="0" fillId="0" borderId="75" pivotButton="0" quotePrefix="0" xfId="0"/>
    <xf numFmtId="49" fontId="3" fillId="6" borderId="7" applyAlignment="1" pivotButton="0" quotePrefix="0" xfId="0">
      <alignment horizontal="center"/>
    </xf>
    <xf numFmtId="0" fontId="0" fillId="0" borderId="6" pivotButton="0" quotePrefix="0" xfId="0"/>
    <xf numFmtId="0" fontId="0" fillId="0" borderId="87" pivotButton="0" quotePrefix="0" xfId="0"/>
    <xf numFmtId="0" fontId="0" fillId="0" borderId="85" pivotButton="0" quotePrefix="0" xfId="0"/>
    <xf numFmtId="0" fontId="0" fillId="0" borderId="43" pivotButton="0" quotePrefix="0" xfId="0"/>
    <xf numFmtId="0" fontId="5" fillId="8" borderId="54" applyAlignment="1" pivotButton="0" quotePrefix="0" xfId="0">
      <alignment horizontal="center" vertical="center"/>
    </xf>
    <xf numFmtId="0" fontId="5" fillId="13" borderId="64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28" pivotButton="0" quotePrefix="0" xfId="0"/>
    <xf numFmtId="0" fontId="0" fillId="0" borderId="61" pivotButton="0" quotePrefix="0" xfId="0"/>
    <xf numFmtId="0" fontId="0" fillId="0" borderId="69" pivotButton="0" quotePrefix="0" xfId="0"/>
    <xf numFmtId="0" fontId="0" fillId="0" borderId="19" pivotButton="0" quotePrefix="0" xfId="0"/>
    <xf numFmtId="0" fontId="0" fillId="0" borderId="1" pivotButton="0" quotePrefix="0" xfId="0"/>
    <xf numFmtId="0" fontId="3" fillId="3" borderId="80" applyAlignment="1" pivotButton="0" quotePrefix="0" xfId="0">
      <alignment horizontal="center"/>
    </xf>
    <xf numFmtId="0" fontId="0" fillId="0" borderId="71" pivotButton="0" quotePrefix="0" xfId="0"/>
    <xf numFmtId="0" fontId="0" fillId="0" borderId="72" pivotButton="0" quotePrefix="0" xfId="0"/>
    <xf numFmtId="165" fontId="2" fillId="8" borderId="2" applyAlignment="1" applyProtection="1" pivotButton="0" quotePrefix="0" xfId="0">
      <alignment horizontal="center"/>
      <protection locked="0" hidden="0"/>
    </xf>
    <xf numFmtId="165" fontId="2" fillId="8" borderId="12" applyAlignment="1" applyProtection="1" pivotButton="0" quotePrefix="0" xfId="0">
      <alignment horizontal="center"/>
      <protection locked="0" hidden="0"/>
    </xf>
    <xf numFmtId="165" fontId="2" fillId="8" borderId="21" applyAlignment="1" applyProtection="1" pivotButton="0" quotePrefix="0" xfId="0">
      <alignment horizontal="center"/>
      <protection locked="0" hidden="0"/>
    </xf>
    <xf numFmtId="0" fontId="3" fillId="4" borderId="81" applyAlignment="1" pivotButton="0" quotePrefix="0" xfId="0">
      <alignment horizontal="center"/>
    </xf>
    <xf numFmtId="0" fontId="0" fillId="0" borderId="11" pivotButton="0" quotePrefix="0" xfId="0"/>
    <xf numFmtId="0" fontId="0" fillId="0" borderId="16" pivotButton="0" quotePrefix="0" xfId="0"/>
    <xf numFmtId="0" fontId="0" fillId="0" borderId="53" pivotButton="0" quotePrefix="0" xfId="0"/>
    <xf numFmtId="1" fontId="11" fillId="4" borderId="63" applyAlignment="1" applyProtection="1" pivotButton="0" quotePrefix="0" xfId="0">
      <alignment horizontal="center"/>
      <protection locked="0" hidden="0"/>
    </xf>
    <xf numFmtId="0" fontId="0" fillId="0" borderId="78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165" fontId="11" fillId="4" borderId="2" applyProtection="1" pivotButton="0" quotePrefix="0" xfId="0">
      <protection locked="0" hidden="0"/>
    </xf>
    <xf numFmtId="165" fontId="11" fillId="4" borderId="2" applyAlignment="1" applyProtection="1" pivotButton="0" quotePrefix="0" xfId="0">
      <alignment horizontal="center"/>
      <protection locked="0" hidden="0"/>
    </xf>
    <xf numFmtId="165" fontId="11" fillId="4" borderId="14" applyAlignment="1" applyProtection="1" pivotButton="0" quotePrefix="0" xfId="0">
      <alignment horizontal="center"/>
      <protection locked="0" hidden="0"/>
    </xf>
    <xf numFmtId="0" fontId="0" fillId="0" borderId="30" applyProtection="1" pivotButton="0" quotePrefix="0" xfId="0">
      <protection locked="0" hidden="0"/>
    </xf>
    <xf numFmtId="0" fontId="0" fillId="0" borderId="74" applyProtection="1" pivotButton="0" quotePrefix="0" xfId="0">
      <protection locked="0" hidden="0"/>
    </xf>
    <xf numFmtId="0" fontId="0" fillId="0" borderId="84" applyProtection="1" pivotButton="0" quotePrefix="0" xfId="0">
      <protection locked="0" hidden="0"/>
    </xf>
    <xf numFmtId="0" fontId="0" fillId="0" borderId="85" applyProtection="1" pivotButton="0" quotePrefix="0" xfId="0">
      <protection locked="0" hidden="0"/>
    </xf>
    <xf numFmtId="0" fontId="11" fillId="0" borderId="17" applyAlignment="1" pivotButton="0" quotePrefix="0" xfId="0">
      <alignment horizontal="left" vertical="center"/>
    </xf>
    <xf numFmtId="49" fontId="2" fillId="2" borderId="2" applyAlignment="1" pivotButton="0" quotePrefix="0" xfId="0">
      <alignment horizontal="left" vertical="center"/>
    </xf>
    <xf numFmtId="0" fontId="0" fillId="0" borderId="1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49" fontId="2" fillId="17" borderId="45" applyAlignment="1" pivotButton="0" quotePrefix="0" xfId="0">
      <alignment horizontal="center"/>
    </xf>
    <xf numFmtId="0" fontId="0" fillId="0" borderId="40" pivotButton="0" quotePrefix="0" xfId="0"/>
    <xf numFmtId="0" fontId="11" fillId="17" borderId="80" applyAlignment="1" pivotButton="0" quotePrefix="0" xfId="0">
      <alignment horizontal="center"/>
    </xf>
    <xf numFmtId="0" fontId="0" fillId="0" borderId="75" applyProtection="1" pivotButton="0" quotePrefix="0" xfId="0">
      <protection locked="0" hidden="0"/>
    </xf>
    <xf numFmtId="167" fontId="13" fillId="11" borderId="0" applyAlignment="1" applyProtection="1" pivotButton="0" quotePrefix="0" xfId="0">
      <alignment horizontal="right" vertical="center" wrapText="1" shrinkToFit="1" readingOrder="1"/>
      <protection locked="0" hidden="0"/>
    </xf>
    <xf numFmtId="168" fontId="13" fillId="11" borderId="0" applyAlignment="1" applyProtection="1" pivotButton="0" quotePrefix="0" xfId="0">
      <alignment horizontal="right" vertical="center" wrapText="1" shrinkToFit="1" readingOrder="1"/>
      <protection locked="0" hidden="0"/>
    </xf>
    <xf numFmtId="167" fontId="13" fillId="12" borderId="0" applyAlignment="1" applyProtection="1" pivotButton="0" quotePrefix="0" xfId="0">
      <alignment horizontal="right" vertical="center" wrapText="1" shrinkToFit="1" readingOrder="1"/>
      <protection locked="0" hidden="0"/>
    </xf>
    <xf numFmtId="168" fontId="13" fillId="12" borderId="0" applyAlignment="1" applyProtection="1" pivotButton="0" quotePrefix="0" xfId="0">
      <alignment horizontal="right" vertical="center" wrapText="1" shrinkToFit="1" readingOrder="1"/>
      <protection locked="0" hidden="0"/>
    </xf>
    <xf numFmtId="167" fontId="13" fillId="12" borderId="0" applyAlignment="1" pivotButton="0" quotePrefix="0" xfId="0">
      <alignment horizontal="right" vertical="center" wrapText="1" shrinkToFit="1" readingOrder="1"/>
    </xf>
    <xf numFmtId="168" fontId="13" fillId="12" borderId="0" applyAlignment="1" pivotButton="0" quotePrefix="0" xfId="0">
      <alignment horizontal="right" vertical="center" wrapText="1" shrinkToFit="1" readingOrder="1"/>
    </xf>
    <xf numFmtId="166" fontId="0" fillId="0" borderId="2" pivotButton="0" quotePrefix="0" xfId="2"/>
    <xf numFmtId="166" fontId="0" fillId="0" borderId="2" pivotButton="0" quotePrefix="0" xfId="0"/>
    <xf numFmtId="166" fontId="8" fillId="0" borderId="45" pivotButton="0" quotePrefix="0" xfId="0"/>
  </cellXfs>
  <cellStyles count="3">
    <cellStyle name="Normal" xfId="0" builtinId="0"/>
    <cellStyle name="Porcentaje" xfId="1" builtinId="5"/>
    <cellStyle name="Moneda [0]" xfId="2" builtinId="7"/>
  </cellStyles>
  <dxfs count="160">
    <dxf>
      <font>
        <name val="Calibri"/>
        <strike val="0"/>
        <outline val="0"/>
        <shadow val="0"/>
        <condense val="0"/>
        <color indexed="8"/>
        <extend val="0"/>
        <sz val="10"/>
        <vertAlign val="baseline"/>
      </font>
      <numFmt numFmtId="0" formatCode="General"/>
      <alignment horizontal="center" vertical="bottom"/>
      <protection locked="1" hidden="0"/>
    </dxf>
    <dxf>
      <font>
        <name val="Calibri"/>
        <strike val="0"/>
        <outline val="0"/>
        <shadow val="0"/>
        <condense val="0"/>
        <color indexed="8"/>
        <extend val="0"/>
        <sz val="10"/>
        <vertAlign val="baseline"/>
      </font>
      <numFmt numFmtId="167" formatCode="0.0"/>
      <fill>
        <patternFill>
          <fgColor indexed="64"/>
          <bgColor rgb="FFFFFF00"/>
        </patternFill>
      </fill>
      <alignment horizontal="center" vertical="bottom"/>
      <protection locked="0" hidden="0"/>
    </dxf>
    <dxf>
      <font>
        <name val="Calibri"/>
        <strike val="0"/>
        <outline val="0"/>
        <shadow val="0"/>
        <condense val="0"/>
        <color indexed="8"/>
        <extend val="0"/>
        <sz val="10"/>
        <vertAlign val="baseline"/>
      </font>
      <numFmt numFmtId="30" formatCode="@"/>
      <fill>
        <patternFill patternType="solid">
          <fgColor indexed="64"/>
          <bgColor indexed="9"/>
        </patternFill>
      </fill>
      <alignment horizontal="general" vertical="bottom"/>
      <protection locked="1" hidden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ck">
          <color auto="1"/>
        </left>
        <right style="thick">
          <color auto="1"/>
        </right>
        <bottom style="thick">
          <color auto="1"/>
        </bottom>
      </border>
    </dxf>
    <dxf>
      <font>
        <name val="Calibri"/>
        <strike val="0"/>
        <outline val="0"/>
        <shadow val="0"/>
        <sz val="10"/>
        <vertAlign val="baseline"/>
      </font>
      <numFmt numFmtId="0" formatCode="General"/>
      <protection locked="1" hidden="0"/>
    </dxf>
    <dxf>
      <font>
        <name val="Calibri"/>
        <b val="1"/>
        <strike val="0"/>
        <outline val="0"/>
        <shadow val="0"/>
        <condense val="0"/>
        <color theme="0"/>
        <extend val="0"/>
        <sz val="10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strike val="0"/>
        <outline val="0"/>
        <shadow val="0"/>
        <condense val="0"/>
        <color indexed="8"/>
        <extend val="0"/>
        <sz val="10"/>
        <vertAlign val="baseline"/>
      </font>
      <numFmt numFmtId="0" formatCode="General"/>
      <alignment horizontal="center" vertical="bottom"/>
      <protection locked="1" hidden="0"/>
    </dxf>
    <dxf>
      <font>
        <name val="Calibri"/>
        <strike val="0"/>
        <outline val="0"/>
        <shadow val="0"/>
        <condense val="0"/>
        <color indexed="8"/>
        <extend val="0"/>
        <sz val="10"/>
        <vertAlign val="baseline"/>
      </font>
      <numFmt numFmtId="167" formatCode="0.0"/>
      <fill>
        <patternFill>
          <fgColor indexed="64"/>
          <bgColor rgb="FFFFFF00"/>
        </patternFill>
      </fill>
      <alignment horizontal="center" vertical="bottom"/>
      <protection locked="0" hidden="0"/>
    </dxf>
    <dxf>
      <font>
        <name val="Calibri"/>
        <strike val="0"/>
        <outline val="0"/>
        <shadow val="0"/>
        <condense val="0"/>
        <color indexed="8"/>
        <extend val="0"/>
        <sz val="10"/>
        <vertAlign val="baseline"/>
      </font>
      <numFmt numFmtId="30" formatCode="@"/>
      <fill>
        <patternFill patternType="solid">
          <fgColor indexed="64"/>
          <bgColor indexed="9"/>
        </patternFill>
      </fill>
      <alignment horizontal="general" vertical="bottom"/>
      <protection locked="1" hidden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ck">
          <color auto="1"/>
        </left>
        <right style="thick">
          <color auto="1"/>
        </right>
        <bottom style="thick">
          <color auto="1"/>
        </bottom>
      </border>
    </dxf>
    <dxf>
      <font>
        <name val="Calibri"/>
        <strike val="0"/>
        <outline val="0"/>
        <shadow val="0"/>
        <sz val="10"/>
        <vertAlign val="baseline"/>
      </font>
      <numFmt numFmtId="0" formatCode="General"/>
      <protection locked="1" hidden="0"/>
    </dxf>
    <dxf>
      <font>
        <name val="Calibri"/>
        <b val="1"/>
        <strike val="0"/>
        <outline val="0"/>
        <shadow val="0"/>
        <condense val="0"/>
        <color theme="0"/>
        <extend val="0"/>
        <sz val="10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strike val="0"/>
        <outline val="0"/>
        <shadow val="0"/>
        <condense val="0"/>
        <color indexed="8"/>
        <extend val="0"/>
        <sz val="10"/>
        <vertAlign val="baseline"/>
      </font>
      <numFmt numFmtId="0" formatCode="General"/>
      <alignment horizontal="center" vertical="bottom"/>
      <protection locked="1" hidden="0"/>
    </dxf>
    <dxf>
      <font>
        <name val="Calibri"/>
        <strike val="0"/>
        <outline val="0"/>
        <shadow val="0"/>
        <condense val="0"/>
        <color indexed="8"/>
        <extend val="0"/>
        <sz val="10"/>
        <vertAlign val="baseline"/>
      </font>
      <numFmt numFmtId="167" formatCode="0.0"/>
      <fill>
        <patternFill>
          <fgColor indexed="64"/>
          <bgColor rgb="FFFFFF00"/>
        </patternFill>
      </fill>
      <alignment horizontal="center" vertical="bottom"/>
      <protection locked="0" hidden="0"/>
    </dxf>
    <dxf>
      <font>
        <name val="Calibri"/>
        <strike val="0"/>
        <outline val="0"/>
        <shadow val="0"/>
        <condense val="0"/>
        <color indexed="8"/>
        <extend val="0"/>
        <sz val="10"/>
        <vertAlign val="baseline"/>
      </font>
      <numFmt numFmtId="30" formatCode="@"/>
      <fill>
        <patternFill patternType="solid">
          <fgColor indexed="64"/>
          <bgColor indexed="9"/>
        </patternFill>
      </fill>
      <alignment horizontal="general" vertical="bottom"/>
      <protection locked="1" hidden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ck">
          <color auto="1"/>
        </left>
        <right style="thick">
          <color auto="1"/>
        </right>
        <bottom style="thick">
          <color auto="1"/>
        </bottom>
      </border>
    </dxf>
    <dxf>
      <font>
        <name val="Calibri"/>
        <strike val="0"/>
        <outline val="0"/>
        <shadow val="0"/>
        <sz val="10"/>
        <vertAlign val="baseline"/>
      </font>
      <numFmt numFmtId="0" formatCode="General"/>
      <protection locked="1" hidden="0"/>
    </dxf>
    <dxf>
      <font>
        <name val="Calibri"/>
        <b val="1"/>
        <strike val="0"/>
        <outline val="0"/>
        <shadow val="0"/>
        <condense val="0"/>
        <color theme="0"/>
        <extend val="0"/>
        <sz val="10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strike val="0"/>
        <outline val="0"/>
        <shadow val="0"/>
        <condense val="0"/>
        <color indexed="8"/>
        <extend val="0"/>
        <sz val="10"/>
        <vertAlign val="baseline"/>
      </font>
      <numFmt numFmtId="0" formatCode="General"/>
      <alignment horizontal="center" vertical="bottom"/>
      <protection locked="1" hidden="0"/>
    </dxf>
    <dxf>
      <font>
        <name val="Calibri"/>
        <strike val="0"/>
        <outline val="0"/>
        <shadow val="0"/>
        <condense val="0"/>
        <color indexed="8"/>
        <extend val="0"/>
        <sz val="10"/>
        <vertAlign val="baseline"/>
      </font>
      <numFmt numFmtId="167" formatCode="0.0"/>
      <fill>
        <patternFill>
          <fgColor indexed="64"/>
          <bgColor rgb="FFFFFF00"/>
        </patternFill>
      </fill>
      <alignment horizontal="center" vertical="bottom"/>
      <protection locked="0" hidden="0"/>
    </dxf>
    <dxf>
      <font>
        <name val="Calibri"/>
        <strike val="0"/>
        <outline val="0"/>
        <shadow val="0"/>
        <condense val="0"/>
        <color indexed="8"/>
        <extend val="0"/>
        <sz val="10"/>
        <vertAlign val="baseline"/>
      </font>
      <numFmt numFmtId="30" formatCode="@"/>
      <fill>
        <patternFill patternType="solid">
          <fgColor indexed="64"/>
          <bgColor indexed="9"/>
        </patternFill>
      </fill>
      <alignment horizontal="general" vertical="bottom"/>
      <protection locked="1" hidden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ck">
          <color auto="1"/>
        </left>
        <right style="thick">
          <color auto="1"/>
        </right>
        <bottom style="thick">
          <color auto="1"/>
        </bottom>
      </border>
    </dxf>
    <dxf>
      <font>
        <name val="Calibri"/>
        <strike val="0"/>
        <outline val="0"/>
        <shadow val="0"/>
        <sz val="10"/>
        <vertAlign val="baseline"/>
      </font>
      <numFmt numFmtId="0" formatCode="General"/>
      <protection locked="1" hidden="0"/>
    </dxf>
    <dxf>
      <font>
        <name val="Calibri"/>
        <b val="1"/>
        <strike val="0"/>
        <outline val="0"/>
        <shadow val="0"/>
        <condense val="0"/>
        <color theme="0"/>
        <extend val="0"/>
        <sz val="10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strike val="0"/>
        <outline val="0"/>
        <shadow val="0"/>
        <condense val="0"/>
        <color indexed="8"/>
        <extend val="0"/>
        <sz val="10"/>
        <vertAlign val="baseline"/>
      </font>
      <numFmt numFmtId="0" formatCode="General"/>
      <alignment horizontal="center" vertical="bottom"/>
      <protection locked="1" hidden="0"/>
    </dxf>
    <dxf>
      <font>
        <name val="Calibri"/>
        <strike val="0"/>
        <outline val="0"/>
        <shadow val="0"/>
        <condense val="0"/>
        <color indexed="8"/>
        <extend val="0"/>
        <sz val="10"/>
        <vertAlign val="baseline"/>
      </font>
      <numFmt numFmtId="167" formatCode="0.0"/>
      <fill>
        <patternFill>
          <fgColor indexed="64"/>
          <bgColor rgb="FFFFFF00"/>
        </patternFill>
      </fill>
      <alignment horizontal="center" vertical="bottom"/>
      <protection locked="0" hidden="0"/>
    </dxf>
    <dxf>
      <font>
        <name val="Calibri"/>
        <strike val="0"/>
        <outline val="0"/>
        <shadow val="0"/>
        <condense val="0"/>
        <color indexed="8"/>
        <extend val="0"/>
        <sz val="10"/>
        <vertAlign val="baseline"/>
      </font>
      <numFmt numFmtId="30" formatCode="@"/>
      <fill>
        <patternFill patternType="solid">
          <fgColor indexed="64"/>
          <bgColor indexed="9"/>
        </patternFill>
      </fill>
      <alignment horizontal="general" vertical="bottom"/>
      <protection locked="1" hidden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ck">
          <color auto="1"/>
        </left>
        <right style="thick">
          <color auto="1"/>
        </right>
        <bottom style="thick">
          <color auto="1"/>
        </bottom>
      </border>
    </dxf>
    <dxf>
      <font>
        <name val="Calibri"/>
        <strike val="0"/>
        <outline val="0"/>
        <shadow val="0"/>
        <sz val="10"/>
        <vertAlign val="baseline"/>
      </font>
      <numFmt numFmtId="0" formatCode="General"/>
      <protection locked="1" hidden="0"/>
    </dxf>
    <dxf>
      <font>
        <name val="Calibri"/>
        <b val="1"/>
        <strike val="0"/>
        <outline val="0"/>
        <shadow val="0"/>
        <condense val="0"/>
        <color theme="0"/>
        <extend val="0"/>
        <sz val="10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strike val="0"/>
        <outline val="0"/>
        <shadow val="0"/>
        <condense val="0"/>
        <color indexed="8"/>
        <extend val="0"/>
        <sz val="10"/>
        <vertAlign val="baseline"/>
      </font>
      <numFmt numFmtId="0" formatCode="General"/>
      <alignment horizontal="center" vertical="bottom"/>
      <protection locked="1" hidden="0"/>
    </dxf>
    <dxf>
      <font>
        <name val="Calibri"/>
        <strike val="0"/>
        <outline val="0"/>
        <shadow val="0"/>
        <condense val="0"/>
        <color indexed="8"/>
        <extend val="0"/>
        <sz val="10"/>
        <vertAlign val="baseline"/>
      </font>
      <numFmt numFmtId="167" formatCode="0.0"/>
      <fill>
        <patternFill>
          <fgColor indexed="64"/>
          <bgColor rgb="FFFFFF00"/>
        </patternFill>
      </fill>
      <alignment horizontal="center" vertical="bottom"/>
      <protection locked="0" hidden="0"/>
    </dxf>
    <dxf>
      <font>
        <name val="Calibri"/>
        <strike val="0"/>
        <outline val="0"/>
        <shadow val="0"/>
        <condense val="0"/>
        <color indexed="8"/>
        <extend val="0"/>
        <sz val="10"/>
        <vertAlign val="baseline"/>
      </font>
      <numFmt numFmtId="30" formatCode="@"/>
      <fill>
        <patternFill patternType="solid">
          <fgColor indexed="64"/>
          <bgColor indexed="9"/>
        </patternFill>
      </fill>
      <alignment horizontal="general" vertical="bottom"/>
      <protection locked="1" hidden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ck">
          <color auto="1"/>
        </left>
        <right style="thick">
          <color auto="1"/>
        </right>
        <bottom style="thick">
          <color auto="1"/>
        </bottom>
      </border>
    </dxf>
    <dxf>
      <font>
        <name val="Calibri"/>
        <strike val="0"/>
        <outline val="0"/>
        <shadow val="0"/>
        <sz val="10"/>
        <vertAlign val="baseline"/>
      </font>
      <numFmt numFmtId="0" formatCode="General"/>
      <protection locked="1" hidden="0"/>
    </dxf>
    <dxf>
      <font>
        <name val="Calibri"/>
        <b val="1"/>
        <strike val="0"/>
        <outline val="0"/>
        <shadow val="0"/>
        <condense val="0"/>
        <color theme="0"/>
        <extend val="0"/>
        <sz val="10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"/>
        </patternFill>
      </fill>
    </dxf>
    <dxf>
      <fill>
        <patternFill>
          <bgColor theme="4" tint="0.3999450666829432"/>
        </patternFill>
      </fill>
    </dxf>
    <dxf>
      <fill>
        <patternFill>
          <bgColor theme="4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"/>
        </patternFill>
      </fill>
    </dxf>
    <dxf>
      <fill>
        <patternFill>
          <bgColor theme="4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"/>
        </patternFill>
      </fill>
    </dxf>
    <dxf>
      <fill>
        <patternFill>
          <bgColor theme="4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"/>
        </patternFill>
      </fill>
    </dxf>
    <dxf>
      <fill>
        <patternFill>
          <bgColor theme="4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"/>
        </patternFill>
      </fill>
    </dxf>
    <dxf>
      <fill>
        <patternFill>
          <bgColor theme="4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strike val="0"/>
        <outline val="0"/>
        <shadow val="0"/>
        <condense val="0"/>
        <color indexed="8"/>
        <extend val="0"/>
        <sz val="10"/>
        <vertAlign val="baseline"/>
      </font>
      <numFmt numFmtId="167" formatCode="0.0"/>
      <fill>
        <patternFill>
          <fgColor indexed="64"/>
          <bgColor rgb="FFFFFF00"/>
        </patternFill>
      </fill>
      <alignment horizontal="center" vertical="bottom"/>
      <protection locked="0" hidden="0"/>
    </dxf>
    <dxf>
      <font>
        <name val="Calibri"/>
        <strike val="0"/>
        <outline val="0"/>
        <shadow val="0"/>
        <sz val="10"/>
        <vertAlign val="baseline"/>
      </font>
      <numFmt numFmtId="0" formatCode="General"/>
      <protection locked="1" hidden="0"/>
    </dxf>
    <dxf>
      <font>
        <name val="Calibri"/>
        <b val="1"/>
        <strike val="0"/>
        <outline val="0"/>
        <shadow val="0"/>
        <condense val="0"/>
        <color theme="0"/>
        <extend val="0"/>
        <sz val="10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protection locked="1" hidden="0"/>
    </dxf>
    <dxf>
      <font>
        <name val="Calibri"/>
        <strike val="0"/>
        <outline val="0"/>
        <shadow val="0"/>
        <condense val="0"/>
        <color indexed="8"/>
        <extend val="0"/>
        <sz val="10"/>
        <vertAlign val="baseline"/>
      </font>
      <numFmt numFmtId="0" formatCode="General"/>
      <alignment horizontal="center" vertical="bottom"/>
      <protection locked="1" hidden="0"/>
    </dxf>
    <dxf>
      <font>
        <name val="Calibri"/>
        <strike val="0"/>
        <outline val="0"/>
        <shadow val="0"/>
        <condense val="0"/>
        <color indexed="8"/>
        <extend val="0"/>
        <sz val="10"/>
        <vertAlign val="baseline"/>
      </font>
      <numFmt numFmtId="30" formatCode="@"/>
      <fill>
        <patternFill patternType="solid">
          <fgColor indexed="64"/>
          <bgColor indexed="9"/>
        </patternFill>
      </fill>
      <alignment horizontal="general" vertical="bottom"/>
      <protection locked="1" hidden="0"/>
    </dxf>
    <dxf>
      <border outline="0">
        <top style="thin">
          <color auto="1"/>
        </top>
      </border>
    </dxf>
    <dxf>
      <border outline="0">
        <left style="thick">
          <color auto="1"/>
        </left>
        <right style="thick">
          <color auto="1"/>
        </right>
        <bottom style="thick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a815733578910114613141516" displayName="Tabla815733578910114613141516" ref="D220:F242" headerRowCount="1" totalsRowShown="0" headerRowDxfId="154" dataDxfId="153" headerRowBorderDxfId="159" tableBorderDxfId="158" totalsRowBorderDxfId="157">
  <sortState ref="D218:G251">
    <sortCondition ref="D238"/>
  </sortState>
  <tableColumns count="3">
    <tableColumn id="1" name="Ítem" dataDxfId="156"/>
    <tableColumn id="2" name="Cant." dataDxfId="152"/>
    <tableColumn id="3" name="Medida" dataDxfId="15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a8157335789101146131415167" displayName="Tabla8157335789101146131415167" ref="D220:F242" headerRowCount="1" totalsRowShown="0" headerRowDxfId="82" dataDxfId="81" headerRowBorderDxfId="79" tableBorderDxfId="80" totalsRowBorderDxfId="78">
  <sortState ref="D221:G254">
    <sortCondition ref="D238"/>
  </sortState>
  <tableColumns count="3">
    <tableColumn id="1" name="Ítem" dataDxfId="77"/>
    <tableColumn id="2" name="Cant." dataDxfId="76"/>
    <tableColumn id="3" name="Medida" dataDxfId="7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a8157335789101146131415169" displayName="Tabla8157335789101146131415169" ref="D220:F242" headerRowCount="1" totalsRowShown="0" headerRowDxfId="67" dataDxfId="66" headerRowBorderDxfId="64" tableBorderDxfId="65" totalsRowBorderDxfId="63">
  <sortState ref="D221:G254">
    <sortCondition ref="D238"/>
  </sortState>
  <tableColumns count="3">
    <tableColumn id="1" name="Ítem" dataDxfId="62"/>
    <tableColumn id="2" name="Cant." dataDxfId="61"/>
    <tableColumn id="3" name="Medida" dataDxfId="6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la81573357891011461314151610" displayName="Tabla81573357891011461314151610" ref="D220:F242" headerRowCount="1" totalsRowShown="0" headerRowDxfId="52" dataDxfId="51" headerRowBorderDxfId="49" tableBorderDxfId="50" totalsRowBorderDxfId="48">
  <sortState ref="D221:G254">
    <sortCondition ref="D238"/>
  </sortState>
  <tableColumns count="3">
    <tableColumn id="1" name="Ítem" dataDxfId="47"/>
    <tableColumn id="2" name="Cant." dataDxfId="46"/>
    <tableColumn id="3" name="Medida" dataDxfId="4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la81573357891011461314151611" displayName="Tabla81573357891011461314151611" ref="D220:F242" headerRowCount="1" totalsRowShown="0" headerRowDxfId="37" dataDxfId="36" headerRowBorderDxfId="34" tableBorderDxfId="35" totalsRowBorderDxfId="33">
  <sortState ref="D221:G254">
    <sortCondition ref="D238"/>
  </sortState>
  <tableColumns count="3">
    <tableColumn id="1" name="Ítem" dataDxfId="32"/>
    <tableColumn id="2" name="Cant." dataDxfId="31"/>
    <tableColumn id="3" name="Medida" dataDxfId="3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abla81573357891011461314151612" displayName="Tabla81573357891011461314151612" ref="D220:F242" headerRowCount="1" totalsRowShown="0" headerRowDxfId="22" dataDxfId="21" headerRowBorderDxfId="19" tableBorderDxfId="20" totalsRowBorderDxfId="18">
  <sortState ref="D221:G254">
    <sortCondition ref="D238"/>
  </sortState>
  <tableColumns count="3">
    <tableColumn id="1" name="Ítem" dataDxfId="17"/>
    <tableColumn id="2" name="Cant." dataDxfId="16"/>
    <tableColumn id="3" name="Medida" dataDxfId="15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abla81573357891011461314151613" displayName="Tabla81573357891011461314151613" ref="D220:F242" headerRowCount="1" totalsRowShown="0" headerRowDxfId="7" dataDxfId="6" headerRowBorderDxfId="4" tableBorderDxfId="5" totalsRowBorderDxfId="3">
  <sortState ref="D221:G254">
    <sortCondition ref="D238"/>
  </sortState>
  <tableColumns count="3">
    <tableColumn id="1" name="Ítem" dataDxfId="2"/>
    <tableColumn id="2" name="Cant." dataDxfId="1"/>
    <tableColumn id="3" name="Medid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E977"/>
  <sheetViews>
    <sheetView showGridLines="0" topLeftCell="A100" zoomScale="85" zoomScaleNormal="85" workbookViewId="0">
      <selection activeCell="G118" sqref="G118"/>
    </sheetView>
  </sheetViews>
  <sheetFormatPr baseColWidth="10" defaultRowHeight="12.75"/>
  <cols>
    <col width="11.42578125" customWidth="1" style="232" min="1" max="2"/>
    <col width="12.140625" bestFit="1" customWidth="1" style="232" min="3" max="3"/>
    <col width="36.42578125" bestFit="1" customWidth="1" style="232" min="4" max="4"/>
    <col width="11.42578125" customWidth="1" style="232" min="5" max="5"/>
    <col width="26.85546875" customWidth="1" style="232" min="6" max="6"/>
    <col width="11.85546875" customWidth="1" style="232" min="7" max="7"/>
    <col width="11.42578125" customWidth="1" style="232" min="8" max="9"/>
    <col width="13.7109375" bestFit="1" customWidth="1" style="232" min="10" max="10"/>
    <col width="12" bestFit="1" customWidth="1" style="232" min="11" max="11"/>
    <col width="23.140625" customWidth="1" style="232" min="12" max="12"/>
    <col width="11.42578125" customWidth="1" style="232" min="13" max="16384"/>
  </cols>
  <sheetData>
    <row r="1" ht="13.5" customHeight="1" s="95" thickBot="1"/>
    <row r="2" ht="13.5" customHeight="1" s="95" thickBot="1">
      <c r="B2" s="4" t="n"/>
      <c r="C2" s="9" t="n"/>
      <c r="D2" s="126" t="inlineStr">
        <is>
          <t>PRODUCTOS</t>
        </is>
      </c>
      <c r="E2" s="128" t="inlineStr">
        <is>
          <t>+</t>
        </is>
      </c>
      <c r="F2" s="128" t="inlineStr">
        <is>
          <t>+</t>
        </is>
      </c>
      <c r="G2" s="128" t="inlineStr">
        <is>
          <t>(-)</t>
        </is>
      </c>
      <c r="H2" s="128" t="inlineStr">
        <is>
          <t>(-)</t>
        </is>
      </c>
      <c r="I2" s="128" t="inlineStr">
        <is>
          <t>=</t>
        </is>
      </c>
      <c r="J2" s="128" t="inlineStr">
        <is>
          <t>=</t>
        </is>
      </c>
      <c r="K2" s="128" t="inlineStr">
        <is>
          <t>=</t>
        </is>
      </c>
      <c r="L2" s="296" t="inlineStr">
        <is>
          <t>$</t>
        </is>
      </c>
      <c r="M2" s="297" t="n"/>
      <c r="N2" s="34" t="inlineStr">
        <is>
          <t>$</t>
        </is>
      </c>
      <c r="O2" s="4" t="n"/>
      <c r="P2" s="4" t="n"/>
      <c r="Q2" s="4" t="n"/>
    </row>
    <row r="3" ht="13.5" customHeight="1" s="95" thickBot="1">
      <c r="B3" s="4" t="n"/>
      <c r="C3" s="33" t="n"/>
      <c r="D3" s="298" t="n"/>
      <c r="E3" s="129" t="inlineStr">
        <is>
          <t>Stock Inicial</t>
        </is>
      </c>
      <c r="F3" s="129" t="inlineStr">
        <is>
          <t>Entregas</t>
        </is>
      </c>
      <c r="G3" s="129" t="inlineStr">
        <is>
          <t>Ventas</t>
        </is>
      </c>
      <c r="H3" s="129" t="inlineStr">
        <is>
          <t>Mermas</t>
        </is>
      </c>
      <c r="I3" s="129" t="inlineStr">
        <is>
          <t>Stock Real</t>
        </is>
      </c>
      <c r="J3" s="129" t="inlineStr">
        <is>
          <t>Stock Informado</t>
        </is>
      </c>
      <c r="K3" s="129" t="inlineStr">
        <is>
          <t>Diferencias</t>
        </is>
      </c>
      <c r="L3" s="129" t="inlineStr">
        <is>
          <t>Precio</t>
        </is>
      </c>
      <c r="M3" s="297" t="n"/>
      <c r="N3" s="109" t="inlineStr">
        <is>
          <t>Descuento</t>
        </is>
      </c>
      <c r="O3" s="4" t="n"/>
      <c r="P3" s="4" t="n"/>
      <c r="Q3" s="4" t="n"/>
    </row>
    <row r="4">
      <c r="B4" s="4" t="n"/>
      <c r="C4" s="9" t="n"/>
      <c r="D4" s="103" t="inlineStr">
        <is>
          <t>Atún Steak</t>
        </is>
      </c>
      <c r="E4" s="243" t="n"/>
      <c r="F4" s="104">
        <f>E221</f>
        <v/>
      </c>
      <c r="G4" s="104">
        <f>IFERROR(SUMPRODUCT(($F$66:$F$153="Atún Steak")*$E$66:$E$153*$G$66:$G$153),"Error")</f>
        <v/>
      </c>
      <c r="H4" s="104">
        <f>SUM(F159:J159)</f>
        <v/>
      </c>
      <c r="I4" s="104">
        <f>E4+F4-G4-H4</f>
        <v/>
      </c>
      <c r="J4" s="104">
        <f>E159</f>
        <v/>
      </c>
      <c r="K4" s="105">
        <f>J4-I4</f>
        <v/>
      </c>
      <c r="L4" s="299">
        <f>+'MERMAS S1'!D5</f>
        <v/>
      </c>
      <c r="M4" s="300" t="n"/>
      <c r="N4" s="106">
        <f>IF(K4&lt;0,K4*L4,0)</f>
        <v/>
      </c>
      <c r="O4" s="4" t="n"/>
      <c r="P4" s="4" t="n"/>
      <c r="Q4" s="4" t="n"/>
    </row>
    <row r="5">
      <c r="B5" s="4" t="n"/>
      <c r="C5" s="9" t="n"/>
      <c r="D5" s="49" t="inlineStr">
        <is>
          <t>Atún Trozos</t>
        </is>
      </c>
      <c r="E5" s="244" t="n"/>
      <c r="F5" s="86">
        <f>E222</f>
        <v/>
      </c>
      <c r="G5" s="86">
        <f>IFERROR(SUMPRODUCT(($F$66:$F$153="Atún Trozos")*$E$66:$E$153*$G$66:$G$153),"Error")</f>
        <v/>
      </c>
      <c r="H5" s="86">
        <f>SUM(F160:I160)+SUM(F190:I190)</f>
        <v/>
      </c>
      <c r="I5" s="86">
        <f>E5+F5-G5-H5</f>
        <v/>
      </c>
      <c r="J5" s="86">
        <f>E160+E190</f>
        <v/>
      </c>
      <c r="K5" s="87">
        <f>J5-I5</f>
        <v/>
      </c>
      <c r="L5" s="121">
        <f>+'MERMAS S1'!D6</f>
        <v/>
      </c>
      <c r="M5" s="301" t="n"/>
      <c r="N5" s="36">
        <f>IF(K5&lt;0,K5*L5,0)</f>
        <v/>
      </c>
      <c r="O5" s="4" t="n"/>
      <c r="P5" s="4" t="n"/>
      <c r="Q5" s="4" t="n"/>
    </row>
    <row r="6">
      <c r="B6" s="4" t="n"/>
      <c r="C6" s="9" t="n"/>
      <c r="D6" s="49" t="inlineStr">
        <is>
          <t>Almejas Julianas</t>
        </is>
      </c>
      <c r="E6" s="244" t="n"/>
      <c r="F6" s="86">
        <f>E254</f>
        <v/>
      </c>
      <c r="G6" s="86">
        <f>K254</f>
        <v/>
      </c>
      <c r="H6" s="86">
        <f>SUM(F161:I161)+J254</f>
        <v/>
      </c>
      <c r="I6" s="86">
        <f>E6+F6-G6-H6</f>
        <v/>
      </c>
      <c r="J6" s="86">
        <f>E161</f>
        <v/>
      </c>
      <c r="K6" s="87">
        <f>J6-I6</f>
        <v/>
      </c>
      <c r="L6" s="121">
        <f>+'MERMAS S1'!D7</f>
        <v/>
      </c>
      <c r="M6" s="301" t="n"/>
      <c r="N6" s="36">
        <f>IF(K6&lt;0,K6*L6,0)</f>
        <v/>
      </c>
      <c r="O6" s="4" t="n"/>
      <c r="P6" s="4" t="n"/>
      <c r="Q6" s="4" t="n"/>
    </row>
    <row r="7">
      <c r="A7" s="302" t="n"/>
      <c r="B7" s="4" t="n"/>
      <c r="C7" s="9" t="n"/>
      <c r="D7" s="50" t="inlineStr">
        <is>
          <t>Carpaccio de res</t>
        </is>
      </c>
      <c r="E7" s="244" t="n"/>
      <c r="F7" s="86">
        <f>E223</f>
        <v/>
      </c>
      <c r="G7" s="86">
        <f>IFERROR(SUMPRODUCT(($F$66:$F$153="Carpaccio de res")*$E$66:$E$153*$G$66:$G$153),"Error")</f>
        <v/>
      </c>
      <c r="H7" s="86">
        <f>SUM(F162:I162)</f>
        <v/>
      </c>
      <c r="I7" s="86">
        <f>E7+F7-G7-H7</f>
        <v/>
      </c>
      <c r="J7" s="86">
        <f>E162</f>
        <v/>
      </c>
      <c r="K7" s="87">
        <f>J7-I7</f>
        <v/>
      </c>
      <c r="L7" s="121">
        <f>+'MERMAS S1'!D8</f>
        <v/>
      </c>
      <c r="M7" s="301" t="n"/>
      <c r="N7" s="36">
        <f>IF(K7&lt;0,K7*L7,0)</f>
        <v/>
      </c>
      <c r="O7" s="4" t="n"/>
      <c r="P7" s="4" t="n"/>
      <c r="Q7" s="4" t="n"/>
    </row>
    <row r="8">
      <c r="A8" s="302" t="n"/>
      <c r="B8" s="4" t="n"/>
      <c r="C8" s="9" t="n"/>
      <c r="D8" s="50" t="inlineStr">
        <is>
          <t>Chupe</t>
        </is>
      </c>
      <c r="E8" s="244" t="n"/>
      <c r="F8" s="86">
        <f>H258</f>
        <v/>
      </c>
      <c r="G8" s="86">
        <f>E90</f>
        <v/>
      </c>
      <c r="H8" s="86">
        <f>SUM(F165:I165)</f>
        <v/>
      </c>
      <c r="I8" s="86">
        <f>E8+F8-G8-H8</f>
        <v/>
      </c>
      <c r="J8" s="86">
        <f>E165</f>
        <v/>
      </c>
      <c r="K8" s="87">
        <f>J8-I8</f>
        <v/>
      </c>
      <c r="L8" s="121">
        <f>+'MERMAS S1'!D9</f>
        <v/>
      </c>
      <c r="M8" s="301" t="n"/>
      <c r="N8" s="36">
        <f>IF(K8&lt;0,K8*L8,0)</f>
        <v/>
      </c>
      <c r="O8" s="4" t="n"/>
      <c r="P8" s="4" t="n"/>
      <c r="Q8" s="4" t="n"/>
    </row>
    <row r="9">
      <c r="A9" s="302" t="n"/>
      <c r="B9" s="4" t="n"/>
      <c r="C9" s="9" t="n"/>
      <c r="D9" s="50" t="inlineStr">
        <is>
          <t>Congrio</t>
        </is>
      </c>
      <c r="E9" s="244" t="n"/>
      <c r="F9" s="86">
        <f>E252</f>
        <v/>
      </c>
      <c r="G9" s="86">
        <f>IFERROR(SUMPRODUCT(($F$66:$F$153="Congrio")*$E$66:$E$153*$G$66:$G$153),"Error")</f>
        <v/>
      </c>
      <c r="H9" s="86">
        <f>J252+SUM(F164:I164)</f>
        <v/>
      </c>
      <c r="I9" s="86">
        <f>E9+F9-G9-H9</f>
        <v/>
      </c>
      <c r="J9" s="86">
        <f>E164</f>
        <v/>
      </c>
      <c r="K9" s="87">
        <f>J9-I9</f>
        <v/>
      </c>
      <c r="L9" s="121">
        <f>+'MERMAS S1'!D10</f>
        <v/>
      </c>
      <c r="M9" s="301" t="n"/>
      <c r="N9" s="36">
        <f>IF(K9&lt;0,K9*L9,0)</f>
        <v/>
      </c>
      <c r="O9" s="4" t="n"/>
      <c r="P9" s="4" t="n"/>
      <c r="Q9" s="4" t="n"/>
    </row>
    <row r="10">
      <c r="A10" s="302" t="n"/>
      <c r="B10" s="4" t="n"/>
      <c r="C10" s="9" t="n"/>
      <c r="D10" s="50" t="inlineStr">
        <is>
          <t>Filete despunte</t>
        </is>
      </c>
      <c r="E10" s="244" t="n"/>
      <c r="F10" s="86">
        <f>E255</f>
        <v/>
      </c>
      <c r="G10" s="86">
        <f>K255+K256</f>
        <v/>
      </c>
      <c r="H10" s="86">
        <f>SUM(J255:J256)+SUM(F167:I167)</f>
        <v/>
      </c>
      <c r="I10" s="86">
        <f>E10+F10-G10-H10</f>
        <v/>
      </c>
      <c r="J10" s="86">
        <f>E167</f>
        <v/>
      </c>
      <c r="K10" s="87">
        <f>J10-I10</f>
        <v/>
      </c>
      <c r="L10" s="121">
        <f>+'MERMAS S1'!D11</f>
        <v/>
      </c>
      <c r="M10" s="301" t="n"/>
      <c r="N10" s="36">
        <f>IF(K10&lt;0,K10*L10,0)</f>
        <v/>
      </c>
      <c r="O10" s="4" t="n"/>
      <c r="P10" s="4" t="n"/>
      <c r="Q10" s="4" t="n"/>
    </row>
    <row r="11">
      <c r="A11" s="302" t="n"/>
      <c r="B11" s="4" t="n"/>
      <c r="C11" s="9" t="n"/>
      <c r="D11" s="50" t="inlineStr">
        <is>
          <t>Filete para churrasco</t>
        </is>
      </c>
      <c r="E11" s="244" t="n"/>
      <c r="F11" s="86">
        <f>E226</f>
        <v/>
      </c>
      <c r="G11" s="86">
        <f>IFERROR(SUMPRODUCT(($F$66:$F$153="Filete para churrasco")*$E$66:$E$153*$G$66:$G$153),"Error")</f>
        <v/>
      </c>
      <c r="H11" s="86">
        <f>SUM(F168:I168)</f>
        <v/>
      </c>
      <c r="I11" s="86">
        <f>E11+F11-G11-H11</f>
        <v/>
      </c>
      <c r="J11" s="86">
        <f>E168</f>
        <v/>
      </c>
      <c r="K11" s="87">
        <f>J11-I11</f>
        <v/>
      </c>
      <c r="L11" s="121">
        <f>+'MERMAS S1'!D12</f>
        <v/>
      </c>
      <c r="M11" s="301" t="n"/>
      <c r="N11" s="36">
        <f>IF(K11&lt;0,K11*L11,0)</f>
        <v/>
      </c>
      <c r="O11" s="4" t="n"/>
      <c r="P11" s="4" t="n"/>
      <c r="Q11" s="4" t="n"/>
    </row>
    <row r="12">
      <c r="B12" s="4" t="n"/>
      <c r="C12" s="9" t="n"/>
      <c r="D12" s="50" t="inlineStr">
        <is>
          <t>Filete para crudo</t>
        </is>
      </c>
      <c r="E12" s="244" t="n"/>
      <c r="F12" s="86">
        <f>E227</f>
        <v/>
      </c>
      <c r="G12" s="86">
        <f>IFERROR(SUMPRODUCT(($F$66:$F$153="Filete para crudo")*$E$66:$E$153*$G$66:$G$153),"Error")</f>
        <v/>
      </c>
      <c r="H12" s="86">
        <f>SUM(F169:I169)+SUM(F189:I189)</f>
        <v/>
      </c>
      <c r="I12" s="86">
        <f>E12+F12-G12-H12</f>
        <v/>
      </c>
      <c r="J12" s="86">
        <f>E169
+IFERROR(INDEX($E$159:$E$215,MATCH("Tartar de Res",$D$159:$D$215,0)),0)</f>
        <v/>
      </c>
      <c r="K12" s="87">
        <f>J12-I12</f>
        <v/>
      </c>
      <c r="L12" s="121">
        <f>+'MERMAS S1'!D13</f>
        <v/>
      </c>
      <c r="M12" s="301" t="n"/>
      <c r="N12" s="36">
        <f>IF(K12&lt;0,K12*L12,0)</f>
        <v/>
      </c>
      <c r="O12" s="4" t="n"/>
      <c r="P12" s="4" t="n"/>
      <c r="Q12" s="4" t="n"/>
    </row>
    <row r="13" ht="14.25" customHeight="1" s="95">
      <c r="B13" s="4" t="n"/>
      <c r="C13" s="9" t="n"/>
      <c r="D13" s="50" t="inlineStr">
        <is>
          <t>Filete Salteado</t>
        </is>
      </c>
      <c r="E13" s="244" t="n"/>
      <c r="F13" s="86">
        <f>E228</f>
        <v/>
      </c>
      <c r="G13" s="86">
        <f>IFERROR(SUMPRODUCT(($F$66:$F$153=D13)*$E$66:$E$153*$G$66:$G$153),"Error")</f>
        <v/>
      </c>
      <c r="H13" s="86">
        <f>SUM(F170:I170)</f>
        <v/>
      </c>
      <c r="I13" s="86">
        <f>E13+F13-G13-H13</f>
        <v/>
      </c>
      <c r="J13" s="86">
        <f>E170</f>
        <v/>
      </c>
      <c r="K13" s="87">
        <f>J13-I13</f>
        <v/>
      </c>
      <c r="L13" s="121">
        <f>+'MERMAS S1'!D14</f>
        <v/>
      </c>
      <c r="M13" s="301" t="n"/>
      <c r="N13" s="36">
        <f>IF(K13&lt;0,K13*L13,0)</f>
        <v/>
      </c>
      <c r="O13" s="4" t="n"/>
      <c r="P13" s="4" t="n"/>
      <c r="Q13" s="4" t="n"/>
    </row>
    <row r="14">
      <c r="B14" s="4" t="n"/>
      <c r="C14" s="9" t="n"/>
      <c r="D14" s="50" t="inlineStr">
        <is>
          <t>Ganso</t>
        </is>
      </c>
      <c r="E14" s="244" t="n"/>
      <c r="F14" s="86">
        <f>E229</f>
        <v/>
      </c>
      <c r="G14" s="86">
        <f>IFERROR(SUMPRODUCT(($F$66:$F$153=D14)*$E$66:$E$153*$G$66:$G$153),"Error")</f>
        <v/>
      </c>
      <c r="H14" s="86">
        <f>SUM(F171:I171)+SUM(F180:I180)</f>
        <v/>
      </c>
      <c r="I14" s="86">
        <f>E14+F14-G14-H14</f>
        <v/>
      </c>
      <c r="J14" s="86">
        <f>E171
+IFERROR(INDEX($E$159:$E$215,MATCH("Paila de Carne",$D$159:$D$215,0)),0)</f>
        <v/>
      </c>
      <c r="K14" s="87">
        <f>J14-I14</f>
        <v/>
      </c>
      <c r="L14" s="121">
        <f>+'MERMAS S1'!D15</f>
        <v/>
      </c>
      <c r="M14" s="301" t="n"/>
      <c r="N14" s="36">
        <f>IF(K14&lt;0,K14*L14,0)</f>
        <v/>
      </c>
      <c r="O14" s="4" t="n"/>
      <c r="P14" s="4" t="n"/>
      <c r="Q14" s="4" t="n"/>
    </row>
    <row r="15">
      <c r="B15" s="4" t="n"/>
      <c r="C15" s="9" t="n"/>
      <c r="D15" s="50" t="inlineStr">
        <is>
          <t>Hamburguesas</t>
        </is>
      </c>
      <c r="E15" s="244" t="n"/>
      <c r="F15" s="86">
        <f>E231</f>
        <v/>
      </c>
      <c r="G15" s="86">
        <f>IFERROR(SUMPRODUCT(($F$66:$F$153=D15)*$E$66:$E$153*$G$66:$G$153),"Error")</f>
        <v/>
      </c>
      <c r="H15" s="86">
        <f>SUM(F172:I172)</f>
        <v/>
      </c>
      <c r="I15" s="86">
        <f>E15+F15-G15-H15</f>
        <v/>
      </c>
      <c r="J15" s="86">
        <f>E172</f>
        <v/>
      </c>
      <c r="K15" s="87">
        <f>J15-I15</f>
        <v/>
      </c>
      <c r="L15" s="121">
        <f>+'MERMAS S1'!D16</f>
        <v/>
      </c>
      <c r="M15" s="301" t="n"/>
      <c r="N15" s="36">
        <f>IF(K15&lt;0,K15*L15,0)</f>
        <v/>
      </c>
      <c r="O15" s="4" t="n"/>
      <c r="P15" s="4" t="n"/>
      <c r="Q15" s="4" t="n"/>
    </row>
    <row r="16">
      <c r="B16" s="4" t="n"/>
      <c r="C16" s="9" t="n"/>
      <c r="D16" s="50" t="inlineStr">
        <is>
          <t>Jamón serrano</t>
        </is>
      </c>
      <c r="E16" s="244" t="n"/>
      <c r="F16" s="86">
        <f>E232</f>
        <v/>
      </c>
      <c r="G16" s="86">
        <f>IFERROR(SUMPRODUCT(($F$66:$F$153=D16)*$E$66:$E$153*$G$66:$G$153),"Error")</f>
        <v/>
      </c>
      <c r="H16" s="86">
        <f>SUM(F174:I174)</f>
        <v/>
      </c>
      <c r="I16" s="86">
        <f>E16+F16-G16-H16</f>
        <v/>
      </c>
      <c r="J16" s="86">
        <f>E174</f>
        <v/>
      </c>
      <c r="K16" s="87">
        <f>J16-I16</f>
        <v/>
      </c>
      <c r="L16" s="121">
        <f>+'MERMAS S1'!D17</f>
        <v/>
      </c>
      <c r="M16" s="301" t="n"/>
      <c r="N16" s="36">
        <f>IF(K16&lt;0,K16*L16,0)</f>
        <v/>
      </c>
      <c r="O16" s="4" t="n"/>
      <c r="P16" s="4" t="n"/>
      <c r="Q16" s="4" t="n"/>
    </row>
    <row r="17">
      <c r="B17" s="4" t="n"/>
      <c r="C17" s="9" t="n"/>
      <c r="D17" s="50" t="inlineStr">
        <is>
          <t>Langostinos</t>
        </is>
      </c>
      <c r="E17" s="244" t="n"/>
      <c r="F17" s="86">
        <f>H248</f>
        <v/>
      </c>
      <c r="G17" s="86">
        <f>IFERROR(SUMPRODUCT(($F$66:$F$153=D17)*$E$66:$E$153*$G$66:$G$153),"Error")</f>
        <v/>
      </c>
      <c r="H17" s="86">
        <f>SUM(F173:I173)</f>
        <v/>
      </c>
      <c r="I17" s="86">
        <f>E17+F17-G17-H17</f>
        <v/>
      </c>
      <c r="J17" s="86">
        <f>E173</f>
        <v/>
      </c>
      <c r="K17" s="87">
        <f>J17-I17</f>
        <v/>
      </c>
      <c r="L17" s="121">
        <f>+'MERMAS S1'!D18</f>
        <v/>
      </c>
      <c r="M17" s="301" t="n"/>
      <c r="N17" s="36">
        <f>IF(K17&lt;0,K17*L17,0)</f>
        <v/>
      </c>
      <c r="O17" s="4" t="n"/>
      <c r="P17" s="4" t="n"/>
      <c r="Q17" s="4" t="n"/>
    </row>
    <row r="18">
      <c r="B18" s="4" t="n"/>
      <c r="C18" s="9" t="n"/>
      <c r="D18" s="50" t="inlineStr">
        <is>
          <t>Lasagna de Berenjenas</t>
        </is>
      </c>
      <c r="E18" s="244" t="n"/>
      <c r="F18" s="86">
        <f>H257</f>
        <v/>
      </c>
      <c r="G18" s="86">
        <f>E120</f>
        <v/>
      </c>
      <c r="H18" s="86">
        <f>SUM(F175:I175)</f>
        <v/>
      </c>
      <c r="I18" s="86">
        <f>E18+F18-G18-H18</f>
        <v/>
      </c>
      <c r="J18" s="86">
        <f>E175</f>
        <v/>
      </c>
      <c r="K18" s="87">
        <f>J18-I18</f>
        <v/>
      </c>
      <c r="L18" s="121">
        <f>+'MERMAS S1'!D19</f>
        <v/>
      </c>
      <c r="M18" s="301" t="n"/>
      <c r="N18" s="36">
        <f>IF(K18&lt;0,K18*L18,0)</f>
        <v/>
      </c>
      <c r="O18" s="4" t="n"/>
      <c r="P18" s="4" t="n"/>
      <c r="Q18" s="4" t="n"/>
    </row>
    <row r="19">
      <c r="B19" s="4" t="n"/>
      <c r="C19" s="9" t="n"/>
      <c r="D19" s="50" t="inlineStr">
        <is>
          <t>Locos</t>
        </is>
      </c>
      <c r="E19" s="244" t="n"/>
      <c r="F19" s="86">
        <f>E249</f>
        <v/>
      </c>
      <c r="G19" s="86">
        <f>IFERROR(SUMPRODUCT(($F$66:$F$153=D19)*$E$66:$E$153*$G$66:$G$153),"Error")</f>
        <v/>
      </c>
      <c r="H19" s="86">
        <f>SUM(F177:I177)+J249</f>
        <v/>
      </c>
      <c r="I19" s="86">
        <f>E19+F19-G19-H19</f>
        <v/>
      </c>
      <c r="J19" s="86">
        <f>E177</f>
        <v/>
      </c>
      <c r="K19" s="87">
        <f>J19-I19</f>
        <v/>
      </c>
      <c r="L19" s="121">
        <f>+'MERMAS S1'!D20</f>
        <v/>
      </c>
      <c r="M19" s="301" t="n"/>
      <c r="N19" s="36">
        <f>IF(K19&lt;0,K19*L19,0)</f>
        <v/>
      </c>
      <c r="O19" s="4" t="n"/>
      <c r="P19" s="4" t="n"/>
      <c r="Q19" s="4" t="n"/>
    </row>
    <row r="20">
      <c r="B20" s="4" t="n"/>
      <c r="C20" s="9" t="n"/>
      <c r="D20" s="50" t="inlineStr">
        <is>
          <t>Lomo liso</t>
        </is>
      </c>
      <c r="E20" s="244" t="n"/>
      <c r="F20" s="86">
        <f>E233</f>
        <v/>
      </c>
      <c r="G20" s="86">
        <f>IFERROR(SUMPRODUCT(($F$66:$F$153=D20)*$E$66:$E$153*$G$66:$G$153),"Error")</f>
        <v/>
      </c>
      <c r="H20" s="86">
        <f>SUM(F176:I176)</f>
        <v/>
      </c>
      <c r="I20" s="86">
        <f>E20+F20-G20-H20</f>
        <v/>
      </c>
      <c r="J20" s="86">
        <f>E176</f>
        <v/>
      </c>
      <c r="K20" s="87">
        <f>J20-I20</f>
        <v/>
      </c>
      <c r="L20" s="121">
        <f>+'MERMAS S1'!D21</f>
        <v/>
      </c>
      <c r="M20" s="301" t="n"/>
      <c r="N20" s="36">
        <f>IF(K20&lt;0,K20*L20,0)</f>
        <v/>
      </c>
      <c r="O20" s="4" t="n"/>
      <c r="P20" s="4" t="n"/>
      <c r="Q20" s="4" t="n"/>
    </row>
    <row r="21">
      <c r="B21" s="4" t="n"/>
      <c r="C21" s="9" t="n"/>
      <c r="D21" s="50" t="inlineStr">
        <is>
          <t>Mejillones</t>
        </is>
      </c>
      <c r="E21" s="244" t="n"/>
      <c r="F21" s="86">
        <f>E253</f>
        <v/>
      </c>
      <c r="G21" s="86">
        <f>K253</f>
        <v/>
      </c>
      <c r="H21" s="86">
        <f>J253+SUM(F178:I178)</f>
        <v/>
      </c>
      <c r="I21" s="86">
        <f>E21+F21-G21-H21</f>
        <v/>
      </c>
      <c r="J21" s="86">
        <f>E178</f>
        <v/>
      </c>
      <c r="K21" s="87">
        <f>J21-I21</f>
        <v/>
      </c>
      <c r="L21" s="121">
        <f>+'MERMAS S1'!D22</f>
        <v/>
      </c>
      <c r="M21" s="301" t="n"/>
      <c r="N21" s="36">
        <f>IF(K21&lt;0,K21*L21,0)</f>
        <v/>
      </c>
      <c r="O21" s="4" t="n"/>
      <c r="P21" s="4" t="n"/>
      <c r="Q21" s="4" t="n"/>
    </row>
    <row r="22">
      <c r="B22" s="4" t="n"/>
      <c r="C22" s="9" t="n"/>
      <c r="D22" s="50" t="inlineStr">
        <is>
          <t>Merluza</t>
        </is>
      </c>
      <c r="E22" s="244" t="n"/>
      <c r="F22" s="86">
        <f>E250</f>
        <v/>
      </c>
      <c r="G22" s="86">
        <f>IFERROR(SUMPRODUCT(($F$66:$F$153=D22)*$E$66:$E$153*$G$66:$G$153),"Error")</f>
        <v/>
      </c>
      <c r="H22" s="86">
        <f>SUM(F179:I179)+J250</f>
        <v/>
      </c>
      <c r="I22" s="86">
        <f>E22+F22-G22-H22</f>
        <v/>
      </c>
      <c r="J22" s="86">
        <f>E179</f>
        <v/>
      </c>
      <c r="K22" s="87">
        <f>J22-I22</f>
        <v/>
      </c>
      <c r="L22" s="121">
        <f>+'MERMAS S1'!D23</f>
        <v/>
      </c>
      <c r="M22" s="301" t="n"/>
      <c r="N22" s="36">
        <f>IF(K22&lt;0,K22*L22,0)</f>
        <v/>
      </c>
      <c r="O22" s="4" t="n"/>
      <c r="P22" s="4" t="n"/>
      <c r="Q22" s="4" t="n"/>
    </row>
    <row r="23">
      <c r="B23" s="4" t="n"/>
      <c r="C23" s="30" t="n"/>
      <c r="D23" s="50" t="inlineStr">
        <is>
          <t>Plateada</t>
        </is>
      </c>
      <c r="E23" s="244" t="n"/>
      <c r="F23" s="86">
        <f>E234</f>
        <v/>
      </c>
      <c r="G23" s="86">
        <f>IFERROR(SUMPRODUCT(($F$66:$F$153=D23)*$E$66:$E$153*$G$66:$G$153),"Error")</f>
        <v/>
      </c>
      <c r="H23" s="86">
        <f>SUM(F181:I181)</f>
        <v/>
      </c>
      <c r="I23" s="86">
        <f>E23+F23-G23-H23</f>
        <v/>
      </c>
      <c r="J23" s="86">
        <f>E181</f>
        <v/>
      </c>
      <c r="K23" s="87">
        <f>J23-I23</f>
        <v/>
      </c>
      <c r="L23" s="121">
        <f>+'MERMAS S1'!D24</f>
        <v/>
      </c>
      <c r="M23" s="301" t="n"/>
      <c r="N23" s="36">
        <f>IF(K23&lt;0,K23*L23,0)</f>
        <v/>
      </c>
      <c r="O23" s="4" t="n"/>
      <c r="P23" s="4" t="n"/>
      <c r="Q23" s="4" t="n"/>
    </row>
    <row r="24">
      <c r="B24" s="4" t="n"/>
      <c r="C24" s="30" t="n"/>
      <c r="D24" s="50" t="inlineStr">
        <is>
          <t>Pulpo</t>
        </is>
      </c>
      <c r="E24" s="244" t="n"/>
      <c r="F24" s="86">
        <f>E235</f>
        <v/>
      </c>
      <c r="G24" s="86">
        <f>IFERROR(SUMPRODUCT(($F$66:$F$153=D24)*$E$66:$E$153*$G$66:$G$153),"Error")</f>
        <v/>
      </c>
      <c r="H24" s="86">
        <f>SUM(F182:I182)</f>
        <v/>
      </c>
      <c r="I24" s="86">
        <f>E24+F24-G24-H24</f>
        <v/>
      </c>
      <c r="J24" s="86">
        <f>E182</f>
        <v/>
      </c>
      <c r="K24" s="87">
        <f>J24-I24</f>
        <v/>
      </c>
      <c r="L24" s="121">
        <f>+'MERMAS S1'!D25</f>
        <v/>
      </c>
      <c r="M24" s="301" t="n"/>
      <c r="N24" s="36">
        <f>IF(K24&lt;0,K24*L24,0)</f>
        <v/>
      </c>
      <c r="O24" s="4" t="n"/>
      <c r="P24" s="4" t="n"/>
      <c r="Q24" s="4" t="n"/>
    </row>
    <row r="25">
      <c r="B25" s="4" t="n"/>
      <c r="C25" s="30" t="n"/>
      <c r="D25" s="50" t="inlineStr">
        <is>
          <t>Ragout Lasagna</t>
        </is>
      </c>
      <c r="E25" s="244" t="n"/>
      <c r="F25" s="86">
        <f>H255</f>
        <v/>
      </c>
      <c r="G25" s="86">
        <f>E257</f>
        <v/>
      </c>
      <c r="H25" s="86">
        <f>SUM(F183:I183)+J257</f>
        <v/>
      </c>
      <c r="I25" s="86">
        <f>E25+F25-G25-H25</f>
        <v/>
      </c>
      <c r="J25" s="86">
        <f>E183</f>
        <v/>
      </c>
      <c r="K25" s="87">
        <f>J25-I25</f>
        <v/>
      </c>
      <c r="L25" s="121">
        <f>+'MERMAS S1'!D26</f>
        <v/>
      </c>
      <c r="M25" s="301" t="n"/>
      <c r="N25" s="36">
        <f>IF(K25&lt;0,K25*L25,0)</f>
        <v/>
      </c>
      <c r="O25" s="4" t="n"/>
      <c r="P25" s="4" t="n"/>
      <c r="Q25" s="4" t="n"/>
    </row>
    <row r="26">
      <c r="B26" s="4" t="n"/>
      <c r="C26" s="30" t="n"/>
      <c r="D26" s="50" t="inlineStr">
        <is>
          <t>Ragout Rigatoni</t>
        </is>
      </c>
      <c r="E26" s="244" t="n"/>
      <c r="F26" s="86">
        <f>H256</f>
        <v/>
      </c>
      <c r="G26" s="86">
        <f>E133</f>
        <v/>
      </c>
      <c r="H26" s="86">
        <f>SUM(F184:I184)</f>
        <v/>
      </c>
      <c r="I26" s="86">
        <f>E26+F26-G26-H26</f>
        <v/>
      </c>
      <c r="J26" s="86">
        <f>E184</f>
        <v/>
      </c>
      <c r="K26" s="87">
        <f>J26-I26</f>
        <v/>
      </c>
      <c r="L26" s="121">
        <f>+'MERMAS S1'!D27</f>
        <v/>
      </c>
      <c r="M26" s="301" t="n"/>
      <c r="N26" s="36">
        <f>IF(K26&lt;0,K26*L26,0)</f>
        <v/>
      </c>
      <c r="O26" s="4" t="n"/>
      <c r="P26" s="4" t="n"/>
      <c r="Q26" s="4" t="n"/>
    </row>
    <row r="27">
      <c r="B27" s="4" t="n"/>
      <c r="C27" s="30" t="n"/>
      <c r="D27" s="50" t="inlineStr">
        <is>
          <t>Reineta</t>
        </is>
      </c>
      <c r="E27" s="244" t="n"/>
      <c r="F27" s="86">
        <f>E251</f>
        <v/>
      </c>
      <c r="G27" s="86">
        <f>IFERROR(SUMPRODUCT(($F$66:$F$153=D27)*$E$66:$E$153*$G$66:$G$153),"Error")</f>
        <v/>
      </c>
      <c r="H27" s="86">
        <f>SUM(F163:I163)+J251</f>
        <v/>
      </c>
      <c r="I27" s="86">
        <f>E27+F27-G27-H27</f>
        <v/>
      </c>
      <c r="J27" s="86">
        <f>E163</f>
        <v/>
      </c>
      <c r="K27" s="87">
        <f>J27-I27</f>
        <v/>
      </c>
      <c r="L27" s="121">
        <f>+'MERMAS S1'!D28</f>
        <v/>
      </c>
      <c r="M27" s="301" t="n"/>
      <c r="N27" s="36">
        <f>IF(K27&lt;0,K27*L27,0)</f>
        <v/>
      </c>
      <c r="O27" s="4" t="n"/>
      <c r="P27" s="4" t="n"/>
      <c r="Q27" s="4" t="n"/>
    </row>
    <row r="28">
      <c r="B28" s="4" t="n"/>
      <c r="C28" s="30" t="n"/>
      <c r="D28" s="50" t="inlineStr">
        <is>
          <t>Salmón ahumado en frío</t>
        </is>
      </c>
      <c r="E28" s="244" t="n"/>
      <c r="F28" s="86">
        <f>E258</f>
        <v/>
      </c>
      <c r="G28" s="86">
        <f>K258</f>
        <v/>
      </c>
      <c r="H28" s="86">
        <f>J258</f>
        <v/>
      </c>
      <c r="I28" s="86">
        <f>E28+F28-G28-H28</f>
        <v/>
      </c>
      <c r="J28" s="86">
        <f>E185</f>
        <v/>
      </c>
      <c r="K28" s="87">
        <f>J28-I28</f>
        <v/>
      </c>
      <c r="L28" s="121">
        <f>+'MERMAS S1'!D29</f>
        <v/>
      </c>
      <c r="M28" s="301" t="n"/>
      <c r="N28" s="36">
        <f>IF(K28&lt;0,K28*L28,0)</f>
        <v/>
      </c>
      <c r="O28" s="4" t="n"/>
      <c r="P28" s="4" t="n"/>
      <c r="Q28" s="4" t="n"/>
    </row>
    <row r="29">
      <c r="B29" s="4" t="n"/>
      <c r="C29" s="30" t="n"/>
      <c r="D29" s="50" t="inlineStr">
        <is>
          <t>Salmón ahumado en Caliente</t>
        </is>
      </c>
      <c r="E29" s="244" t="n"/>
      <c r="F29" s="86">
        <f>E237</f>
        <v/>
      </c>
      <c r="G29" s="86">
        <f>IFERROR(SUMPRODUCT(($F$66:$F$153=D29)*$E$66:$E$153*$G$66:$G$153),"Error")</f>
        <v/>
      </c>
      <c r="H29" s="86">
        <f>SUM(F186:I186)</f>
        <v/>
      </c>
      <c r="I29" s="86">
        <f>E29+F29-G29-H29</f>
        <v/>
      </c>
      <c r="J29" s="86">
        <f>E186</f>
        <v/>
      </c>
      <c r="K29" s="87">
        <f>J29-I29</f>
        <v/>
      </c>
      <c r="L29" s="121">
        <f>+'MERMAS S1'!D30</f>
        <v/>
      </c>
      <c r="M29" s="301" t="n"/>
      <c r="N29" s="36">
        <f>IF(K29&lt;0,K29*L29,0)</f>
        <v/>
      </c>
      <c r="O29" s="4" t="n"/>
      <c r="P29" s="4" t="n"/>
      <c r="Q29" s="4" t="n"/>
    </row>
    <row r="30">
      <c r="B30" s="4" t="n"/>
      <c r="C30" s="30" t="n"/>
      <c r="D30" s="50" t="inlineStr">
        <is>
          <t>Salmón cancato</t>
        </is>
      </c>
      <c r="E30" s="244" t="n"/>
      <c r="F30" s="86">
        <f>E238</f>
        <v/>
      </c>
      <c r="G30" s="86">
        <f>IFERROR(SUMPRODUCT(($F$66:$F$153=D30)*$E$66:$E$153*$G$66:$G$153),"Error")</f>
        <v/>
      </c>
      <c r="H30" s="86">
        <f>SUM(F187:I187)</f>
        <v/>
      </c>
      <c r="I30" s="86">
        <f>E30+F30-G30-H30</f>
        <v/>
      </c>
      <c r="J30" s="86">
        <f>E187</f>
        <v/>
      </c>
      <c r="K30" s="87">
        <f>J30-I30</f>
        <v/>
      </c>
      <c r="L30" s="121">
        <f>+'MERMAS S1'!D31</f>
        <v/>
      </c>
      <c r="M30" s="301" t="n"/>
      <c r="N30" s="36">
        <f>IF(K30&lt;0,K30*L30,0)</f>
        <v/>
      </c>
      <c r="O30" s="4" t="n"/>
      <c r="P30" s="4" t="n"/>
      <c r="Q30" s="4" t="n"/>
    </row>
    <row r="31" ht="13.5" customHeight="1" s="95" thickBot="1">
      <c r="B31" s="4" t="n"/>
      <c r="C31" s="30" t="n"/>
      <c r="D31" s="51" t="inlineStr">
        <is>
          <t>Salmón fresco premium</t>
        </is>
      </c>
      <c r="E31" s="245" t="n"/>
      <c r="F31" s="107">
        <f>E239</f>
        <v/>
      </c>
      <c r="G31" s="107">
        <f>IFERROR(SUMPRODUCT(($F$66:$F$153=D31)*$E$66:$E$153*$G$66:$G$153),"Error")</f>
        <v/>
      </c>
      <c r="H31" s="107">
        <f>SUM(F188:I188)</f>
        <v/>
      </c>
      <c r="I31" s="107">
        <f>E31+F31-G31-H31</f>
        <v/>
      </c>
      <c r="J31" s="107">
        <f>E188</f>
        <v/>
      </c>
      <c r="K31" s="108">
        <f>J31-I31</f>
        <v/>
      </c>
      <c r="L31" s="131">
        <f>+'MERMAS S1'!D32</f>
        <v/>
      </c>
      <c r="M31" s="303" t="n"/>
      <c r="N31" s="110">
        <f>IF(K31&lt;0,K31*L31,0)</f>
        <v/>
      </c>
      <c r="O31" s="4" t="n"/>
      <c r="P31" s="4" t="n"/>
      <c r="Q31" s="4" t="n"/>
    </row>
    <row r="32" ht="13.5" customHeight="1" s="95" thickBot="1">
      <c r="B32" s="5" t="n"/>
      <c r="C32" s="6" t="n"/>
      <c r="D32" s="7" t="n"/>
      <c r="E32" s="6" t="n"/>
      <c r="F32" s="6" t="n"/>
      <c r="G32" s="6" t="n"/>
      <c r="H32" s="6" t="n"/>
      <c r="I32" s="8" t="n"/>
      <c r="J32" s="8" t="n"/>
      <c r="K32" s="8" t="n"/>
      <c r="L32" s="9" t="n"/>
      <c r="M32" s="4" t="n"/>
      <c r="N32" s="4" t="n"/>
      <c r="O32" s="4" t="n"/>
      <c r="P32" s="4" t="n"/>
      <c r="Q32" s="4" t="n"/>
    </row>
    <row r="33" ht="13.5" customHeight="1" s="95" thickBot="1">
      <c r="B33" s="5" t="n"/>
      <c r="C33" s="6" t="n"/>
      <c r="D33" s="7" t="n"/>
      <c r="E33" s="6" t="n"/>
      <c r="F33" s="6" t="n"/>
      <c r="G33" s="6" t="n"/>
      <c r="H33" s="10" t="n"/>
      <c r="I33" s="304" t="inlineStr">
        <is>
          <t>DIFERENCIAS PROMEDIO</t>
        </is>
      </c>
      <c r="J33" s="305" t="n"/>
      <c r="K33" s="11">
        <f>SUM(K7:K31)</f>
        <v/>
      </c>
      <c r="L33" s="4" t="n"/>
      <c r="M33" s="12" t="inlineStr">
        <is>
          <t>DCTO. TOTAL</t>
        </is>
      </c>
      <c r="N33" s="13">
        <f>SUM(N7:N31)</f>
        <v/>
      </c>
      <c r="O33" s="4" t="n"/>
      <c r="P33" s="4" t="n"/>
      <c r="Q33" s="4" t="n"/>
    </row>
    <row r="34" ht="13.5" customHeight="1" s="95" thickBot="1">
      <c r="B34" s="5" t="n"/>
      <c r="C34" s="6" t="n"/>
      <c r="D34" s="5" t="n"/>
      <c r="E34" s="6" t="n"/>
      <c r="F34" s="6" t="n"/>
      <c r="G34" s="6" t="n"/>
      <c r="H34" s="6" t="n"/>
      <c r="I34" s="14" t="n"/>
      <c r="J34" s="14" t="n"/>
      <c r="K34" s="14" t="n"/>
      <c r="L34" s="4" t="n"/>
      <c r="M34" s="4" t="n"/>
      <c r="N34" s="4" t="n"/>
      <c r="O34" s="4" t="n"/>
      <c r="P34" s="4" t="n"/>
      <c r="Q34" s="4" t="n"/>
    </row>
    <row r="35" ht="13.5" customHeight="1" s="95" thickBot="1">
      <c r="B35" s="4" t="n"/>
      <c r="C35" s="6" t="n"/>
      <c r="D35" s="37" t="n"/>
      <c r="E35" s="128" t="n"/>
      <c r="F35" s="128" t="inlineStr">
        <is>
          <t>+</t>
        </is>
      </c>
      <c r="G35" s="128" t="inlineStr">
        <is>
          <t>(-)</t>
        </is>
      </c>
      <c r="H35" s="128" t="inlineStr">
        <is>
          <t>(-)</t>
        </is>
      </c>
      <c r="I35" s="128" t="inlineStr">
        <is>
          <t>=</t>
        </is>
      </c>
      <c r="J35" s="128" t="inlineStr">
        <is>
          <t>=</t>
        </is>
      </c>
      <c r="K35" s="128" t="inlineStr">
        <is>
          <t>=</t>
        </is>
      </c>
      <c r="L35" s="296" t="inlineStr">
        <is>
          <t>$</t>
        </is>
      </c>
      <c r="M35" s="297" t="n"/>
      <c r="N35" s="34" t="inlineStr">
        <is>
          <t>$</t>
        </is>
      </c>
      <c r="O35" s="4" t="n"/>
      <c r="P35" s="4" t="n"/>
      <c r="Q35" s="4" t="n"/>
    </row>
    <row r="36" ht="13.5" customHeight="1" s="95" thickBot="1">
      <c r="B36" s="4" t="n"/>
      <c r="C36" s="33" t="n"/>
      <c r="D36" s="162" t="inlineStr">
        <is>
          <t>PRODUCTOS</t>
        </is>
      </c>
      <c r="E36" s="164" t="n"/>
      <c r="F36" s="164" t="inlineStr">
        <is>
          <t>Entregas</t>
        </is>
      </c>
      <c r="G36" s="164" t="inlineStr">
        <is>
          <t>Ventas</t>
        </is>
      </c>
      <c r="H36" s="164" t="inlineStr">
        <is>
          <t>Mermas</t>
        </is>
      </c>
      <c r="I36" s="164" t="inlineStr">
        <is>
          <t>Stock Real</t>
        </is>
      </c>
      <c r="J36" s="164" t="inlineStr">
        <is>
          <t>Stock Informado</t>
        </is>
      </c>
      <c r="K36" s="164" t="inlineStr">
        <is>
          <t>Diferencias</t>
        </is>
      </c>
      <c r="L36" s="164" t="inlineStr">
        <is>
          <t>Precio</t>
        </is>
      </c>
      <c r="M36" s="306" t="n"/>
      <c r="N36" s="165" t="inlineStr">
        <is>
          <t>Descuento</t>
        </is>
      </c>
      <c r="O36" s="4" t="n"/>
      <c r="P36" s="4" t="n"/>
      <c r="Q36" s="4" t="n"/>
    </row>
    <row r="37">
      <c r="B37" s="4" t="n"/>
      <c r="C37" s="30" t="n"/>
      <c r="D37" s="113" t="inlineStr">
        <is>
          <t>Brownie Nutella</t>
        </is>
      </c>
      <c r="E37" s="244" t="n"/>
      <c r="F37" s="86">
        <f>E264</f>
        <v/>
      </c>
      <c r="G37" s="86">
        <f>IFERROR(SUMPRODUCT(($F$66:$F$153=D37)*$E$66:$E$153*$G$66:$G$153),"Error")</f>
        <v/>
      </c>
      <c r="H37" s="86">
        <f>SUM(F194:I194)</f>
        <v/>
      </c>
      <c r="I37" s="86">
        <f>E37+F37-G37-H37</f>
        <v/>
      </c>
      <c r="J37" s="204">
        <f>E194</f>
        <v/>
      </c>
      <c r="K37" s="114">
        <f>J37-I37</f>
        <v/>
      </c>
      <c r="L37" s="125">
        <f>+'MERMAS S1'!D33</f>
        <v/>
      </c>
      <c r="M37" s="307" t="n"/>
      <c r="N37" s="115">
        <f>IF(K37&lt;0,K37*L37,0)</f>
        <v/>
      </c>
      <c r="O37" s="4" t="n"/>
      <c r="P37" s="4" t="n"/>
      <c r="Q37" s="4" t="n"/>
    </row>
    <row r="38">
      <c r="B38" s="4" t="n"/>
      <c r="C38" s="30" t="n"/>
      <c r="D38" s="69" t="inlineStr">
        <is>
          <t>Brownie Vegano</t>
        </is>
      </c>
      <c r="E38" s="244" t="n"/>
      <c r="F38" s="77">
        <f>E265</f>
        <v/>
      </c>
      <c r="G38" s="77">
        <f>IFERROR(SUMPRODUCT(($F$66:$F$153=D38)*$E$66:$E$153*$G$66:$G$153),"Error")</f>
        <v/>
      </c>
      <c r="H38" s="77">
        <f>SUM(F195:I195)</f>
        <v/>
      </c>
      <c r="I38" s="77">
        <f>E38+F38-G38-H38</f>
        <v/>
      </c>
      <c r="J38" s="205">
        <f>E195</f>
        <v/>
      </c>
      <c r="K38" s="88">
        <f>J38-I38</f>
        <v/>
      </c>
      <c r="L38" s="121">
        <f>+'MERMAS S1'!D34</f>
        <v/>
      </c>
      <c r="M38" s="301" t="n"/>
      <c r="N38" s="36">
        <f>IF(K38&lt;0,K38*L38,0)</f>
        <v/>
      </c>
      <c r="O38" s="4" t="n"/>
      <c r="P38" s="4" t="n"/>
      <c r="Q38" s="4" t="n"/>
    </row>
    <row r="39">
      <c r="B39" s="4" t="n"/>
      <c r="C39" s="9" t="n"/>
      <c r="D39" s="69" t="inlineStr">
        <is>
          <t>Cheesecake de Berries</t>
        </is>
      </c>
      <c r="E39" s="244" t="n"/>
      <c r="F39" s="77">
        <f>E262</f>
        <v/>
      </c>
      <c r="G39" s="77">
        <f>IFERROR(SUMPRODUCT(($F$66:$F$153="Cheesecake Berries")*$E$66:$E$153*$G$66:$G$153),"Error")</f>
        <v/>
      </c>
      <c r="H39" s="77">
        <f>SUM(F196:I196)</f>
        <v/>
      </c>
      <c r="I39" s="77">
        <f>E39+F39-G39-H39</f>
        <v/>
      </c>
      <c r="J39" s="205">
        <f>E196</f>
        <v/>
      </c>
      <c r="K39" s="88">
        <f>J39-I39</f>
        <v/>
      </c>
      <c r="L39" s="121">
        <f>+'MERMAS S1'!D35</f>
        <v/>
      </c>
      <c r="M39" s="301" t="n"/>
      <c r="N39" s="36">
        <f>IF(K39&lt;0,K39*L39,0)</f>
        <v/>
      </c>
      <c r="O39" s="4" t="n"/>
      <c r="P39" s="4" t="n"/>
      <c r="Q39" s="4" t="n"/>
    </row>
    <row r="40">
      <c r="B40" s="4" t="n"/>
      <c r="C40" s="30" t="n"/>
      <c r="D40" s="50" t="inlineStr">
        <is>
          <t>Cheesecake de Limón</t>
        </is>
      </c>
      <c r="E40" s="244" t="n"/>
      <c r="F40" s="77">
        <f>E263</f>
        <v/>
      </c>
      <c r="G40" s="77">
        <f>IFERROR(SUMPRODUCT(($F$66:$F$153=D40)*$E$66:$E$153*$G$66:$G$153),"Error")</f>
        <v/>
      </c>
      <c r="H40" s="77">
        <f>SUM(F197:H197)</f>
        <v/>
      </c>
      <c r="I40" s="77">
        <f>E40+F40-G40-H40</f>
        <v/>
      </c>
      <c r="J40" s="205">
        <f>E197</f>
        <v/>
      </c>
      <c r="K40" s="88">
        <f>J40-I40</f>
        <v/>
      </c>
      <c r="L40" s="121">
        <f>+'MERMAS S1'!D36</f>
        <v/>
      </c>
      <c r="M40" s="301" t="n"/>
      <c r="N40" s="36">
        <f>IF(K40&lt;0,K40*L40,0)</f>
        <v/>
      </c>
      <c r="O40" s="4" t="n"/>
      <c r="P40" s="4" t="n"/>
      <c r="Q40" s="4" t="n"/>
    </row>
    <row r="41">
      <c r="B41" s="4" t="n"/>
      <c r="C41" s="30" t="n"/>
      <c r="D41" s="50" t="inlineStr">
        <is>
          <t>Chocolate Blanco</t>
        </is>
      </c>
      <c r="E41" s="244" t="n"/>
      <c r="F41" s="77">
        <f>H262</f>
        <v/>
      </c>
      <c r="G41" s="77">
        <f>J262</f>
        <v/>
      </c>
      <c r="H41" s="77">
        <f>SUM(F198:I198)</f>
        <v/>
      </c>
      <c r="I41" s="77">
        <f>E41+F41-G41-H41</f>
        <v/>
      </c>
      <c r="J41" s="205">
        <f>E198</f>
        <v/>
      </c>
      <c r="K41" s="88">
        <f>J41-I41</f>
        <v/>
      </c>
      <c r="L41" s="121">
        <f>+'MERMAS S1'!D37</f>
        <v/>
      </c>
      <c r="M41" s="301" t="n"/>
      <c r="N41" s="36">
        <f>IF(K41&lt;0,K41*L41,0)</f>
        <v/>
      </c>
      <c r="O41" s="4" t="n"/>
      <c r="P41" s="4" t="n"/>
      <c r="Q41" s="4" t="n"/>
    </row>
    <row r="42">
      <c r="B42" s="4" t="n"/>
      <c r="C42" s="30" t="n"/>
      <c r="D42" s="50" t="inlineStr">
        <is>
          <t>Chocolate Leche</t>
        </is>
      </c>
      <c r="E42" s="244" t="n"/>
      <c r="F42" s="77">
        <f>H263</f>
        <v/>
      </c>
      <c r="G42" s="77">
        <f>J263</f>
        <v/>
      </c>
      <c r="H42" s="77">
        <f>SUM(F199:I199)</f>
        <v/>
      </c>
      <c r="I42" s="77">
        <f>E42+F42-G42-H42</f>
        <v/>
      </c>
      <c r="J42" s="205">
        <f>E199</f>
        <v/>
      </c>
      <c r="K42" s="88">
        <f>J42-I42</f>
        <v/>
      </c>
      <c r="L42" s="121">
        <f>+'MERMAS S1'!D38</f>
        <v/>
      </c>
      <c r="M42" s="301" t="n"/>
      <c r="N42" s="36">
        <f>IF(K42&lt;0,K42*L42,0)</f>
        <v/>
      </c>
      <c r="O42" s="4" t="n"/>
      <c r="P42" s="4" t="n"/>
      <c r="Q42" s="4" t="n"/>
    </row>
    <row r="43">
      <c r="B43" s="4" t="n"/>
      <c r="C43" s="30" t="n"/>
      <c r="D43" s="50" t="inlineStr">
        <is>
          <t>Chocolate Negro</t>
        </is>
      </c>
      <c r="E43" s="244" t="n"/>
      <c r="F43" s="77">
        <f>H264</f>
        <v/>
      </c>
      <c r="G43" s="77">
        <f>J264</f>
        <v/>
      </c>
      <c r="H43" s="77">
        <f>SUM(F200:I200)</f>
        <v/>
      </c>
      <c r="I43" s="77">
        <f>E43+F43-G43-H43</f>
        <v/>
      </c>
      <c r="J43" s="205">
        <f>E200</f>
        <v/>
      </c>
      <c r="K43" s="88">
        <f>J43-I43</f>
        <v/>
      </c>
      <c r="L43" s="121">
        <f>+'MERMAS S1'!D39</f>
        <v/>
      </c>
      <c r="M43" s="301" t="n"/>
      <c r="N43" s="36">
        <f>IF(K43&lt;0,K43*L43,0)</f>
        <v/>
      </c>
      <c r="O43" s="4" t="n"/>
      <c r="P43" s="4" t="n"/>
      <c r="Q43" s="4" t="n"/>
    </row>
    <row r="44">
      <c r="B44" s="4" t="n"/>
      <c r="C44" s="30" t="n"/>
      <c r="D44" s="50" t="inlineStr">
        <is>
          <t>Chocolate Neucober Cobertura</t>
        </is>
      </c>
      <c r="E44" s="244" t="n"/>
      <c r="F44" s="77">
        <f>H265</f>
        <v/>
      </c>
      <c r="G44" s="77">
        <f>J265</f>
        <v/>
      </c>
      <c r="H44" s="77">
        <f>SUM(F201:I201)</f>
        <v/>
      </c>
      <c r="I44" s="77">
        <f>E44+F44-G44-H44</f>
        <v/>
      </c>
      <c r="J44" s="205">
        <f>E201</f>
        <v/>
      </c>
      <c r="K44" s="88">
        <f>J44-I44</f>
        <v/>
      </c>
      <c r="L44" s="121">
        <f>+'MERMAS S1'!D40</f>
        <v/>
      </c>
      <c r="M44" s="301" t="n"/>
      <c r="N44" s="36">
        <f>IF(K44&lt;0,K44*L44,0)</f>
        <v/>
      </c>
      <c r="O44" s="4" t="n"/>
      <c r="P44" s="4" t="n"/>
      <c r="Q44" s="4" t="n"/>
    </row>
    <row r="45">
      <c r="B45" s="4" t="n"/>
      <c r="C45" s="30" t="n"/>
      <c r="D45" s="50" t="inlineStr">
        <is>
          <t>Chocolate Sicao Cobertura</t>
        </is>
      </c>
      <c r="E45" s="244" t="n"/>
      <c r="F45" s="77">
        <f>H266</f>
        <v/>
      </c>
      <c r="G45" s="77">
        <f>J266</f>
        <v/>
      </c>
      <c r="H45" s="77">
        <f>SUM(F202:I202)</f>
        <v/>
      </c>
      <c r="I45" s="77">
        <f>E45+F45-G45-H45</f>
        <v/>
      </c>
      <c r="J45" s="205">
        <f>E202</f>
        <v/>
      </c>
      <c r="K45" s="88">
        <f>J45-I45</f>
        <v/>
      </c>
      <c r="L45" s="121">
        <f>+'MERMAS S1'!D41</f>
        <v/>
      </c>
      <c r="M45" s="301" t="n"/>
      <c r="N45" s="36">
        <f>IF(K45&lt;0,K45*L45,0)</f>
        <v/>
      </c>
      <c r="O45" s="4" t="n"/>
      <c r="P45" s="4" t="n"/>
      <c r="Q45" s="4" t="n"/>
    </row>
    <row r="46">
      <c r="B46" s="4" t="n"/>
      <c r="C46" s="30" t="n"/>
      <c r="D46" s="50" t="inlineStr">
        <is>
          <t>Discos de Chocolate</t>
        </is>
      </c>
      <c r="E46" s="244" t="n"/>
      <c r="F46" s="77">
        <f>E268</f>
        <v/>
      </c>
      <c r="G46" s="77">
        <f>E91</f>
        <v/>
      </c>
      <c r="H46" s="77">
        <f>SUM(F203:I203)</f>
        <v/>
      </c>
      <c r="I46" s="77">
        <f>E46+F46-G46-H46</f>
        <v/>
      </c>
      <c r="J46" s="205">
        <f>E203</f>
        <v/>
      </c>
      <c r="K46" s="88">
        <f>J46-I46</f>
        <v/>
      </c>
      <c r="L46" s="121">
        <f>+'MERMAS S1'!D42</f>
        <v/>
      </c>
      <c r="M46" s="301" t="n"/>
      <c r="N46" s="36">
        <f>IF(K46&lt;0,K46*L46,0)</f>
        <v/>
      </c>
      <c r="O46" s="4" t="n"/>
      <c r="P46" s="4" t="n"/>
      <c r="Q46" s="4" t="n"/>
    </row>
    <row r="47">
      <c r="B47" s="4" t="n"/>
      <c r="C47" s="30" t="n"/>
      <c r="D47" s="50" t="inlineStr">
        <is>
          <t>Empanada Mechada</t>
        </is>
      </c>
      <c r="E47" s="244" t="n"/>
      <c r="F47" s="77">
        <f>E225</f>
        <v/>
      </c>
      <c r="G47" s="77">
        <f>IFERROR(SUMPRODUCT(($F$66:$F$153=D47)*$E$66:$E$153*$G$66:$G$153),"Error")</f>
        <v/>
      </c>
      <c r="H47" s="77">
        <f>(SUM(F204:I204)*4)+SUM(F205:I205)</f>
        <v/>
      </c>
      <c r="I47" s="77">
        <f>E47+F47-G47-H47</f>
        <v/>
      </c>
      <c r="J47" s="205">
        <f>(E204*4)+E205</f>
        <v/>
      </c>
      <c r="K47" s="88">
        <f>J47-I47</f>
        <v/>
      </c>
      <c r="L47" s="121">
        <f>+'MERMAS S1'!D43</f>
        <v/>
      </c>
      <c r="M47" s="301" t="n"/>
      <c r="N47" s="36">
        <f>IF(K47&lt;0,K47*L47,0)</f>
        <v/>
      </c>
      <c r="O47" s="4" t="n"/>
      <c r="P47" s="4" t="n"/>
      <c r="Q47" s="4" t="n"/>
    </row>
    <row r="48">
      <c r="B48" s="4" t="n"/>
      <c r="C48" s="30" t="n"/>
      <c r="D48" s="50" t="inlineStr">
        <is>
          <t>Empanada Pulpo</t>
        </is>
      </c>
      <c r="E48" s="244" t="n"/>
      <c r="F48" s="77">
        <f>H247</f>
        <v/>
      </c>
      <c r="G48" s="77">
        <f>IFERROR(SUMPRODUCT(($F$66:$F$153=D48)*$E$66:$E$153*$G$66:$G$153),"Error")</f>
        <v/>
      </c>
      <c r="H48" s="77">
        <f>(SUM(F206:I206)*4)+SUM(F207:I207)</f>
        <v/>
      </c>
      <c r="I48" s="77">
        <f>E48+F48-G48-H48</f>
        <v/>
      </c>
      <c r="J48" s="205">
        <f>(E206*4)+E207</f>
        <v/>
      </c>
      <c r="K48" s="88">
        <f>J48-I48</f>
        <v/>
      </c>
      <c r="L48" s="121">
        <f>+'MERMAS S1'!D44</f>
        <v/>
      </c>
      <c r="M48" s="301" t="n"/>
      <c r="N48" s="36">
        <f>IF(K48&lt;0,K48*L48,0)</f>
        <v/>
      </c>
      <c r="O48" s="4" t="n"/>
      <c r="P48" s="4" t="n"/>
      <c r="Q48" s="4" t="n"/>
    </row>
    <row r="49">
      <c r="B49" s="4" t="n"/>
      <c r="C49" s="30" t="n"/>
      <c r="D49" s="50" t="inlineStr">
        <is>
          <t>Flan de Caluga</t>
        </is>
      </c>
      <c r="E49" s="244" t="n"/>
      <c r="F49" s="77">
        <f>E266</f>
        <v/>
      </c>
      <c r="G49" s="77">
        <f>IFERROR(SUMPRODUCT(($F$66:$F$153=D49)*$E$66:$E$153*$G$66:$G$153),"Error")</f>
        <v/>
      </c>
      <c r="H49" s="77">
        <f>SUM(F208:I208)</f>
        <v/>
      </c>
      <c r="I49" s="77">
        <f>E49+F49-G49-H49</f>
        <v/>
      </c>
      <c r="J49" s="205">
        <f>E208</f>
        <v/>
      </c>
      <c r="K49" s="88">
        <f>J49-I49</f>
        <v/>
      </c>
      <c r="L49" s="121">
        <f>+'MERMAS S1'!D45</f>
        <v/>
      </c>
      <c r="M49" s="301" t="n"/>
      <c r="N49" s="36">
        <f>IF(K49&lt;0,K49*L49,0)</f>
        <v/>
      </c>
      <c r="O49" s="4" t="n"/>
      <c r="P49" s="4" t="n"/>
      <c r="Q49" s="4" t="n"/>
    </row>
    <row r="50">
      <c r="B50" s="4" t="n"/>
      <c r="C50" s="30" t="n"/>
      <c r="D50" s="69" t="inlineStr">
        <is>
          <t>Granola salada</t>
        </is>
      </c>
      <c r="E50" s="244" t="n"/>
      <c r="F50" s="77">
        <f>IF(
SUMPRODUCT(--ISNUMBER(SEARCH(D50,$D$221:$D$242)))
+
SUMPRODUCT(--ISNUMBER(SEARCH(D50,$D$262:$D$267)))=0,
"Error",
SUMPRODUCT((ISNUMBER(SEARCH(D50,$D$221:$D$242)))*$E$221:$E$242)
+
SUMPRODUCT((ISNUMBER(SEARCH(D50,$D$262:$D$267)))*$E$262:$E$267)
)</f>
        <v/>
      </c>
      <c r="G50" s="77">
        <f>IFERROR(SUMPRODUCT(($F$66:$F$153=D50)*$E$66:$E$153*$G$66:$G$153),"Error")</f>
        <v/>
      </c>
      <c r="H50" s="77">
        <f>SUM(F209:I209)</f>
        <v/>
      </c>
      <c r="I50" s="77">
        <f>E50+F50-G50-H50</f>
        <v/>
      </c>
      <c r="J50" s="205">
        <f>E209</f>
        <v/>
      </c>
      <c r="K50" s="88">
        <f>J50-I50</f>
        <v/>
      </c>
      <c r="L50" s="121">
        <f>+'MERMAS S1'!D46</f>
        <v/>
      </c>
      <c r="M50" s="301" t="n"/>
      <c r="N50" s="36">
        <f>IF(K50&lt;0,K50*L50,0)</f>
        <v/>
      </c>
      <c r="O50" s="4" t="n"/>
      <c r="P50" s="4" t="n"/>
      <c r="Q50" s="4" t="n"/>
    </row>
    <row r="51">
      <c r="B51" s="4" t="n"/>
      <c r="C51" s="30" t="n"/>
      <c r="D51" s="69" t="inlineStr">
        <is>
          <t>Mix Conchas</t>
        </is>
      </c>
      <c r="E51" s="244" t="n"/>
      <c r="F51" s="77">
        <f>H253</f>
        <v/>
      </c>
      <c r="G51" s="77">
        <f>IFERROR(SUMPRODUCT(($F$66:$F$153=D51)*$E$66:$E$153*$G$66:$G$153),"Error")</f>
        <v/>
      </c>
      <c r="H51" s="77">
        <f>SUM(F210:I210)</f>
        <v/>
      </c>
      <c r="I51" s="77">
        <f>E51+F51-G51-H51</f>
        <v/>
      </c>
      <c r="J51" s="205">
        <f>E210</f>
        <v/>
      </c>
      <c r="K51" s="88">
        <f>J51-I51</f>
        <v/>
      </c>
      <c r="L51" s="121">
        <f>+'MERMAS S1'!D47</f>
        <v/>
      </c>
      <c r="M51" s="301" t="n"/>
      <c r="N51" s="36">
        <f>IF(K51&lt;0,K51*L51,0)</f>
        <v/>
      </c>
      <c r="O51" s="4" t="n"/>
      <c r="P51" s="4" t="n"/>
      <c r="Q51" s="4" t="n"/>
    </row>
    <row r="52">
      <c r="B52" s="4" t="n"/>
      <c r="C52" s="30" t="n"/>
      <c r="D52" s="69" t="inlineStr">
        <is>
          <t>Nutella</t>
        </is>
      </c>
      <c r="E52" s="244" t="n"/>
      <c r="F52" s="77">
        <f>H267</f>
        <v/>
      </c>
      <c r="G52" s="77">
        <f>J267</f>
        <v/>
      </c>
      <c r="H52" s="77">
        <f>SUM(F211:I211)</f>
        <v/>
      </c>
      <c r="I52" s="77">
        <f>E52+F52-G52-H52</f>
        <v/>
      </c>
      <c r="J52" s="205">
        <f>E211</f>
        <v/>
      </c>
      <c r="K52" s="88">
        <f>J52-I52</f>
        <v/>
      </c>
      <c r="L52" s="121">
        <f>+'MERMAS S1'!D48</f>
        <v/>
      </c>
      <c r="M52" s="301" t="n"/>
      <c r="N52" s="36">
        <f>IF(K52&lt;0,K52*L52,0)</f>
        <v/>
      </c>
      <c r="O52" s="4" t="n"/>
      <c r="P52" s="4" t="n"/>
      <c r="Q52" s="4" t="n"/>
    </row>
    <row r="53">
      <c r="B53" s="4" t="n"/>
      <c r="C53" s="30" t="n"/>
      <c r="D53" s="50" t="inlineStr">
        <is>
          <t>Queso Mozzarella</t>
        </is>
      </c>
      <c r="E53" s="244" t="n"/>
      <c r="F53" s="77">
        <f>E236</f>
        <v/>
      </c>
      <c r="G53" s="77">
        <f>IFERROR(SUMPRODUCT(($F$66:$F$153=D53)*$E$66:$E$153*$G$66:$G$153),"Error")</f>
        <v/>
      </c>
      <c r="H53" s="77">
        <f>SUM(F212:I212)</f>
        <v/>
      </c>
      <c r="I53" s="77">
        <f>E53+F53-G53-H53</f>
        <v/>
      </c>
      <c r="J53" s="205">
        <f>E212</f>
        <v/>
      </c>
      <c r="K53" s="88">
        <f>J53-I53</f>
        <v/>
      </c>
      <c r="L53" s="121">
        <f>+'MERMAS S1'!D49</f>
        <v/>
      </c>
      <c r="M53" s="301" t="n"/>
      <c r="N53" s="36">
        <f>IF(K53&lt;0,K53*L53,0)</f>
        <v/>
      </c>
      <c r="O53" s="4" t="n"/>
      <c r="P53" s="4" t="n"/>
      <c r="Q53" s="4" t="n"/>
    </row>
    <row r="54">
      <c r="B54" s="4" t="n"/>
      <c r="C54" s="30" t="n"/>
      <c r="D54" s="50" t="inlineStr">
        <is>
          <t>Sorrentinos carne mechada</t>
        </is>
      </c>
      <c r="E54" s="244" t="n"/>
      <c r="F54" s="77">
        <f>E240</f>
        <v/>
      </c>
      <c r="G54" s="77">
        <f>IFERROR(SUMPRODUCT(($F$66:$F$153=D54)*$E$66:$E$153*$G$66:$G$153),"Error")</f>
        <v/>
      </c>
      <c r="H54" s="77">
        <f>SUM(F213:I213)</f>
        <v/>
      </c>
      <c r="I54" s="77">
        <f>E54+F54-G54-H54</f>
        <v/>
      </c>
      <c r="J54" s="205">
        <f>E213</f>
        <v/>
      </c>
      <c r="K54" s="88">
        <f>J54-I54</f>
        <v/>
      </c>
      <c r="L54" s="121">
        <f>+'MERMAS S1'!D50</f>
        <v/>
      </c>
      <c r="M54" s="301" t="n"/>
      <c r="N54" s="36">
        <f>IF(K54&lt;0,K54*L54,0)</f>
        <v/>
      </c>
      <c r="O54" s="4" t="n"/>
      <c r="P54" s="4" t="n"/>
      <c r="Q54" s="4" t="n"/>
    </row>
    <row r="55">
      <c r="B55" s="4" t="n"/>
      <c r="C55" s="30" t="n"/>
      <c r="D55" s="50" t="inlineStr">
        <is>
          <t>Sorrentinos pulpo y salmón</t>
        </is>
      </c>
      <c r="E55" s="244" t="n"/>
      <c r="F55" s="77">
        <f>E241</f>
        <v/>
      </c>
      <c r="G55" s="77">
        <f>IFERROR(SUMPRODUCT(($F$66:$F$153=D55)*$E$66:$E$153*$G$66:$G$153),"Error")</f>
        <v/>
      </c>
      <c r="H55" s="77">
        <f>SUM(F214:I214)</f>
        <v/>
      </c>
      <c r="I55" s="77">
        <f>E55+F55-G55-H55</f>
        <v/>
      </c>
      <c r="J55" s="205">
        <f>E214</f>
        <v/>
      </c>
      <c r="K55" s="88">
        <f>J55-I55</f>
        <v/>
      </c>
      <c r="L55" s="121">
        <f>+'MERMAS S1'!D51</f>
        <v/>
      </c>
      <c r="M55" s="301" t="n"/>
      <c r="N55" s="36">
        <f>IF(K55&lt;0,K55*L55,0)</f>
        <v/>
      </c>
      <c r="O55" s="4" t="n"/>
      <c r="P55" s="4" t="n"/>
      <c r="Q55" s="4" t="n"/>
    </row>
    <row r="56">
      <c r="B56" s="4" t="n"/>
      <c r="C56" s="30" t="n"/>
      <c r="D56" s="50" t="inlineStr">
        <is>
          <t>Sorrentinos zapallo</t>
        </is>
      </c>
      <c r="E56" s="244" t="n"/>
      <c r="F56" s="77">
        <f>E242</f>
        <v/>
      </c>
      <c r="G56" s="77">
        <f>IFERROR(SUMPRODUCT(($F$66:$F$153=D56)*$E$66:$E$153*$G$66:$G$153),"Error")</f>
        <v/>
      </c>
      <c r="H56" s="77">
        <f>SUM(F215:I215)</f>
        <v/>
      </c>
      <c r="I56" s="77">
        <f>E56+F56-G56-H56</f>
        <v/>
      </c>
      <c r="J56" s="205">
        <f>E215</f>
        <v/>
      </c>
      <c r="K56" s="88">
        <f>J56-I56</f>
        <v/>
      </c>
      <c r="L56" s="121">
        <f>+'MERMAS S1'!D52</f>
        <v/>
      </c>
      <c r="M56" s="301" t="n"/>
      <c r="N56" s="36">
        <f>IF(K56&lt;0,K56*L56,0)</f>
        <v/>
      </c>
      <c r="O56" s="4" t="n"/>
      <c r="P56" s="4" t="n"/>
      <c r="Q56" s="4" t="n"/>
    </row>
    <row r="57" ht="13.5" customHeight="1" s="95" thickBot="1">
      <c r="B57" s="4" t="n"/>
      <c r="C57" s="30" t="n"/>
      <c r="D57" s="89" t="inlineStr">
        <is>
          <t>Volcán de Chocolate</t>
        </is>
      </c>
      <c r="E57" s="245" t="n"/>
      <c r="F57" s="166">
        <f>E267</f>
        <v/>
      </c>
      <c r="G57" s="166">
        <f>IFERROR(SUMPRODUCT(($F$66:$F$153=D57)*$E$66:$E$153*$G$66:$G$153),"Error")</f>
        <v/>
      </c>
      <c r="H57" s="166">
        <f>SUM(F216:I216)</f>
        <v/>
      </c>
      <c r="I57" s="166">
        <f>E57+F57-G57-H57</f>
        <v/>
      </c>
      <c r="J57" s="206">
        <f>E216</f>
        <v/>
      </c>
      <c r="K57" s="167">
        <f>J57-I57</f>
        <v/>
      </c>
      <c r="L57" s="131">
        <f>+'MERMAS S1'!D53</f>
        <v/>
      </c>
      <c r="M57" s="303" t="n"/>
      <c r="N57" s="110">
        <f>IF(K57&lt;0,K57*L57,0)</f>
        <v/>
      </c>
      <c r="O57" s="4" t="n"/>
      <c r="P57" s="4" t="n"/>
      <c r="Q57" s="4" t="n"/>
    </row>
    <row r="58" ht="13.5" customHeight="1" s="95" thickBot="1">
      <c r="B58" s="4" t="n"/>
      <c r="C58" s="4" t="n"/>
      <c r="D58" s="16" t="n"/>
      <c r="E58" s="9" t="n"/>
      <c r="F58" s="9" t="n"/>
      <c r="G58" s="9" t="n"/>
      <c r="H58" s="9" t="n"/>
      <c r="I58" s="8" t="n"/>
      <c r="J58" s="8" t="n"/>
      <c r="K58" s="8" t="n"/>
      <c r="L58" s="9" t="n"/>
      <c r="M58" s="4" t="n"/>
      <c r="N58" s="4" t="n"/>
      <c r="O58" s="4" t="n"/>
      <c r="P58" s="4" t="n"/>
      <c r="Q58" s="4" t="n"/>
    </row>
    <row r="59" ht="13.5" customHeight="1" s="95" thickBot="1">
      <c r="B59" s="4" t="n"/>
      <c r="C59" s="4" t="n"/>
      <c r="D59" s="16" t="n"/>
      <c r="E59" s="9" t="n"/>
      <c r="F59" s="9" t="n"/>
      <c r="G59" s="9" t="n"/>
      <c r="H59" s="17" t="n"/>
      <c r="I59" s="304" t="inlineStr">
        <is>
          <t>DIFERENCIAS PROMEDIO</t>
        </is>
      </c>
      <c r="J59" s="305" t="n"/>
      <c r="K59" s="11">
        <f>SUM(K37:K57)</f>
        <v/>
      </c>
      <c r="L59" s="4" t="n"/>
      <c r="M59" s="12" t="inlineStr">
        <is>
          <t>DCTO. TOTAL</t>
        </is>
      </c>
      <c r="N59" s="13">
        <f>SUM(N37:N57)</f>
        <v/>
      </c>
      <c r="O59" s="4" t="n"/>
      <c r="P59" s="4" t="n"/>
      <c r="Q59" s="4" t="n"/>
    </row>
    <row r="60"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</row>
    <row r="61"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</row>
    <row r="62"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</row>
    <row r="63" ht="13.5" customHeight="1" s="95" thickBot="1"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</row>
    <row r="64">
      <c r="B64" s="4" t="n"/>
      <c r="C64" s="197" t="inlineStr">
        <is>
          <t>VENTAS</t>
        </is>
      </c>
      <c r="D64" s="308" t="n"/>
      <c r="E64" s="308" t="n"/>
      <c r="F64" s="308" t="n"/>
      <c r="G64" s="308" t="n"/>
      <c r="H64" s="300" t="n"/>
      <c r="I64" s="55" t="n"/>
      <c r="J64" s="55" t="n"/>
      <c r="K64" s="55" t="n"/>
      <c r="L64" s="55" t="n"/>
      <c r="M64" s="55" t="n"/>
      <c r="N64" s="55" t="n"/>
      <c r="O64" s="4" t="n"/>
      <c r="P64" s="4" t="n"/>
      <c r="Q64" s="4" t="n"/>
    </row>
    <row r="65">
      <c r="B65" s="4" t="n"/>
      <c r="C65" s="200" t="inlineStr">
        <is>
          <t>Código</t>
        </is>
      </c>
      <c r="D65" s="196" t="inlineStr">
        <is>
          <t>Ítem</t>
        </is>
      </c>
      <c r="E65" s="196" t="inlineStr">
        <is>
          <t xml:space="preserve">Vendido </t>
        </is>
      </c>
      <c r="F65" s="196" t="inlineStr">
        <is>
          <t>Producto</t>
        </is>
      </c>
      <c r="G65" s="196" t="inlineStr">
        <is>
          <t>Cantidad</t>
        </is>
      </c>
      <c r="H65" s="201" t="inlineStr">
        <is>
          <t>Medida</t>
        </is>
      </c>
      <c r="I65" s="56" t="n"/>
      <c r="J65" s="56" t="n"/>
      <c r="K65" s="56" t="n"/>
      <c r="L65" s="56" t="n"/>
      <c r="M65" s="56" t="n"/>
      <c r="N65" s="56" t="n"/>
      <c r="O65" s="4" t="n"/>
      <c r="P65" s="4" t="n"/>
      <c r="Q65" s="4" t="n"/>
    </row>
    <row r="66">
      <c r="B66" s="4" t="n"/>
      <c r="C66" s="96" t="inlineStr">
        <is>
          <t>VECARAGR013</t>
        </is>
      </c>
      <c r="D66" s="18" t="inlineStr">
        <is>
          <t>Age Salmon Ahumado</t>
        </is>
      </c>
      <c r="E66" s="207">
        <f>IFERROR(
IF(
INDEX($K$272:$K$977,MATCH(C66,$B$272:$B$977,0))&lt;&gt;0,
INDEX($K$272:$K$977,MATCH(C66,$B$272:$B$977,0)),
INDEX($L$272:$L$977,MATCH(C66,$B$272:$B$977,0))
),
0)</f>
        <v/>
      </c>
      <c r="F66" s="1" t="inlineStr">
        <is>
          <t>Salmón ahumado en Caliente</t>
        </is>
      </c>
      <c r="G66" s="52" t="n">
        <v>0.12</v>
      </c>
      <c r="H66" s="81" t="inlineStr">
        <is>
          <t>Kg</t>
        </is>
      </c>
      <c r="I66" s="79" t="n"/>
      <c r="J66" s="78" t="n"/>
      <c r="K66" s="79" t="n"/>
      <c r="L66" s="80" t="n"/>
      <c r="M66" s="80" t="n"/>
      <c r="N66" s="80" t="n"/>
      <c r="O66" s="4" t="n"/>
      <c r="P66" s="4" t="n"/>
      <c r="Q66" s="4" t="n"/>
    </row>
    <row r="67">
      <c r="B67" s="4" t="n"/>
      <c r="C67" s="96" t="inlineStr">
        <is>
          <t>VECARAGR007</t>
        </is>
      </c>
      <c r="D67" s="18" t="inlineStr">
        <is>
          <t>Agr. Jamon Crudo</t>
        </is>
      </c>
      <c r="E67" s="207">
        <f>IFERROR(
IF(
INDEX($K$272:$K$977,MATCH(C67,$B$272:$B$977,0))&lt;&gt;0,
INDEX($K$272:$K$977,MATCH(C67,$B$272:$B$977,0)),
INDEX($L$272:$L$977,MATCH(C67,$B$272:$B$977,0))
),
0)</f>
        <v/>
      </c>
      <c r="F67" s="1" t="inlineStr">
        <is>
          <t>Jamón serrano</t>
        </is>
      </c>
      <c r="G67" s="52" t="n">
        <v>0.03</v>
      </c>
      <c r="H67" s="81" t="inlineStr">
        <is>
          <t>Kg</t>
        </is>
      </c>
      <c r="I67" s="79" t="n"/>
      <c r="J67" s="78" t="n"/>
      <c r="K67" s="79" t="n"/>
      <c r="L67" s="80" t="n"/>
      <c r="M67" s="80" t="n"/>
      <c r="N67" s="80" t="n"/>
      <c r="O67" s="4" t="n"/>
      <c r="P67" s="4" t="n"/>
      <c r="Q67" s="4" t="n"/>
    </row>
    <row r="68">
      <c r="B68" s="4" t="n"/>
      <c r="C68" s="96" t="inlineStr">
        <is>
          <t>VECARENT001</t>
        </is>
      </c>
      <c r="D68" s="18" t="inlineStr">
        <is>
          <t>Atún Apanado</t>
        </is>
      </c>
      <c r="E68" s="207">
        <f>IFERROR(
IF(
INDEX($K$272:$K$977,MATCH(C68,$B$272:$B$977,0))&lt;&gt;0,
INDEX($K$272:$K$977,MATCH(C68,$B$272:$B$977,0)),
INDEX($L$272:$L$977,MATCH(C68,$B$272:$B$977,0))
),
0)</f>
        <v/>
      </c>
      <c r="F68" s="1" t="inlineStr">
        <is>
          <t>Atún Steak</t>
        </is>
      </c>
      <c r="G68" s="52" t="n">
        <v>0.18</v>
      </c>
      <c r="H68" s="81" t="inlineStr">
        <is>
          <t>Kg</t>
        </is>
      </c>
      <c r="I68" s="79" t="n"/>
      <c r="J68" s="78" t="n"/>
      <c r="K68" s="79" t="n"/>
      <c r="L68" s="80" t="n"/>
      <c r="M68" s="80" t="n"/>
      <c r="N68" s="80" t="n"/>
      <c r="O68" s="20" t="n"/>
      <c r="P68" s="4" t="n"/>
      <c r="Q68" s="4" t="n"/>
    </row>
    <row r="69">
      <c r="B69" s="4" t="n"/>
      <c r="C69" s="96" t="inlineStr">
        <is>
          <t>VECARFJT001</t>
        </is>
      </c>
      <c r="D69" s="18" t="inlineStr">
        <is>
          <t>Atún Sellado JT</t>
        </is>
      </c>
      <c r="E69" s="207">
        <f>IFERROR(
IF(
INDEX($K$272:$K$977,MATCH(C69,$B$272:$B$977,0))&lt;&gt;0,
INDEX($K$272:$K$977,MATCH(C69,$B$272:$B$977,0)),
INDEX($L$272:$L$977,MATCH(C69,$B$272:$B$977,0))
),
0)</f>
        <v/>
      </c>
      <c r="F69" s="1" t="inlineStr">
        <is>
          <t>Atún Steak</t>
        </is>
      </c>
      <c r="G69" s="52" t="n">
        <v>0.18</v>
      </c>
      <c r="H69" s="81" t="inlineStr">
        <is>
          <t>Kg</t>
        </is>
      </c>
      <c r="I69" s="79" t="n"/>
      <c r="J69" s="78" t="n"/>
      <c r="K69" s="79" t="n"/>
      <c r="L69" s="80" t="n"/>
      <c r="M69" s="80" t="n"/>
      <c r="N69" s="80" t="n"/>
      <c r="O69" s="20" t="n"/>
      <c r="P69" s="4" t="n"/>
      <c r="Q69" s="4" t="n"/>
    </row>
    <row r="70">
      <c r="B70" s="4" t="n"/>
      <c r="C70" s="96" t="inlineStr">
        <is>
          <t>VECARFON002</t>
        </is>
      </c>
      <c r="D70" s="18" t="inlineStr">
        <is>
          <t>Atún Risotto</t>
        </is>
      </c>
      <c r="E70" s="207">
        <f>IFERROR(
IF(
INDEX($K$272:$K$977,MATCH(C70,$B$272:$B$977,0))&lt;&gt;0,
INDEX($K$272:$K$977,MATCH(C70,$B$272:$B$977,0)),
INDEX($L$272:$L$977,MATCH(C70,$B$272:$B$977,0))
),
0)</f>
        <v/>
      </c>
      <c r="F70" s="1" t="inlineStr">
        <is>
          <t>Atún Steak</t>
        </is>
      </c>
      <c r="G70" s="52" t="n">
        <v>0.18</v>
      </c>
      <c r="H70" s="81" t="inlineStr">
        <is>
          <t>Kg</t>
        </is>
      </c>
      <c r="I70" s="79" t="n"/>
      <c r="J70" s="78" t="n"/>
      <c r="K70" s="79" t="n"/>
      <c r="L70" s="80" t="n"/>
      <c r="M70" s="80" t="n"/>
      <c r="N70" s="80" t="n"/>
      <c r="O70" s="20" t="n"/>
      <c r="P70" s="4" t="n"/>
      <c r="Q70" s="4" t="n"/>
    </row>
    <row r="71">
      <c r="B71" s="4" t="n"/>
      <c r="C71" s="96" t="inlineStr">
        <is>
          <t>VECARFUB001</t>
        </is>
      </c>
      <c r="D71" s="18" t="inlineStr">
        <is>
          <t>Atún Risotto PY</t>
        </is>
      </c>
      <c r="E71" s="207">
        <f>IFERROR(
IF(
INDEX($K$272:$K$977,MATCH(C71,$B$272:$B$977,0))&lt;&gt;0,
INDEX($K$272:$K$977,MATCH(C71,$B$272:$B$977,0)),
INDEX($L$272:$L$977,MATCH(C71,$B$272:$B$977,0))
),
0)</f>
        <v/>
      </c>
      <c r="F71" s="1" t="inlineStr">
        <is>
          <t>Atún Steak</t>
        </is>
      </c>
      <c r="G71" s="52" t="n">
        <v>0.18</v>
      </c>
      <c r="H71" s="81" t="inlineStr">
        <is>
          <t>Kg</t>
        </is>
      </c>
      <c r="I71" s="79" t="n"/>
      <c r="J71" s="78" t="n"/>
      <c r="K71" s="79" t="n"/>
      <c r="L71" s="80" t="n"/>
      <c r="M71" s="80" t="n"/>
      <c r="N71" s="80" t="n"/>
      <c r="O71" s="20" t="n"/>
      <c r="P71" s="4" t="n"/>
      <c r="Q71" s="4" t="n"/>
    </row>
    <row r="72">
      <c r="B72" s="4" t="n"/>
      <c r="C72" s="96" t="inlineStr">
        <is>
          <t>VECARENT034</t>
        </is>
      </c>
      <c r="D72" s="18" t="inlineStr">
        <is>
          <t>Brocheta Langostino</t>
        </is>
      </c>
      <c r="E72" s="207">
        <f>IFERROR(
IF(
INDEX($K$272:$K$977,MATCH(C72,$B$272:$B$977,0))&lt;&gt;0,
INDEX($K$272:$K$977,MATCH(C72,$B$272:$B$977,0)),
INDEX($L$272:$L$977,MATCH(C72,$B$272:$B$977,0))
),
0)</f>
        <v/>
      </c>
      <c r="F72" s="1" t="inlineStr">
        <is>
          <t>Langostinos</t>
        </is>
      </c>
      <c r="G72" s="52" t="n">
        <v>1</v>
      </c>
      <c r="H72" s="81" t="inlineStr">
        <is>
          <t>Und</t>
        </is>
      </c>
      <c r="I72" s="79" t="n"/>
      <c r="J72" s="78" t="n"/>
      <c r="K72" s="79" t="n"/>
      <c r="L72" s="80" t="n"/>
      <c r="M72" s="80" t="n"/>
      <c r="N72" s="80" t="n"/>
      <c r="O72" s="20" t="n"/>
      <c r="P72" s="4" t="n"/>
      <c r="Q72" s="4" t="n"/>
    </row>
    <row r="73">
      <c r="B73" s="4" t="n"/>
      <c r="C73" s="96" t="inlineStr">
        <is>
          <t>VECARPOS013</t>
        </is>
      </c>
      <c r="D73" s="18" t="inlineStr">
        <is>
          <t>Brownie Choc Vegano</t>
        </is>
      </c>
      <c r="E73" s="207">
        <f>IFERROR(
IF(
INDEX($K$272:$K$977,MATCH(C73,$B$272:$B$977,0))&lt;&gt;0,
INDEX($K$272:$K$977,MATCH(C73,$B$272:$B$977,0)),
INDEX($L$272:$L$977,MATCH(C73,$B$272:$B$977,0))
),
0)</f>
        <v/>
      </c>
      <c r="F73" s="18" t="inlineStr">
        <is>
          <t>Brownie Vegano</t>
        </is>
      </c>
      <c r="G73" s="52" t="n">
        <v>1</v>
      </c>
      <c r="H73" s="81" t="inlineStr">
        <is>
          <t>Kg</t>
        </is>
      </c>
      <c r="I73" s="79" t="n"/>
      <c r="J73" s="78" t="n"/>
      <c r="K73" s="79" t="n"/>
      <c r="L73" s="80" t="n"/>
      <c r="M73" s="80" t="n"/>
      <c r="N73" s="80" t="n"/>
      <c r="O73" s="20" t="n"/>
      <c r="P73" s="4" t="n"/>
      <c r="Q73" s="4" t="n"/>
    </row>
    <row r="74">
      <c r="B74" s="4" t="n"/>
      <c r="C74" s="96" t="inlineStr">
        <is>
          <t>VECARPOS024</t>
        </is>
      </c>
      <c r="D74" s="18" t="inlineStr">
        <is>
          <t>Brownie Nutella</t>
        </is>
      </c>
      <c r="E74" s="207">
        <f>IFERROR(
IF(
INDEX($K$272:$K$977,MATCH(C74,$B$272:$B$977,0))&lt;&gt;0,
INDEX($K$272:$K$977,MATCH(C74,$B$272:$B$977,0)),
INDEX($L$272:$L$977,MATCH(C74,$B$272:$B$977,0))
),
0)</f>
        <v/>
      </c>
      <c r="F74" s="18" t="inlineStr">
        <is>
          <t>Brownie Nutella</t>
        </is>
      </c>
      <c r="G74" s="52" t="n">
        <v>1</v>
      </c>
      <c r="H74" s="81" t="inlineStr">
        <is>
          <t>Kg</t>
        </is>
      </c>
      <c r="I74" s="79" t="n"/>
      <c r="J74" s="78" t="n"/>
      <c r="K74" s="79" t="n"/>
      <c r="L74" s="80" t="n"/>
      <c r="M74" s="80" t="n"/>
      <c r="N74" s="80" t="n"/>
      <c r="O74" s="4" t="n"/>
      <c r="P74" s="4" t="n"/>
      <c r="Q74" s="4" t="n"/>
    </row>
    <row r="75">
      <c r="B75" s="4" t="n"/>
      <c r="C75" s="96" t="inlineStr">
        <is>
          <t>VECARPUB012</t>
        </is>
      </c>
      <c r="D75" s="18" t="inlineStr">
        <is>
          <t>Brownie Nutella  PY</t>
        </is>
      </c>
      <c r="E75" s="207">
        <f>IFERROR(
IF(
INDEX($K$272:$K$977,MATCH(C75,$B$272:$B$977,0))&lt;&gt;0,
INDEX($K$272:$K$977,MATCH(C75,$B$272:$B$977,0)),
INDEX($L$272:$L$977,MATCH(C75,$B$272:$B$977,0))
),
0)</f>
        <v/>
      </c>
      <c r="F75" s="18" t="inlineStr">
        <is>
          <t>Brownie Nutella</t>
        </is>
      </c>
      <c r="G75" s="52" t="n">
        <v>1</v>
      </c>
      <c r="H75" s="81" t="inlineStr">
        <is>
          <t>Kg</t>
        </is>
      </c>
      <c r="I75" s="79" t="n"/>
      <c r="J75" s="78" t="n"/>
      <c r="K75" s="79" t="n"/>
      <c r="L75" s="80" t="n"/>
      <c r="M75" s="80" t="n"/>
      <c r="N75" s="80" t="n"/>
      <c r="O75" s="4" t="n"/>
      <c r="P75" s="4" t="n"/>
      <c r="Q75" s="4" t="n"/>
    </row>
    <row r="76">
      <c r="B76" s="4" t="n"/>
      <c r="C76" s="96" t="inlineStr">
        <is>
          <t>VECARPJT005</t>
        </is>
      </c>
      <c r="D76" s="18" t="inlineStr">
        <is>
          <t>Brownie Vegano JT</t>
        </is>
      </c>
      <c r="E76" s="207">
        <f>IFERROR(
IF(
INDEX($K$272:$K$977,MATCH(C76,$B$272:$B$977,0))&lt;&gt;0,
INDEX($K$272:$K$977,MATCH(C76,$B$272:$B$977,0)),
INDEX($L$272:$L$977,MATCH(C76,$B$272:$B$977,0))
),
0)</f>
        <v/>
      </c>
      <c r="F76" s="18" t="inlineStr">
        <is>
          <t>Brownie Vegano</t>
        </is>
      </c>
      <c r="G76" s="52" t="n">
        <v>1</v>
      </c>
      <c r="H76" s="81" t="inlineStr">
        <is>
          <t>Kg</t>
        </is>
      </c>
      <c r="I76" s="79" t="n"/>
      <c r="J76" s="78" t="n"/>
      <c r="K76" s="79" t="n"/>
      <c r="L76" s="80" t="n"/>
      <c r="M76" s="80" t="n"/>
      <c r="N76" s="80" t="n"/>
      <c r="O76" s="4" t="n"/>
      <c r="P76" s="4" t="n"/>
      <c r="Q76" s="4" t="n"/>
    </row>
    <row r="77">
      <c r="B77" s="4" t="n"/>
      <c r="C77" s="96" t="inlineStr">
        <is>
          <t>VECARPUB005</t>
        </is>
      </c>
      <c r="D77" s="18" t="inlineStr">
        <is>
          <t>Brownie Vegano PY</t>
        </is>
      </c>
      <c r="E77" s="207">
        <f>IFERROR(
IF(
INDEX($K$272:$K$977,MATCH(C77,$B$272:$B$977,0))&lt;&gt;0,
INDEX($K$272:$K$977,MATCH(C77,$B$272:$B$977,0)),
INDEX($L$272:$L$977,MATCH(C77,$B$272:$B$977,0))
),
0)</f>
        <v/>
      </c>
      <c r="F77" s="18" t="inlineStr">
        <is>
          <t>Brownie Vegano</t>
        </is>
      </c>
      <c r="G77" s="52" t="n">
        <v>1</v>
      </c>
      <c r="H77" s="81" t="inlineStr">
        <is>
          <t>Kg</t>
        </is>
      </c>
      <c r="I77" s="79" t="n"/>
      <c r="J77" s="78" t="n"/>
      <c r="K77" s="79" t="n"/>
      <c r="L77" s="80" t="n"/>
      <c r="M77" s="80" t="n"/>
      <c r="N77" s="80" t="n"/>
      <c r="O77" s="20" t="n"/>
      <c r="P77" s="4" t="n"/>
      <c r="Q77" s="4" t="n"/>
    </row>
    <row r="78">
      <c r="B78" s="4" t="n"/>
      <c r="C78" s="96" t="inlineStr">
        <is>
          <t>VECARFON067</t>
        </is>
      </c>
      <c r="D78" s="18" t="inlineStr">
        <is>
          <t>Carne Desmechada con Ñoquis</t>
        </is>
      </c>
      <c r="E78" s="207">
        <f>IFERROR(
IF(
INDEX($K$272:$K$977,MATCH(C78,$B$272:$B$977,0))&lt;&gt;0,
INDEX($K$272:$K$977,MATCH(C78,$B$272:$B$977,0)),
INDEX($L$272:$L$977,MATCH(C78,$B$272:$B$977,0))
),
0)</f>
        <v/>
      </c>
      <c r="F78" s="18" t="inlineStr">
        <is>
          <t>Ganso</t>
        </is>
      </c>
      <c r="G78" s="52" t="n">
        <v>0.12</v>
      </c>
      <c r="H78" s="81" t="inlineStr">
        <is>
          <t>Kg</t>
        </is>
      </c>
      <c r="I78" s="79" t="n"/>
      <c r="J78" s="78" t="n"/>
      <c r="K78" s="79" t="n"/>
      <c r="L78" s="80" t="n"/>
      <c r="M78" s="80" t="n"/>
      <c r="N78" s="80" t="n"/>
      <c r="O78" s="20" t="n"/>
      <c r="P78" s="4" t="n"/>
      <c r="Q78" s="4" t="n"/>
    </row>
    <row r="79">
      <c r="B79" s="4" t="n"/>
      <c r="C79" s="96" t="inlineStr">
        <is>
          <t>VECARAUB013</t>
        </is>
      </c>
      <c r="D79" s="18" t="inlineStr">
        <is>
          <t>Carpaccio de Res Margó PY</t>
        </is>
      </c>
      <c r="E79" s="207">
        <f>IFERROR(
IF(
INDEX($K$272:$K$977,MATCH(C79,$B$272:$B$977,0))&lt;&gt;0,
INDEX($K$272:$K$977,MATCH(C79,$B$272:$B$977,0)),
INDEX($L$272:$L$977,MATCH(C79,$B$272:$B$977,0))
),
0)</f>
        <v/>
      </c>
      <c r="F79" s="1" t="inlineStr">
        <is>
          <t>Carpaccio de res</t>
        </is>
      </c>
      <c r="G79" s="52" t="n">
        <v>0.12</v>
      </c>
      <c r="H79" s="81" t="inlineStr">
        <is>
          <t>Kg</t>
        </is>
      </c>
      <c r="I79" s="79" t="n"/>
      <c r="J79" s="78" t="n"/>
      <c r="K79" s="79" t="n"/>
      <c r="L79" s="80" t="n"/>
      <c r="M79" s="80" t="n"/>
      <c r="N79" s="80" t="n"/>
      <c r="O79" s="20" t="n"/>
      <c r="P79" s="4" t="n"/>
      <c r="Q79" s="4" t="n"/>
    </row>
    <row r="80">
      <c r="B80" s="4" t="n"/>
      <c r="C80" s="96" t="inlineStr">
        <is>
          <t>VECARENT002</t>
        </is>
      </c>
      <c r="D80" s="18" t="inlineStr">
        <is>
          <t>Carpaccio Filete Res</t>
        </is>
      </c>
      <c r="E80" s="207">
        <f>IFERROR(
IF(
INDEX($K$272:$K$977,MATCH(C80,$B$272:$B$977,0))&lt;&gt;0,
INDEX($K$272:$K$977,MATCH(C80,$B$272:$B$977,0)),
INDEX($L$272:$L$977,MATCH(C80,$B$272:$B$977,0))
),
0)</f>
        <v/>
      </c>
      <c r="F80" s="1" t="inlineStr">
        <is>
          <t>Carpaccio de res</t>
        </is>
      </c>
      <c r="G80" s="52" t="n">
        <v>0.12</v>
      </c>
      <c r="H80" s="81" t="inlineStr">
        <is>
          <t>Kg</t>
        </is>
      </c>
      <c r="I80" s="79" t="n"/>
      <c r="J80" s="78" t="n"/>
      <c r="K80" s="79" t="n"/>
      <c r="L80" s="80" t="n"/>
      <c r="M80" s="80" t="n"/>
      <c r="N80" s="80" t="n"/>
      <c r="O80" s="20" t="n"/>
      <c r="P80" s="4" t="n"/>
      <c r="Q80" s="4" t="n"/>
    </row>
    <row r="81">
      <c r="B81" s="4" t="n"/>
      <c r="C81" s="96" t="inlineStr">
        <is>
          <t>VECARFON004</t>
        </is>
      </c>
      <c r="D81" s="18" t="inlineStr">
        <is>
          <t>Caldillo de Congrio</t>
        </is>
      </c>
      <c r="E81" s="207">
        <f>IFERROR(
IF(
INDEX($K$272:$K$977,MATCH(C81,$B$272:$B$977,0))&lt;&gt;0,
INDEX($K$272:$K$977,MATCH(C81,$B$272:$B$977,0)),
INDEX($L$272:$L$977,MATCH(C81,$B$272:$B$977,0))
),
0)</f>
        <v/>
      </c>
      <c r="F81" s="1" t="inlineStr">
        <is>
          <t>Congrio</t>
        </is>
      </c>
      <c r="G81" s="52" t="n">
        <v>0.15</v>
      </c>
      <c r="H81" s="81" t="inlineStr">
        <is>
          <t>Kg</t>
        </is>
      </c>
      <c r="I81" s="79" t="n"/>
      <c r="J81" s="78" t="n"/>
      <c r="K81" s="79" t="n"/>
      <c r="L81" s="80" t="n"/>
      <c r="M81" s="80" t="n"/>
      <c r="N81" s="80" t="n"/>
      <c r="O81" s="20" t="n"/>
      <c r="P81" s="4" t="n"/>
      <c r="Q81" s="4" t="n"/>
    </row>
    <row r="82">
      <c r="B82" s="4" t="n"/>
      <c r="C82" s="96" t="inlineStr">
        <is>
          <t>VECARFON004</t>
        </is>
      </c>
      <c r="D82" s="18" t="inlineStr">
        <is>
          <t>Caldillo de Congrio</t>
        </is>
      </c>
      <c r="E82" s="207">
        <f>IFERROR(
IF(
INDEX($K$272:$K$977,MATCH(C82,$B$272:$B$977,0))&lt;&gt;0,
INDEX($K$272:$K$977,MATCH(C82,$B$272:$B$977,0)),
INDEX($L$272:$L$977,MATCH(C82,$B$272:$B$977,0))
),
0)</f>
        <v/>
      </c>
      <c r="F82" s="1" t="inlineStr">
        <is>
          <t>Mix Conchas</t>
        </is>
      </c>
      <c r="G82" s="52" t="n">
        <v>1</v>
      </c>
      <c r="H82" s="81" t="inlineStr">
        <is>
          <t>Porción</t>
        </is>
      </c>
      <c r="I82" s="79" t="n"/>
      <c r="J82" s="78" t="n"/>
      <c r="K82" s="79" t="n"/>
      <c r="L82" s="80" t="n"/>
      <c r="M82" s="80" t="n"/>
      <c r="N82" s="80" t="n"/>
      <c r="O82" s="20" t="n"/>
      <c r="P82" s="4" t="n"/>
      <c r="Q82" s="4" t="n"/>
    </row>
    <row r="83">
      <c r="B83" s="4" t="n"/>
      <c r="C83" s="97" t="inlineStr">
        <is>
          <t>VECARENT003</t>
        </is>
      </c>
      <c r="D83" s="18" t="inlineStr">
        <is>
          <t>Ceviche Margo</t>
        </is>
      </c>
      <c r="E83" s="207">
        <f>IFERROR(
IF(
INDEX($K$272:$K$977,MATCH(C83,$B$272:$B$977,0))&lt;&gt;0,
INDEX($K$272:$K$977,MATCH(C83,$B$272:$B$977,0)),
INDEX($L$272:$L$977,MATCH(C83,$B$272:$B$977,0))
),
0)</f>
        <v/>
      </c>
      <c r="F83" s="1" t="inlineStr">
        <is>
          <t>Reineta</t>
        </is>
      </c>
      <c r="G83" s="52" t="n">
        <v>0.1</v>
      </c>
      <c r="H83" s="81" t="inlineStr">
        <is>
          <t>Kg</t>
        </is>
      </c>
      <c r="I83" s="79" t="n"/>
      <c r="J83" s="78" t="n"/>
      <c r="K83" s="79" t="n"/>
      <c r="L83" s="80" t="n"/>
      <c r="M83" s="80" t="n"/>
      <c r="N83" s="80" t="n"/>
      <c r="O83" s="20" t="n"/>
      <c r="P83" s="4" t="n"/>
      <c r="Q83" s="4" t="n"/>
    </row>
    <row r="84">
      <c r="B84" s="4" t="n"/>
      <c r="C84" s="96" t="inlineStr">
        <is>
          <t>VECARPOS015</t>
        </is>
      </c>
      <c r="D84" s="122" t="inlineStr">
        <is>
          <t>Cheesecake Berries</t>
        </is>
      </c>
      <c r="E84" s="207">
        <f>IFERROR(
IF(
INDEX($K$272:$K$977,MATCH(C84,$B$272:$B$977,0))&lt;&gt;0,
INDEX($K$272:$K$977,MATCH(C84,$B$272:$B$977,0)),
INDEX($L$272:$L$977,MATCH(C84,$B$272:$B$977,0))
),
0)</f>
        <v/>
      </c>
      <c r="F84" s="1" t="inlineStr">
        <is>
          <t>Cheesecake Berries</t>
        </is>
      </c>
      <c r="G84" s="52" t="n">
        <v>1</v>
      </c>
      <c r="H84" s="81" t="inlineStr">
        <is>
          <t>Kg</t>
        </is>
      </c>
      <c r="I84" s="79" t="n"/>
      <c r="J84" s="78" t="n"/>
      <c r="K84" s="79" t="n"/>
      <c r="L84" s="80" t="n"/>
      <c r="M84" s="80" t="n"/>
      <c r="N84" s="80" t="n"/>
      <c r="O84" s="20" t="n"/>
      <c r="P84" s="4" t="n"/>
      <c r="Q84" s="4" t="n"/>
    </row>
    <row r="85">
      <c r="B85" s="4" t="n"/>
      <c r="C85" s="96" t="inlineStr">
        <is>
          <t>VECARPUB006</t>
        </is>
      </c>
      <c r="D85" s="122" t="inlineStr">
        <is>
          <t>Cheesecake Berries PY</t>
        </is>
      </c>
      <c r="E85" s="207">
        <f>IFERROR(
IF(
INDEX($K$272:$K$977,MATCH(C85,$B$272:$B$977,0))&lt;&gt;0,
INDEX($K$272:$K$977,MATCH(C85,$B$272:$B$977,0)),
INDEX($L$272:$L$977,MATCH(C85,$B$272:$B$977,0))
),
0)</f>
        <v/>
      </c>
      <c r="F85" s="1" t="inlineStr">
        <is>
          <t>Cheesecake Berries</t>
        </is>
      </c>
      <c r="G85" s="52" t="n">
        <v>1</v>
      </c>
      <c r="H85" s="81" t="inlineStr">
        <is>
          <t>Kg</t>
        </is>
      </c>
      <c r="I85" s="79" t="n"/>
      <c r="J85" s="78" t="n"/>
      <c r="K85" s="79" t="n"/>
      <c r="L85" s="80" t="n"/>
      <c r="M85" s="80" t="n"/>
      <c r="N85" s="80" t="n"/>
      <c r="O85" s="20" t="n"/>
      <c r="P85" s="4" t="n"/>
      <c r="Q85" s="4" t="n"/>
    </row>
    <row r="86">
      <c r="B86" s="4" t="n"/>
      <c r="C86" s="96" t="inlineStr">
        <is>
          <t>VECARPJT006</t>
        </is>
      </c>
      <c r="D86" s="122" t="inlineStr">
        <is>
          <t>Cheesecake Berries JT</t>
        </is>
      </c>
      <c r="E86" s="207">
        <f>IFERROR(
IF(
INDEX($K$272:$K$977,MATCH(C86,$B$272:$B$977,0))&lt;&gt;0,
INDEX($K$272:$K$977,MATCH(C86,$B$272:$B$977,0)),
INDEX($L$272:$L$977,MATCH(C86,$B$272:$B$977,0))
),
0)</f>
        <v/>
      </c>
      <c r="F86" s="1" t="inlineStr">
        <is>
          <t>Cheesecake Berries</t>
        </is>
      </c>
      <c r="G86" s="52" t="n">
        <v>1</v>
      </c>
      <c r="H86" s="81" t="inlineStr">
        <is>
          <t>Kg</t>
        </is>
      </c>
      <c r="I86" s="79" t="n"/>
      <c r="J86" s="78" t="n"/>
      <c r="K86" s="79" t="n"/>
      <c r="L86" s="80" t="n"/>
      <c r="M86" s="80" t="n"/>
      <c r="N86" s="80" t="n"/>
      <c r="O86" s="20" t="n"/>
      <c r="P86" s="4" t="n"/>
      <c r="Q86" s="4" t="n"/>
    </row>
    <row r="87" ht="15" customHeight="1" s="95">
      <c r="B87" s="4" t="n"/>
      <c r="C87" s="96" t="inlineStr">
        <is>
          <t>VECARPOS003</t>
        </is>
      </c>
      <c r="D87" s="18" t="inlineStr">
        <is>
          <t>Cheesecake Limón</t>
        </is>
      </c>
      <c r="E87" s="207">
        <f>IFERROR(
IF(
INDEX($K$272:$K$977,MATCH(C87,$B$272:$B$977,0))&lt;&gt;0,
INDEX($K$272:$K$977,MATCH(C87,$B$272:$B$977,0)),
INDEX($L$272:$L$977,MATCH(C87,$B$272:$B$977,0))
),
0)</f>
        <v/>
      </c>
      <c r="F87" s="1" t="inlineStr">
        <is>
          <t>Cheesecake de Limón</t>
        </is>
      </c>
      <c r="G87" s="52" t="n">
        <v>1</v>
      </c>
      <c r="H87" s="81" t="inlineStr">
        <is>
          <t>Kg</t>
        </is>
      </c>
      <c r="I87" s="79" t="n"/>
      <c r="J87" s="78" t="n"/>
      <c r="K87" s="79" t="n"/>
      <c r="L87" s="80" t="n"/>
      <c r="M87" s="80" t="n"/>
      <c r="N87" s="80" t="n"/>
      <c r="O87" s="20" t="n"/>
      <c r="P87" s="4" t="n"/>
      <c r="Q87" s="4" t="n"/>
    </row>
    <row r="88" ht="15" customHeight="1" s="95">
      <c r="B88" s="4" t="n"/>
      <c r="C88" s="96" t="inlineStr">
        <is>
          <t>VECARPJT011</t>
        </is>
      </c>
      <c r="D88" s="18" t="inlineStr">
        <is>
          <t>Cheesecake Limón JT</t>
        </is>
      </c>
      <c r="E88" s="207">
        <f>IFERROR(
IF(
INDEX($K$272:$K$977,MATCH(C88,$B$272:$B$977,0))&lt;&gt;0,
INDEX($K$272:$K$977,MATCH(C88,$B$272:$B$977,0)),
INDEX($L$272:$L$977,MATCH(C88,$B$272:$B$977,0))
),
0)</f>
        <v/>
      </c>
      <c r="F88" s="1" t="inlineStr">
        <is>
          <t>Cheesecake de Limón</t>
        </is>
      </c>
      <c r="G88" s="52" t="n">
        <v>1</v>
      </c>
      <c r="H88" s="81" t="inlineStr">
        <is>
          <t>Kg</t>
        </is>
      </c>
      <c r="I88" s="79" t="n"/>
      <c r="J88" s="78" t="n"/>
      <c r="K88" s="79" t="n"/>
      <c r="L88" s="80" t="n"/>
      <c r="M88" s="80" t="n"/>
      <c r="N88" s="80" t="n"/>
      <c r="O88" s="20" t="n"/>
      <c r="P88" s="4" t="n"/>
      <c r="Q88" s="4" t="n"/>
    </row>
    <row r="89">
      <c r="B89" s="4" t="n"/>
      <c r="C89" s="96" t="inlineStr">
        <is>
          <t>VECARPUB011</t>
        </is>
      </c>
      <c r="D89" s="18" t="inlineStr">
        <is>
          <t>Cheesecake Limón PY</t>
        </is>
      </c>
      <c r="E89" s="207">
        <f>IFERROR(
IF(
INDEX($K$272:$K$977,MATCH(C89,$B$272:$B$977,0))&lt;&gt;0,
INDEX($K$272:$K$977,MATCH(C89,$B$272:$B$977,0)),
INDEX($L$272:$L$977,MATCH(C89,$B$272:$B$977,0))
),
0)</f>
        <v/>
      </c>
      <c r="F89" s="1" t="inlineStr">
        <is>
          <t>Cheesecake de Limón</t>
        </is>
      </c>
      <c r="G89" s="52" t="n">
        <v>1</v>
      </c>
      <c r="H89" s="81" t="inlineStr">
        <is>
          <t>Kg</t>
        </is>
      </c>
      <c r="I89" s="79" t="n"/>
      <c r="J89" s="78" t="n"/>
      <c r="K89" s="79" t="n"/>
      <c r="L89" s="80" t="n"/>
      <c r="M89" s="80" t="n"/>
      <c r="N89" s="80" t="n"/>
      <c r="O89" s="20" t="n"/>
      <c r="P89" s="4" t="n"/>
      <c r="Q89" s="4" t="n"/>
    </row>
    <row r="90">
      <c r="B90" s="4" t="n"/>
      <c r="C90" s="96" t="inlineStr">
        <is>
          <t>VECARFON061</t>
        </is>
      </c>
      <c r="D90" s="18" t="inlineStr">
        <is>
          <t>Chupe de salmón ahumado</t>
        </is>
      </c>
      <c r="E90" s="207">
        <f>IFERROR(
IF(
INDEX($K$272:$K$977,MATCH(C90,$B$272:$B$977,0))&lt;&gt;0,
INDEX($K$272:$K$977,MATCH(C90,$B$272:$B$977,0)),
INDEX($L$272:$L$977,MATCH(C90,$B$272:$B$977,0))
),
0)</f>
        <v/>
      </c>
      <c r="F90" s="1" t="inlineStr">
        <is>
          <t>Chupe</t>
        </is>
      </c>
      <c r="G90" s="52" t="n">
        <v>1</v>
      </c>
      <c r="H90" s="81" t="inlineStr">
        <is>
          <t>Porción</t>
        </is>
      </c>
      <c r="I90" s="79" t="n"/>
      <c r="J90" s="78" t="n"/>
      <c r="K90" s="79" t="n"/>
      <c r="L90" s="80" t="n"/>
      <c r="M90" s="80" t="n"/>
      <c r="N90" s="80" t="n"/>
      <c r="O90" s="20" t="n"/>
      <c r="P90" s="4" t="n"/>
      <c r="Q90" s="4" t="n"/>
    </row>
    <row r="91">
      <c r="B91" s="4" t="n"/>
      <c r="C91" s="96" t="inlineStr">
        <is>
          <t>VECARPOS006</t>
        </is>
      </c>
      <c r="D91" s="18" t="inlineStr">
        <is>
          <t>Discos de Chocolate</t>
        </is>
      </c>
      <c r="E91" s="207">
        <f>IFERROR(
IF(
INDEX($K$272:$K$977,MATCH(C91,$B$272:$B$977,0))&lt;&gt;0,
INDEX($K$272:$K$977,MATCH(C91,$B$272:$B$977,0)),
INDEX($L$272:$L$977,MATCH(C91,$B$272:$B$977,0))
),
0)</f>
        <v/>
      </c>
      <c r="F91" s="18" t="inlineStr">
        <is>
          <t>Discos de Chocolate</t>
        </is>
      </c>
      <c r="G91" s="52" t="n">
        <v>3</v>
      </c>
      <c r="H91" s="81" t="inlineStr">
        <is>
          <t>Und</t>
        </is>
      </c>
      <c r="I91" s="79" t="n"/>
      <c r="J91" s="78" t="n"/>
      <c r="K91" s="79" t="n"/>
      <c r="L91" s="80" t="n"/>
      <c r="M91" s="80" t="n"/>
      <c r="N91" s="80" t="n"/>
      <c r="O91" s="20" t="n"/>
      <c r="P91" s="4" t="n"/>
      <c r="Q91" s="4" t="n"/>
    </row>
    <row r="92">
      <c r="B92" s="4" t="n"/>
      <c r="C92" s="96" t="inlineStr">
        <is>
          <t>VECARENT004</t>
        </is>
      </c>
      <c r="D92" s="18" t="inlineStr">
        <is>
          <t>Emp Frita Mechada</t>
        </is>
      </c>
      <c r="E92" s="207">
        <f>IFERROR(
IF(
INDEX($K$272:$K$977,MATCH(C92,$B$272:$B$977,0))&lt;&gt;0,
INDEX($K$272:$K$977,MATCH(C92,$B$272:$B$977,0)),
INDEX($L$272:$L$977,MATCH(C92,$B$272:$B$977,0))
),
0)</f>
        <v/>
      </c>
      <c r="F92" s="1" t="inlineStr">
        <is>
          <t>Empanada Mechada</t>
        </is>
      </c>
      <c r="G92" s="52" t="n">
        <v>4</v>
      </c>
      <c r="H92" s="81" t="inlineStr">
        <is>
          <t>Und</t>
        </is>
      </c>
      <c r="I92" s="79" t="n"/>
      <c r="J92" s="78" t="n"/>
      <c r="K92" s="79" t="n"/>
      <c r="L92" s="80" t="n"/>
      <c r="M92" s="80" t="n"/>
      <c r="N92" s="80" t="n"/>
      <c r="O92" s="20" t="n"/>
      <c r="P92" s="4" t="n"/>
      <c r="Q92" s="4" t="n"/>
    </row>
    <row r="93">
      <c r="B93" s="4" t="n"/>
      <c r="C93" s="96" t="inlineStr">
        <is>
          <t>VECARAJT001</t>
        </is>
      </c>
      <c r="D93" s="18" t="inlineStr">
        <is>
          <t>Emp Mechada JT</t>
        </is>
      </c>
      <c r="E93" s="207">
        <f>IFERROR(
IF(
INDEX($K$272:$K$977,MATCH(C93,$B$272:$B$977,0))&lt;&gt;0,
INDEX($K$272:$K$977,MATCH(C93,$B$272:$B$977,0)),
INDEX($L$272:$L$977,MATCH(C93,$B$272:$B$977,0))
),
0)</f>
        <v/>
      </c>
      <c r="F93" s="1" t="inlineStr">
        <is>
          <t>Empanada Mechada</t>
        </is>
      </c>
      <c r="G93" s="52" t="n">
        <v>4</v>
      </c>
      <c r="H93" s="81" t="inlineStr">
        <is>
          <t>Und</t>
        </is>
      </c>
      <c r="I93" s="79" t="n"/>
      <c r="J93" s="78" t="n"/>
      <c r="K93" s="79" t="n"/>
      <c r="L93" s="80" t="n"/>
      <c r="M93" s="80" t="n"/>
      <c r="N93" s="80" t="n"/>
      <c r="O93" s="20" t="n"/>
      <c r="P93" s="4" t="n"/>
      <c r="Q93" s="4" t="n"/>
    </row>
    <row r="94">
      <c r="B94" s="4" t="n"/>
      <c r="C94" s="96" t="inlineStr">
        <is>
          <t>VECARAUB001</t>
        </is>
      </c>
      <c r="D94" s="18" t="inlineStr">
        <is>
          <t>Emp Mechada PY</t>
        </is>
      </c>
      <c r="E94" s="207">
        <f>IFERROR(
IF(
INDEX($K$272:$K$977,MATCH(C94,$B$272:$B$977,0))&lt;&gt;0,
INDEX($K$272:$K$977,MATCH(C94,$B$272:$B$977,0)),
INDEX($L$272:$L$977,MATCH(C94,$B$272:$B$977,0))
),
0)</f>
        <v/>
      </c>
      <c r="F94" s="1" t="inlineStr">
        <is>
          <t>Empanada Mechada</t>
        </is>
      </c>
      <c r="G94" s="52" t="n">
        <v>4</v>
      </c>
      <c r="H94" s="81" t="inlineStr">
        <is>
          <t>Und</t>
        </is>
      </c>
      <c r="I94" s="79" t="n"/>
      <c r="J94" s="78" t="n"/>
      <c r="K94" s="79" t="n"/>
      <c r="L94" s="80" t="n"/>
      <c r="M94" s="80" t="n"/>
      <c r="N94" s="80" t="n"/>
      <c r="O94" s="20" t="n"/>
      <c r="P94" s="4" t="n"/>
      <c r="Q94" s="4" t="n"/>
    </row>
    <row r="95">
      <c r="B95" s="4" t="n"/>
      <c r="C95" s="96" t="inlineStr">
        <is>
          <t>VECARENT035</t>
        </is>
      </c>
      <c r="D95" s="18" t="inlineStr">
        <is>
          <t>Emp Pulpo Camarón</t>
        </is>
      </c>
      <c r="E95" s="207">
        <f>IFERROR(
IF(
INDEX($K$272:$K$977,MATCH(C95,$B$272:$B$977,0))&lt;&gt;0,
INDEX($K$272:$K$977,MATCH(C95,$B$272:$B$977,0)),
INDEX($L$272:$L$977,MATCH(C95,$B$272:$B$977,0))
),
0)</f>
        <v/>
      </c>
      <c r="F95" s="1" t="inlineStr">
        <is>
          <t>Empanada Pulpo</t>
        </is>
      </c>
      <c r="G95" s="52" t="n">
        <v>4</v>
      </c>
      <c r="H95" s="81" t="inlineStr">
        <is>
          <t>Und</t>
        </is>
      </c>
      <c r="I95" s="79" t="n"/>
      <c r="J95" s="78" t="n"/>
      <c r="K95" s="79" t="n"/>
      <c r="L95" s="80" t="n"/>
      <c r="M95" s="80" t="n"/>
      <c r="N95" s="80" t="n"/>
      <c r="O95" s="20" t="n"/>
      <c r="P95" s="4" t="n"/>
      <c r="Q95" s="4" t="n"/>
    </row>
    <row r="96">
      <c r="B96" s="4" t="n"/>
      <c r="C96" s="96" t="inlineStr">
        <is>
          <t>VECARENS003</t>
        </is>
      </c>
      <c r="D96" s="18" t="inlineStr">
        <is>
          <t>Ens Atún Mango</t>
        </is>
      </c>
      <c r="E96" s="207">
        <f>IFERROR(
IF(
INDEX($K$272:$K$977,MATCH(C96,$B$272:$B$977,0))&lt;&gt;0,
INDEX($K$272:$K$977,MATCH(C96,$B$272:$B$977,0)),
INDEX($L$272:$L$977,MATCH(C96,$B$272:$B$977,0))
),
0)</f>
        <v/>
      </c>
      <c r="F96" s="1" t="inlineStr">
        <is>
          <t>Atún Steak</t>
        </is>
      </c>
      <c r="G96" s="52" t="n">
        <v>0.18</v>
      </c>
      <c r="H96" s="81" t="inlineStr">
        <is>
          <t>Kg</t>
        </is>
      </c>
      <c r="I96" s="79" t="n"/>
      <c r="J96" s="78" t="n"/>
      <c r="K96" s="79" t="n"/>
      <c r="L96" s="80" t="n"/>
      <c r="M96" s="80" t="n"/>
      <c r="N96" s="80" t="n"/>
      <c r="O96" s="20" t="n"/>
      <c r="P96" s="4" t="n"/>
      <c r="Q96" s="4" t="n"/>
    </row>
    <row r="97">
      <c r="B97" s="4" t="n"/>
      <c r="C97" s="96" t="inlineStr">
        <is>
          <t>VECAREJT001</t>
        </is>
      </c>
      <c r="D97" s="18" t="inlineStr">
        <is>
          <t>Ens Atún Mango JT</t>
        </is>
      </c>
      <c r="E97" s="207">
        <f>IFERROR(
IF(
INDEX($K$272:$K$977,MATCH(C97,$B$272:$B$977,0))&lt;&gt;0,
INDEX($K$272:$K$977,MATCH(C97,$B$272:$B$977,0)),
INDEX($L$272:$L$977,MATCH(C97,$B$272:$B$977,0))
),
0)</f>
        <v/>
      </c>
      <c r="F97" s="1" t="inlineStr">
        <is>
          <t>Atún Steak</t>
        </is>
      </c>
      <c r="G97" s="52" t="n">
        <v>0.18</v>
      </c>
      <c r="H97" s="81" t="inlineStr">
        <is>
          <t>Kg</t>
        </is>
      </c>
      <c r="I97" s="79" t="n"/>
      <c r="J97" s="78" t="n"/>
      <c r="K97" s="79" t="n"/>
      <c r="L97" s="80" t="n"/>
      <c r="M97" s="80" t="n"/>
      <c r="N97" s="80" t="n"/>
      <c r="O97" s="20" t="n"/>
      <c r="P97" s="4" t="n"/>
      <c r="Q97" s="4" t="n"/>
    </row>
    <row r="98">
      <c r="B98" s="4" t="n"/>
      <c r="C98" s="96" t="inlineStr">
        <is>
          <t>VECAREUB001</t>
        </is>
      </c>
      <c r="D98" s="18" t="inlineStr">
        <is>
          <t>Ens Atún Mango PY</t>
        </is>
      </c>
      <c r="E98" s="207">
        <f>IFERROR(
IF(
INDEX($K$272:$K$977,MATCH(C98,$B$272:$B$977,0))&lt;&gt;0,
INDEX($K$272:$K$977,MATCH(C98,$B$272:$B$977,0)),
INDEX($L$272:$L$977,MATCH(C98,$B$272:$B$977,0))
),
0)</f>
        <v/>
      </c>
      <c r="F98" s="1" t="inlineStr">
        <is>
          <t>Atún Steak</t>
        </is>
      </c>
      <c r="G98" s="52" t="n">
        <v>0.18</v>
      </c>
      <c r="H98" s="81" t="inlineStr">
        <is>
          <t>Kg</t>
        </is>
      </c>
      <c r="I98" s="79" t="n"/>
      <c r="J98" s="78" t="n"/>
      <c r="K98" s="79" t="n"/>
      <c r="L98" s="80" t="n"/>
      <c r="M98" s="80" t="n"/>
      <c r="N98" s="80" t="n"/>
      <c r="O98" s="20" t="n"/>
      <c r="P98" s="4" t="n"/>
      <c r="Q98" s="4" t="n"/>
    </row>
    <row r="99">
      <c r="B99" s="4" t="n"/>
      <c r="C99" s="96" t="inlineStr">
        <is>
          <t>VECAREJT004</t>
        </is>
      </c>
      <c r="D99" s="18" t="inlineStr">
        <is>
          <t>Ens Caprese JT</t>
        </is>
      </c>
      <c r="E99" s="207">
        <f>IFERROR(
IF(
INDEX($K$272:$K$977,MATCH(C99,$B$272:$B$977,0))&lt;&gt;0,
INDEX($K$272:$K$977,MATCH(C99,$B$272:$B$977,0)),
INDEX($L$272:$L$977,MATCH(C99,$B$272:$B$977,0))
),
0)</f>
        <v/>
      </c>
      <c r="F99" s="1" t="inlineStr">
        <is>
          <t>Queso Mozzarella</t>
        </is>
      </c>
      <c r="G99" s="52" t="n">
        <v>1</v>
      </c>
      <c r="H99" s="81" t="inlineStr">
        <is>
          <t>Und</t>
        </is>
      </c>
      <c r="I99" s="79" t="n"/>
      <c r="J99" s="78" t="n"/>
      <c r="K99" s="79" t="n"/>
      <c r="L99" s="80" t="n"/>
      <c r="M99" s="80" t="n"/>
      <c r="N99" s="80" t="n"/>
      <c r="O99" s="20" t="n"/>
      <c r="P99" s="4" t="n"/>
      <c r="Q99" s="4" t="n"/>
    </row>
    <row r="100" ht="15" customHeight="1" s="95">
      <c r="B100" s="4" t="n"/>
      <c r="C100" s="96" t="inlineStr">
        <is>
          <t>VECARENS002</t>
        </is>
      </c>
      <c r="D100" s="18" t="inlineStr">
        <is>
          <t>Ens Capresse</t>
        </is>
      </c>
      <c r="E100" s="207">
        <f>IFERROR(
IF(
INDEX($K$272:$K$977,MATCH(C100,$B$272:$B$977,0))&lt;&gt;0,
INDEX($K$272:$K$977,MATCH(C100,$B$272:$B$977,0)),
INDEX($L$272:$L$977,MATCH(C100,$B$272:$B$977,0))
),
0)</f>
        <v/>
      </c>
      <c r="F100" s="1" t="inlineStr">
        <is>
          <t>Queso Mozzarella</t>
        </is>
      </c>
      <c r="G100" s="52" t="n">
        <v>1</v>
      </c>
      <c r="H100" s="81" t="inlineStr">
        <is>
          <t>Und</t>
        </is>
      </c>
      <c r="I100" s="79" t="n"/>
      <c r="J100" s="78" t="n"/>
      <c r="K100" s="79" t="n"/>
      <c r="L100" s="80" t="n"/>
      <c r="M100" s="80" t="n"/>
      <c r="N100" s="80" t="n"/>
      <c r="O100" s="20" t="n"/>
      <c r="P100" s="4" t="n"/>
      <c r="Q100" s="4" t="n"/>
    </row>
    <row r="101" ht="15" customHeight="1" s="95">
      <c r="B101" s="4" t="n"/>
      <c r="C101" s="96" t="inlineStr">
        <is>
          <t>VECARENS023</t>
        </is>
      </c>
      <c r="D101" s="18" t="inlineStr">
        <is>
          <t>Ens Pera Queso Azul</t>
        </is>
      </c>
      <c r="E101" s="207">
        <f>IFERROR(
IF(
INDEX($K$272:$K$977,MATCH(C101,$B$272:$B$977,0))&lt;&gt;0,
INDEX($K$272:$K$977,MATCH(C101,$B$272:$B$977,0)),
INDEX($L$272:$L$977,MATCH(C101,$B$272:$B$977,0))
),
0)</f>
        <v/>
      </c>
      <c r="F101" s="1" t="inlineStr">
        <is>
          <t>Jamón serrano</t>
        </is>
      </c>
      <c r="G101" s="52" t="n">
        <v>0.04</v>
      </c>
      <c r="H101" s="81" t="inlineStr">
        <is>
          <t>Kg</t>
        </is>
      </c>
      <c r="I101" s="79" t="n"/>
      <c r="J101" s="78" t="n"/>
      <c r="K101" s="79" t="n"/>
      <c r="L101" s="80" t="n"/>
      <c r="M101" s="80" t="n"/>
      <c r="N101" s="80" t="n"/>
      <c r="O101" s="20" t="n"/>
      <c r="P101" s="4" t="n"/>
      <c r="Q101" s="4" t="n"/>
    </row>
    <row r="102" ht="15" customHeight="1" s="95">
      <c r="B102" s="4" t="n"/>
      <c r="C102" s="96" t="inlineStr">
        <is>
          <t>VECAREJT016</t>
        </is>
      </c>
      <c r="D102" s="18" t="inlineStr">
        <is>
          <t>Ens Pera Oporto JT</t>
        </is>
      </c>
      <c r="E102" s="207">
        <f>IFERROR(
IF(
INDEX($K$272:$K$977,MATCH(C102,$B$272:$B$977,0))&lt;&gt;0,
INDEX($K$272:$K$977,MATCH(C102,$B$272:$B$977,0)),
INDEX($L$272:$L$977,MATCH(C102,$B$272:$B$977,0))
),
0)</f>
        <v/>
      </c>
      <c r="F102" s="1" t="inlineStr">
        <is>
          <t>Jamón serrano</t>
        </is>
      </c>
      <c r="G102" s="52" t="n">
        <v>0.04</v>
      </c>
      <c r="H102" s="81" t="inlineStr">
        <is>
          <t>Kg</t>
        </is>
      </c>
      <c r="I102" s="79" t="n"/>
      <c r="J102" s="78" t="n"/>
      <c r="K102" s="79" t="n"/>
      <c r="L102" s="80" t="n"/>
      <c r="M102" s="80" t="n"/>
      <c r="N102" s="80" t="n"/>
      <c r="O102" s="20" t="n"/>
      <c r="P102" s="4" t="n"/>
      <c r="Q102" s="4" t="n"/>
    </row>
    <row r="103">
      <c r="B103" s="4" t="n"/>
      <c r="C103" s="96" t="inlineStr">
        <is>
          <t>VECAREUB016</t>
        </is>
      </c>
      <c r="D103" s="18" t="inlineStr">
        <is>
          <t>Ens Peras Oporto  PY</t>
        </is>
      </c>
      <c r="E103" s="207">
        <f>IFERROR(
IF(
INDEX($K$272:$K$977,MATCH(C103,$B$272:$B$977,0))&lt;&gt;0,
INDEX($K$272:$K$977,MATCH(C103,$B$272:$B$977,0)),
INDEX($L$272:$L$977,MATCH(C103,$B$272:$B$977,0))
),
0)</f>
        <v/>
      </c>
      <c r="F103" s="18" t="inlineStr">
        <is>
          <t>Jamón serrano</t>
        </is>
      </c>
      <c r="G103" s="52" t="n">
        <v>0.04</v>
      </c>
      <c r="H103" s="81" t="inlineStr">
        <is>
          <t>Kg</t>
        </is>
      </c>
      <c r="I103" s="79" t="n"/>
      <c r="J103" s="78" t="n"/>
      <c r="K103" s="79" t="n"/>
      <c r="L103" s="80" t="n"/>
      <c r="M103" s="80" t="n"/>
      <c r="N103" s="80" t="n"/>
      <c r="O103" s="20" t="n"/>
      <c r="P103" s="4" t="n"/>
      <c r="Q103" s="4" t="n"/>
    </row>
    <row r="104" ht="15" customHeight="1" s="95">
      <c r="B104" s="4" t="n"/>
      <c r="C104" s="96" t="inlineStr">
        <is>
          <t>VECARENS006</t>
        </is>
      </c>
      <c r="D104" s="18" t="inlineStr">
        <is>
          <t>Ens Salmon Q.Cabra</t>
        </is>
      </c>
      <c r="E104" s="207">
        <f>IFERROR(
IF(
INDEX($K$272:$K$977,MATCH(C104,$B$272:$B$977,0))&lt;&gt;0,
INDEX($K$272:$K$977,MATCH(C104,$B$272:$B$977,0)),
INDEX($L$272:$L$977,MATCH(C104,$B$272:$B$977,0))
),
0)</f>
        <v/>
      </c>
      <c r="F104" s="1" t="inlineStr">
        <is>
          <t>Salmón ahumado en Caliente</t>
        </is>
      </c>
      <c r="G104" s="52" t="n">
        <v>0.12</v>
      </c>
      <c r="H104" s="81" t="inlineStr">
        <is>
          <t>Kg</t>
        </is>
      </c>
      <c r="I104" s="79" t="n"/>
      <c r="J104" s="78" t="n"/>
      <c r="K104" s="79" t="n"/>
      <c r="L104" s="80" t="n"/>
      <c r="M104" s="80" t="n"/>
      <c r="N104" s="80" t="n"/>
      <c r="O104" s="20" t="n"/>
      <c r="P104" s="4" t="n"/>
      <c r="Q104" s="4" t="n"/>
    </row>
    <row r="105" ht="15" customHeight="1" s="95">
      <c r="B105" s="4" t="n"/>
      <c r="C105" s="96" t="inlineStr">
        <is>
          <t>VECAREJT003</t>
        </is>
      </c>
      <c r="D105" s="18" t="inlineStr">
        <is>
          <t>Ens Salmon Q.Cabra JT</t>
        </is>
      </c>
      <c r="E105" s="207">
        <f>IFERROR(
IF(
INDEX($K$272:$K$977,MATCH(C105,$B$272:$B$977,0))&lt;&gt;0,
INDEX($K$272:$K$977,MATCH(C105,$B$272:$B$977,0)),
INDEX($L$272:$L$977,MATCH(C105,$B$272:$B$977,0))
),
0)</f>
        <v/>
      </c>
      <c r="F105" s="1" t="inlineStr">
        <is>
          <t>Salmón ahumado en Caliente</t>
        </is>
      </c>
      <c r="G105" s="52" t="n">
        <v>0.12</v>
      </c>
      <c r="H105" s="81" t="inlineStr">
        <is>
          <t>Kg</t>
        </is>
      </c>
      <c r="I105" s="79" t="n"/>
      <c r="J105" s="78" t="n"/>
      <c r="K105" s="79" t="n"/>
      <c r="L105" s="80" t="n"/>
      <c r="M105" s="80" t="n"/>
      <c r="N105" s="80" t="n"/>
      <c r="O105" s="20" t="n"/>
      <c r="P105" s="4" t="n"/>
      <c r="Q105" s="4" t="n"/>
    </row>
    <row r="106" ht="15" customHeight="1" s="95">
      <c r="B106" s="4" t="n"/>
      <c r="C106" s="96" t="inlineStr">
        <is>
          <t>VECAREUB003</t>
        </is>
      </c>
      <c r="D106" s="18" t="inlineStr">
        <is>
          <t>Ens Salmon Q.Cabra PY</t>
        </is>
      </c>
      <c r="E106" s="207">
        <f>IFERROR(
IF(
INDEX($K$272:$K$977,MATCH(C106,$B$272:$B$977,0))&lt;&gt;0,
INDEX($K$272:$K$977,MATCH(C106,$B$272:$B$977,0)),
INDEX($L$272:$L$977,MATCH(C106,$B$272:$B$977,0))
),
0)</f>
        <v/>
      </c>
      <c r="F106" s="1" t="inlineStr">
        <is>
          <t>Salmón ahumado en Caliente</t>
        </is>
      </c>
      <c r="G106" s="52" t="n">
        <v>0.12</v>
      </c>
      <c r="H106" s="81" t="inlineStr">
        <is>
          <t>Kg</t>
        </is>
      </c>
      <c r="I106" s="79" t="n"/>
      <c r="J106" s="78" t="n"/>
      <c r="K106" s="79" t="n"/>
      <c r="L106" s="80" t="n"/>
      <c r="M106" s="80" t="n"/>
      <c r="N106" s="80" t="n"/>
      <c r="O106" s="20" t="n"/>
      <c r="P106" s="4" t="n"/>
      <c r="Q106" s="4" t="n"/>
    </row>
    <row r="107" ht="15" customHeight="1" s="95">
      <c r="B107" s="4" t="n"/>
      <c r="C107" s="96" t="inlineStr">
        <is>
          <t>VECARENS009</t>
        </is>
      </c>
      <c r="D107" s="18" t="inlineStr">
        <is>
          <t>Ens Verduras Asadas</t>
        </is>
      </c>
      <c r="E107" s="207">
        <f>IFERROR(
IF(
INDEX($K$272:$K$977,MATCH(C107,$B$272:$B$977,0))&lt;&gt;0,
INDEX($K$272:$K$977,MATCH(C107,$B$272:$B$977,0)),
INDEX($L$272:$L$977,MATCH(C107,$B$272:$B$977,0))
),
0)</f>
        <v/>
      </c>
      <c r="F107" s="1" t="inlineStr">
        <is>
          <t>Granola Salada</t>
        </is>
      </c>
      <c r="G107" s="52" t="n">
        <v>0.025</v>
      </c>
      <c r="H107" s="81" t="inlineStr">
        <is>
          <t>Kg</t>
        </is>
      </c>
      <c r="I107" s="79" t="n"/>
      <c r="J107" s="78" t="n"/>
      <c r="K107" s="79" t="n"/>
      <c r="L107" s="80" t="n"/>
      <c r="M107" s="80" t="n"/>
      <c r="N107" s="80" t="n"/>
      <c r="O107" s="20" t="n"/>
      <c r="P107" s="4" t="n"/>
      <c r="Q107" s="4" t="n"/>
    </row>
    <row r="108" ht="15" customHeight="1" s="95">
      <c r="B108" s="4" t="n"/>
      <c r="C108" s="96" t="inlineStr">
        <is>
          <t>VECAREJT015</t>
        </is>
      </c>
      <c r="D108" s="18" t="inlineStr">
        <is>
          <t>Ens Verduras Asadas JT</t>
        </is>
      </c>
      <c r="E108" s="207">
        <f>IFERROR(
IF(
INDEX($K$272:$K$977,MATCH(C108,$B$272:$B$977,0))&lt;&gt;0,
INDEX($K$272:$K$977,MATCH(C108,$B$272:$B$977,0)),
INDEX($L$272:$L$977,MATCH(C108,$B$272:$B$977,0))
),
0)</f>
        <v/>
      </c>
      <c r="F108" s="1" t="inlineStr">
        <is>
          <t>Granola Salada</t>
        </is>
      </c>
      <c r="G108" s="52" t="n">
        <v>0.025</v>
      </c>
      <c r="H108" s="81" t="inlineStr">
        <is>
          <t>Kg</t>
        </is>
      </c>
      <c r="I108" s="79" t="n"/>
      <c r="J108" s="78" t="n"/>
      <c r="K108" s="79" t="n"/>
      <c r="L108" s="80" t="n"/>
      <c r="M108" s="80" t="n"/>
      <c r="N108" s="80" t="n"/>
      <c r="O108" s="20" t="n"/>
      <c r="P108" s="4" t="n"/>
      <c r="Q108" s="4" t="n"/>
    </row>
    <row r="109" ht="15" customHeight="1" s="95">
      <c r="B109" s="4" t="n"/>
      <c r="C109" s="96" t="inlineStr">
        <is>
          <t>VECAREUB015</t>
        </is>
      </c>
      <c r="D109" s="18" t="inlineStr">
        <is>
          <t>Ens Verdura Asada PY</t>
        </is>
      </c>
      <c r="E109" s="207">
        <f>IFERROR(
IF(
INDEX($K$272:$K$977,MATCH(C109,$B$272:$B$977,0))&lt;&gt;0,
INDEX($K$272:$K$977,MATCH(C109,$B$272:$B$977,0)),
INDEX($L$272:$L$977,MATCH(C109,$B$272:$B$977,0))
),
0)</f>
        <v/>
      </c>
      <c r="F109" s="1" t="inlineStr">
        <is>
          <t>Granola Salada</t>
        </is>
      </c>
      <c r="G109" s="52" t="n">
        <v>0.025</v>
      </c>
      <c r="H109" s="81" t="inlineStr">
        <is>
          <t>Kg</t>
        </is>
      </c>
      <c r="I109" s="79" t="n"/>
      <c r="J109" s="78" t="n"/>
      <c r="K109" s="79" t="n"/>
      <c r="L109" s="80" t="n"/>
      <c r="M109" s="80" t="n"/>
      <c r="N109" s="80" t="n"/>
      <c r="O109" s="20" t="n"/>
      <c r="P109" s="4" t="n"/>
      <c r="Q109" s="4" t="n"/>
    </row>
    <row r="110" ht="15" customHeight="1" s="95">
      <c r="B110" s="4" t="n"/>
      <c r="C110" s="96" t="inlineStr">
        <is>
          <t>VECAREUB004</t>
        </is>
      </c>
      <c r="D110" s="18" t="inlineStr">
        <is>
          <t>Ens.Caprese PY</t>
        </is>
      </c>
      <c r="E110" s="207">
        <f>IFERROR(
IF(
INDEX($K$272:$K$977,MATCH(C110,$B$272:$B$977,0))&lt;&gt;0,
INDEX($K$272:$K$977,MATCH(C110,$B$272:$B$977,0)),
INDEX($L$272:$L$977,MATCH(C110,$B$272:$B$977,0))
),
0)</f>
        <v/>
      </c>
      <c r="F110" s="1" t="inlineStr">
        <is>
          <t>Queso Mozzarella</t>
        </is>
      </c>
      <c r="G110" s="52" t="n">
        <v>1</v>
      </c>
      <c r="H110" s="81" t="inlineStr">
        <is>
          <t>Und</t>
        </is>
      </c>
      <c r="I110" s="79" t="n"/>
      <c r="J110" s="78" t="n"/>
      <c r="K110" s="79" t="n"/>
      <c r="L110" s="80" t="n"/>
      <c r="M110" s="80" t="n"/>
      <c r="N110" s="80" t="n"/>
      <c r="O110" s="20" t="n"/>
      <c r="P110" s="4" t="n"/>
      <c r="Q110" s="4" t="n"/>
    </row>
    <row r="111" ht="15" customHeight="1" s="95">
      <c r="B111" s="4" t="n"/>
      <c r="C111" s="96" t="inlineStr">
        <is>
          <t>VECARFUB024</t>
        </is>
      </c>
      <c r="D111" s="18" t="inlineStr">
        <is>
          <t>Fettuccini Salsa Jamón Py</t>
        </is>
      </c>
      <c r="E111" s="207">
        <f>IFERROR(
IF(
INDEX($K$272:$K$977,MATCH(C111,$B$272:$B$977,0))&lt;&gt;0,
INDEX($K$272:$K$977,MATCH(C111,$B$272:$B$977,0)),
INDEX($L$272:$L$977,MATCH(C111,$B$272:$B$977,0))
),
0)</f>
        <v/>
      </c>
      <c r="F111" s="1" t="inlineStr">
        <is>
          <t>Jamón de Pavo</t>
        </is>
      </c>
      <c r="G111" s="52" t="n">
        <v>0.07000000000000001</v>
      </c>
      <c r="H111" s="81" t="inlineStr">
        <is>
          <t>Kg</t>
        </is>
      </c>
      <c r="I111" s="79" t="n"/>
      <c r="J111" s="78" t="n"/>
      <c r="K111" s="79" t="n"/>
      <c r="L111" s="80" t="n"/>
      <c r="M111" s="80" t="n"/>
      <c r="N111" s="80" t="n"/>
      <c r="O111" s="20" t="n"/>
      <c r="P111" s="4" t="n"/>
      <c r="Q111" s="4" t="n"/>
    </row>
    <row r="112" ht="15" customHeight="1" s="95">
      <c r="B112" s="4" t="n"/>
      <c r="C112" s="96" t="inlineStr">
        <is>
          <t>VECARNIN002</t>
        </is>
      </c>
      <c r="D112" s="18" t="inlineStr">
        <is>
          <t>Fetuccini Salsa Jamón</t>
        </is>
      </c>
      <c r="E112" s="207">
        <f>IFERROR(
IF(
INDEX($K$272:$K$977,MATCH(C112,$B$272:$B$977,0))&lt;&gt;0,
INDEX($K$272:$K$977,MATCH(C112,$B$272:$B$977,0)),
INDEX($L$272:$L$977,MATCH(C112,$B$272:$B$977,0))
),
0)</f>
        <v/>
      </c>
      <c r="F112" s="1" t="inlineStr">
        <is>
          <t>Jamón de Pavo</t>
        </is>
      </c>
      <c r="G112" s="52" t="n">
        <v>0.07000000000000001</v>
      </c>
      <c r="H112" s="81" t="inlineStr">
        <is>
          <t>Kg</t>
        </is>
      </c>
      <c r="I112" s="79" t="n"/>
      <c r="J112" s="78" t="n"/>
      <c r="K112" s="79" t="n"/>
      <c r="L112" s="80" t="n"/>
      <c r="M112" s="80" t="n"/>
      <c r="N112" s="80" t="n"/>
      <c r="O112" s="20" t="n"/>
      <c r="P112" s="4" t="n"/>
      <c r="Q112" s="4" t="n"/>
    </row>
    <row r="113" ht="15" customHeight="1" s="95">
      <c r="B113" s="4" t="n"/>
      <c r="C113" s="96" t="inlineStr">
        <is>
          <t>VECARFUB028</t>
        </is>
      </c>
      <c r="D113" s="18" t="inlineStr">
        <is>
          <t>Filete Saltado con Arroz y Papas PY</t>
        </is>
      </c>
      <c r="E113" s="207">
        <f>IFERROR(
IF(
INDEX($K$272:$K$977,MATCH(C113,$B$272:$B$977,0))&lt;&gt;0,
INDEX($K$272:$K$977,MATCH(C113,$B$272:$B$977,0)),
INDEX($L$272:$L$977,MATCH(C113,$B$272:$B$977,0))
),
0)</f>
        <v/>
      </c>
      <c r="F113" s="1" t="inlineStr">
        <is>
          <t>Filete Salteado</t>
        </is>
      </c>
      <c r="G113" s="52" t="n">
        <v>0.16</v>
      </c>
      <c r="H113" s="81" t="inlineStr">
        <is>
          <t>Kg</t>
        </is>
      </c>
      <c r="I113" s="79" t="n"/>
      <c r="J113" s="78" t="n"/>
      <c r="K113" s="79" t="n"/>
      <c r="L113" s="80" t="n"/>
      <c r="M113" s="80" t="n"/>
      <c r="N113" s="80" t="n"/>
      <c r="O113" s="20" t="n"/>
      <c r="P113" s="4" t="n"/>
      <c r="Q113" s="4" t="n"/>
    </row>
    <row r="114" ht="15" customHeight="1" s="95">
      <c r="B114" s="4" t="n"/>
      <c r="C114" s="96" t="inlineStr">
        <is>
          <t>VECARFON010</t>
        </is>
      </c>
      <c r="D114" s="18" t="inlineStr">
        <is>
          <t>Filete Salteado Fritas</t>
        </is>
      </c>
      <c r="E114" s="207">
        <f>IFERROR(
IF(
INDEX($K$272:$K$977,MATCH(C114,$B$272:$B$977,0))&lt;&gt;0,
INDEX($K$272:$K$977,MATCH(C114,$B$272:$B$977,0)),
INDEX($L$272:$L$977,MATCH(C114,$B$272:$B$977,0))
),
0)</f>
        <v/>
      </c>
      <c r="F114" s="1" t="inlineStr">
        <is>
          <t>Filete Salteado</t>
        </is>
      </c>
      <c r="G114" s="52" t="n">
        <v>0.16</v>
      </c>
      <c r="H114" s="81" t="inlineStr">
        <is>
          <t>Kg</t>
        </is>
      </c>
      <c r="I114" s="79" t="n"/>
      <c r="J114" s="78" t="n"/>
      <c r="K114" s="79" t="n"/>
      <c r="L114" s="80" t="n"/>
      <c r="M114" s="80" t="n"/>
      <c r="N114" s="80" t="n"/>
      <c r="O114" s="20" t="n"/>
      <c r="P114" s="4" t="n"/>
      <c r="Q114" s="4" t="n"/>
    </row>
    <row r="115" ht="15" customHeight="1" s="95">
      <c r="B115" s="4" t="n"/>
      <c r="C115" s="96" t="inlineStr">
        <is>
          <t>VECARPUB002</t>
        </is>
      </c>
      <c r="D115" s="18" t="inlineStr">
        <is>
          <t>Flan Caluga  PY</t>
        </is>
      </c>
      <c r="E115" s="207">
        <f>IFERROR(
IF(
INDEX($K$272:$K$977,MATCH(C115,$B$272:$B$977,0))&lt;&gt;0,
INDEX($K$272:$K$977,MATCH(C115,$B$272:$B$977,0)),
INDEX($L$272:$L$977,MATCH(C115,$B$272:$B$977,0))
),
0)</f>
        <v/>
      </c>
      <c r="F115" s="1" t="inlineStr">
        <is>
          <t>Flan de Caluga</t>
        </is>
      </c>
      <c r="G115" s="52" t="n">
        <v>1</v>
      </c>
      <c r="H115" s="81" t="inlineStr">
        <is>
          <t>Kg</t>
        </is>
      </c>
      <c r="I115" s="79" t="n"/>
      <c r="J115" s="78" t="n"/>
      <c r="K115" s="79" t="n"/>
      <c r="L115" s="80" t="n"/>
      <c r="M115" s="80" t="n"/>
      <c r="N115" s="80" t="n"/>
      <c r="O115" s="20" t="n"/>
      <c r="P115" s="4" t="n"/>
      <c r="Q115" s="4" t="n"/>
    </row>
    <row r="116" ht="15" customHeight="1" s="95">
      <c r="B116" s="4" t="n"/>
      <c r="C116" s="96" t="inlineStr">
        <is>
          <t>VECARPJT002</t>
        </is>
      </c>
      <c r="D116" s="18" t="inlineStr">
        <is>
          <t>Flan Caluga JT</t>
        </is>
      </c>
      <c r="E116" s="207">
        <f>IFERROR(
IF(
INDEX($K$272:$K$977,MATCH(C116,$B$272:$B$977,0))&lt;&gt;0,
INDEX($K$272:$K$977,MATCH(C116,$B$272:$B$977,0)),
INDEX($L$272:$L$977,MATCH(C116,$B$272:$B$977,0))
),
0)</f>
        <v/>
      </c>
      <c r="F116" s="1" t="inlineStr">
        <is>
          <t>Flan de Caluga</t>
        </is>
      </c>
      <c r="G116" s="52" t="n">
        <v>1</v>
      </c>
      <c r="H116" s="81" t="inlineStr">
        <is>
          <t>Kg</t>
        </is>
      </c>
      <c r="I116" s="79" t="n"/>
      <c r="J116" s="78" t="n"/>
      <c r="K116" s="79" t="n"/>
      <c r="L116" s="80" t="n"/>
      <c r="M116" s="80" t="n"/>
      <c r="N116" s="80" t="n"/>
      <c r="O116" s="20" t="n"/>
      <c r="P116" s="4" t="n"/>
      <c r="Q116" s="4" t="n"/>
    </row>
    <row r="117" ht="15" customHeight="1" s="95">
      <c r="B117" s="4" t="n"/>
      <c r="C117" s="96" t="inlineStr">
        <is>
          <t>VECARPOS007</t>
        </is>
      </c>
      <c r="D117" s="18" t="inlineStr">
        <is>
          <t>Flan de Caluga</t>
        </is>
      </c>
      <c r="E117" s="207">
        <f>IFERROR(
IF(
INDEX($K$272:$K$977,MATCH(C117,$B$272:$B$977,0))&lt;&gt;0,
INDEX($K$272:$K$977,MATCH(C117,$B$272:$B$977,0)),
INDEX($L$272:$L$977,MATCH(C117,$B$272:$B$977,0))
),
0)</f>
        <v/>
      </c>
      <c r="F117" s="1" t="inlineStr">
        <is>
          <t>Flan de Caluga</t>
        </is>
      </c>
      <c r="G117" s="52" t="n">
        <v>1</v>
      </c>
      <c r="H117" s="81" t="inlineStr">
        <is>
          <t>Kg</t>
        </is>
      </c>
      <c r="I117" s="79" t="n"/>
      <c r="J117" s="78" t="n"/>
      <c r="K117" s="79" t="n"/>
      <c r="L117" s="80" t="n"/>
      <c r="M117" s="80" t="n"/>
      <c r="N117" s="80" t="n"/>
      <c r="O117" s="20" t="n"/>
      <c r="P117" s="4" t="n"/>
      <c r="Q117" s="4" t="n"/>
    </row>
    <row r="118" ht="15" customHeight="1" s="95">
      <c r="B118" s="4" t="n"/>
      <c r="C118" s="96" t="inlineStr">
        <is>
          <t>VECARNIN004</t>
        </is>
      </c>
      <c r="D118" s="18" t="inlineStr">
        <is>
          <t>Hamburguesa Niños</t>
        </is>
      </c>
      <c r="E118" s="207">
        <f>IFERROR(
IF(
INDEX($K$272:$K$977,MATCH(C118,$B$272:$B$977,0))&lt;&gt;0,
INDEX($K$272:$K$977,MATCH(C118,$B$272:$B$977,0)),
INDEX($L$272:$L$977,MATCH(C118,$B$272:$B$977,0))
),
0)</f>
        <v/>
      </c>
      <c r="F118" s="1" t="inlineStr">
        <is>
          <t>Hamburguesas</t>
        </is>
      </c>
      <c r="G118" s="52" t="n">
        <v>0.2</v>
      </c>
      <c r="H118" s="81" t="inlineStr">
        <is>
          <t>Kg</t>
        </is>
      </c>
      <c r="I118" s="79" t="n"/>
      <c r="J118" s="78" t="n"/>
      <c r="K118" s="79" t="n"/>
      <c r="L118" s="80" t="n"/>
      <c r="M118" s="80" t="n"/>
      <c r="N118" s="80" t="n"/>
      <c r="O118" s="20" t="n"/>
      <c r="P118" s="4" t="n"/>
      <c r="Q118" s="4" t="n"/>
    </row>
    <row r="119" ht="15" customHeight="1" s="95">
      <c r="B119" s="4" t="n"/>
      <c r="C119" s="96" t="inlineStr">
        <is>
          <t>VECARFON088</t>
        </is>
      </c>
      <c r="D119" s="18" t="inlineStr">
        <is>
          <t>Hojaldre de Carne Desmechada</t>
        </is>
      </c>
      <c r="E119" s="207">
        <f>IFERROR(
IF(
INDEX($K$272:$K$977,MATCH(C119,$B$272:$B$977,0))&lt;&gt;0,
INDEX($K$272:$K$977,MATCH(C119,$B$272:$B$977,0)),
INDEX($L$272:$L$977,MATCH(C119,$B$272:$B$977,0))
),
0)</f>
        <v/>
      </c>
      <c r="F119" s="1" t="inlineStr">
        <is>
          <t>Ganso</t>
        </is>
      </c>
      <c r="G119" s="52" t="n">
        <v>0.12</v>
      </c>
      <c r="H119" s="81" t="inlineStr">
        <is>
          <t>Kg</t>
        </is>
      </c>
      <c r="I119" s="79" t="n"/>
      <c r="J119" s="78" t="n"/>
      <c r="K119" s="79" t="n"/>
      <c r="L119" s="80" t="n"/>
      <c r="M119" s="80" t="n"/>
      <c r="N119" s="80" t="n"/>
      <c r="O119" s="20" t="n"/>
      <c r="P119" s="4" t="n"/>
      <c r="Q119" s="4" t="n"/>
    </row>
    <row r="120" ht="15" customHeight="1" s="95">
      <c r="B120" s="4" t="n"/>
      <c r="C120" s="96" t="inlineStr">
        <is>
          <t>VECARFON048</t>
        </is>
      </c>
      <c r="D120" s="18" t="inlineStr">
        <is>
          <t>Lasagna Ragout</t>
        </is>
      </c>
      <c r="E120" s="207">
        <f>IFERROR(
IF(
INDEX($K$272:$K$977,MATCH(C120,$B$272:$B$977,0))&lt;&gt;0,
INDEX($K$272:$K$977,MATCH(C120,$B$272:$B$977,0)),
INDEX($L$272:$L$977,MATCH(C120,$B$272:$B$977,0))
),
0)</f>
        <v/>
      </c>
      <c r="F120" s="1" t="inlineStr">
        <is>
          <t>Lasagna de Berenjenas</t>
        </is>
      </c>
      <c r="G120" s="52" t="n">
        <v>1</v>
      </c>
      <c r="H120" s="81" t="inlineStr">
        <is>
          <t>Porción</t>
        </is>
      </c>
      <c r="I120" s="79" t="n"/>
      <c r="J120" s="78" t="n"/>
      <c r="K120" s="79" t="n"/>
      <c r="L120" s="80" t="n"/>
      <c r="M120" s="80" t="n"/>
      <c r="N120" s="80" t="n"/>
      <c r="O120" s="20" t="n"/>
      <c r="P120" s="4" t="n"/>
      <c r="Q120" s="4" t="n"/>
    </row>
    <row r="121" ht="15" customHeight="1" s="95">
      <c r="B121" s="4" t="n"/>
      <c r="C121" s="96" t="inlineStr">
        <is>
          <t>VECARFON066</t>
        </is>
      </c>
      <c r="D121" s="18" t="inlineStr">
        <is>
          <t>Lomo Liso con Risotto Funghi</t>
        </is>
      </c>
      <c r="E121" s="207">
        <f>IFERROR(
IF(
INDEX($K$272:$K$977,MATCH(C121,$B$272:$B$977,0))&lt;&gt;0,
INDEX($K$272:$K$977,MATCH(C121,$B$272:$B$977,0)),
INDEX($L$272:$L$977,MATCH(C121,$B$272:$B$977,0))
),
0)</f>
        <v/>
      </c>
      <c r="F121" s="1" t="inlineStr">
        <is>
          <t>Lomo liso</t>
        </is>
      </c>
      <c r="G121" s="52" t="n">
        <v>0.18</v>
      </c>
      <c r="H121" s="81" t="inlineStr">
        <is>
          <t>Kg</t>
        </is>
      </c>
      <c r="I121" s="79" t="n"/>
      <c r="J121" s="78" t="n"/>
      <c r="K121" s="79" t="n"/>
      <c r="L121" s="80" t="n"/>
      <c r="M121" s="80" t="n"/>
      <c r="N121" s="80" t="n"/>
      <c r="O121" s="20" t="n"/>
      <c r="P121" s="4" t="n"/>
      <c r="Q121" s="4" t="n"/>
    </row>
    <row r="122" ht="15" customHeight="1" s="95">
      <c r="B122" s="4" t="n"/>
      <c r="C122" s="96" t="inlineStr">
        <is>
          <t>VECARFUB035</t>
        </is>
      </c>
      <c r="D122" s="18" t="inlineStr">
        <is>
          <t>Lomo Liso con Risotto Funghi PY</t>
        </is>
      </c>
      <c r="E122" s="207">
        <f>IFERROR(
IF(
INDEX($K$272:$K$977,MATCH(C122,$B$272:$B$977,0))&lt;&gt;0,
INDEX($K$272:$K$977,MATCH(C122,$B$272:$B$977,0)),
INDEX($L$272:$L$977,MATCH(C122,$B$272:$B$977,0))
),
0)</f>
        <v/>
      </c>
      <c r="F122" s="1" t="inlineStr">
        <is>
          <t>Lomo liso</t>
        </is>
      </c>
      <c r="G122" s="52" t="n">
        <v>0.18</v>
      </c>
      <c r="H122" s="81" t="inlineStr">
        <is>
          <t>Kg</t>
        </is>
      </c>
      <c r="I122" s="79" t="n"/>
      <c r="J122" s="78" t="n"/>
      <c r="K122" s="79" t="n"/>
      <c r="L122" s="80" t="n"/>
      <c r="M122" s="80" t="n"/>
      <c r="N122" s="80" t="n"/>
      <c r="O122" s="20" t="n"/>
      <c r="P122" s="4" t="n"/>
      <c r="Q122" s="4" t="n"/>
    </row>
    <row r="123" ht="15" customHeight="1" s="95">
      <c r="B123" s="4" t="n"/>
      <c r="C123" s="96" t="inlineStr">
        <is>
          <t>VECARFON012</t>
        </is>
      </c>
      <c r="D123" s="18" t="inlineStr">
        <is>
          <t>Merluza Austral</t>
        </is>
      </c>
      <c r="E123" s="207">
        <f>IFERROR(
IF(
INDEX($K$272:$K$977,MATCH(C123,$B$272:$B$977,0))&lt;&gt;0,
INDEX($K$272:$K$977,MATCH(C123,$B$272:$B$977,0)),
INDEX($L$272:$L$977,MATCH(C123,$B$272:$B$977,0))
),
0)</f>
        <v/>
      </c>
      <c r="F123" s="1" t="inlineStr">
        <is>
          <t>Merluza</t>
        </is>
      </c>
      <c r="G123" s="52" t="n">
        <v>0.18</v>
      </c>
      <c r="H123" s="81" t="inlineStr">
        <is>
          <t>Kg</t>
        </is>
      </c>
      <c r="I123" s="79" t="n"/>
      <c r="J123" s="78" t="n"/>
      <c r="K123" s="79" t="n"/>
      <c r="L123" s="80" t="n"/>
      <c r="M123" s="80" t="n"/>
      <c r="N123" s="80" t="n"/>
      <c r="O123" s="20" t="n"/>
      <c r="P123" s="4" t="n"/>
      <c r="Q123" s="4" t="n"/>
    </row>
    <row r="124" ht="15" customHeight="1" s="95">
      <c r="B124" s="4" t="n"/>
      <c r="C124" s="96" t="inlineStr">
        <is>
          <t>VECARFJT027</t>
        </is>
      </c>
      <c r="D124" s="18" t="inlineStr">
        <is>
          <t>Merluza Austral JT</t>
        </is>
      </c>
      <c r="E124" s="207">
        <f>IFERROR(
IF(
INDEX($K$272:$K$977,MATCH(C124,$B$272:$B$977,0))&lt;&gt;0,
INDEX($K$272:$K$977,MATCH(C124,$B$272:$B$977,0)),
INDEX($L$272:$L$977,MATCH(C124,$B$272:$B$977,0))
),
0)</f>
        <v/>
      </c>
      <c r="F124" s="1" t="inlineStr">
        <is>
          <t>Merluza</t>
        </is>
      </c>
      <c r="G124" s="52" t="n">
        <v>0.18</v>
      </c>
      <c r="H124" s="81" t="inlineStr">
        <is>
          <t>Kg</t>
        </is>
      </c>
      <c r="I124" s="79" t="n"/>
      <c r="J124" s="78" t="n"/>
      <c r="K124" s="79" t="n"/>
      <c r="L124" s="80" t="n"/>
      <c r="M124" s="80" t="n"/>
      <c r="N124" s="80" t="n"/>
      <c r="O124" s="20" t="n"/>
      <c r="P124" s="4" t="n"/>
      <c r="Q124" s="4" t="n"/>
    </row>
    <row r="125" ht="15" customHeight="1" s="95">
      <c r="B125" s="4" t="n"/>
      <c r="C125" s="96" t="inlineStr">
        <is>
          <t>VECARFUB027</t>
        </is>
      </c>
      <c r="D125" s="18" t="inlineStr">
        <is>
          <t>Merluza Austral PY</t>
        </is>
      </c>
      <c r="E125" s="207">
        <f>IFERROR(
IF(
INDEX($K$272:$K$977,MATCH(C125,$B$272:$B$977,0))&lt;&gt;0,
INDEX($K$272:$K$977,MATCH(C125,$B$272:$B$977,0)),
INDEX($L$272:$L$977,MATCH(C125,$B$272:$B$977,0))
),
0)</f>
        <v/>
      </c>
      <c r="F125" s="1" t="inlineStr">
        <is>
          <t>Merluza</t>
        </is>
      </c>
      <c r="G125" s="52" t="n">
        <v>0.18</v>
      </c>
      <c r="H125" s="81" t="inlineStr">
        <is>
          <t>Kg</t>
        </is>
      </c>
      <c r="I125" s="79" t="n"/>
      <c r="J125" s="78" t="n"/>
      <c r="K125" s="79" t="n"/>
      <c r="L125" s="80" t="n"/>
      <c r="M125" s="80" t="n"/>
      <c r="N125" s="80" t="n"/>
      <c r="O125" s="20" t="n"/>
      <c r="P125" s="4" t="n"/>
      <c r="Q125" s="4" t="n"/>
    </row>
    <row r="126" ht="15" customHeight="1" s="95">
      <c r="B126" s="4" t="n"/>
      <c r="C126" s="96" t="inlineStr">
        <is>
          <t>VECARENT042</t>
        </is>
      </c>
      <c r="D126" s="18" t="inlineStr">
        <is>
          <t>Ostiones con Cebolla</t>
        </is>
      </c>
      <c r="E126" s="207">
        <f>IFERROR(
IF(
INDEX($K$272:$K$977,MATCH(C126,$B$272:$B$977,0))&lt;&gt;0,
INDEX($K$272:$K$977,MATCH(C126,$B$272:$B$977,0)),
INDEX($L$272:$L$977,MATCH(C126,$B$272:$B$977,0))
),
0)</f>
        <v/>
      </c>
      <c r="F126" s="1" t="inlineStr">
        <is>
          <t>Ostiones</t>
        </is>
      </c>
      <c r="G126" s="52" t="n">
        <v>1</v>
      </c>
      <c r="H126" s="81" t="inlineStr">
        <is>
          <t>Kg</t>
        </is>
      </c>
      <c r="I126" s="79" t="n"/>
      <c r="J126" s="78" t="n"/>
      <c r="K126" s="79" t="n"/>
      <c r="L126" s="80" t="n"/>
      <c r="M126" s="80" t="n"/>
      <c r="N126" s="80" t="n"/>
      <c r="O126" s="20" t="n"/>
      <c r="P126" s="4" t="n"/>
      <c r="Q126" s="4" t="n"/>
    </row>
    <row r="127" ht="15" customHeight="1" s="95">
      <c r="B127" s="4" t="n"/>
      <c r="C127" s="96" t="inlineStr">
        <is>
          <t>VECARFON068</t>
        </is>
      </c>
      <c r="D127" s="18" t="inlineStr">
        <is>
          <t>Paila de Carne Mechada</t>
        </is>
      </c>
      <c r="E127" s="207">
        <f>IFERROR(
IF(
INDEX($K$272:$K$977,MATCH(C127,$B$272:$B$977,0))&lt;&gt;0,
INDEX($K$272:$K$977,MATCH(C127,$B$272:$B$977,0)),
INDEX($L$272:$L$977,MATCH(C127,$B$272:$B$977,0))
),
0)</f>
        <v/>
      </c>
      <c r="F127" s="18" t="inlineStr">
        <is>
          <t>Ganso</t>
        </is>
      </c>
      <c r="G127" s="52" t="n">
        <v>0.12</v>
      </c>
      <c r="H127" s="81" t="inlineStr">
        <is>
          <t>Kg</t>
        </is>
      </c>
      <c r="I127" s="79" t="n"/>
      <c r="J127" s="78" t="n"/>
      <c r="K127" s="79" t="n"/>
      <c r="L127" s="80" t="n"/>
      <c r="M127" s="80" t="n"/>
      <c r="N127" s="80" t="n"/>
      <c r="O127" s="20" t="n"/>
      <c r="P127" s="4" t="n"/>
      <c r="Q127" s="4" t="n"/>
    </row>
    <row r="128" ht="15" customHeight="1" s="95">
      <c r="B128" s="4" t="n"/>
      <c r="C128" s="96" t="inlineStr">
        <is>
          <t>VECARFUB011</t>
        </is>
      </c>
      <c r="D128" s="18" t="inlineStr">
        <is>
          <t>Plateada Pastel PY</t>
        </is>
      </c>
      <c r="E128" s="207">
        <f>IFERROR(
IF(
INDEX($K$272:$K$977,MATCH(C128,$B$272:$B$977,0))&lt;&gt;0,
INDEX($K$272:$K$977,MATCH(C128,$B$272:$B$977,0)),
INDEX($L$272:$L$977,MATCH(C128,$B$272:$B$977,0))
),
0)</f>
        <v/>
      </c>
      <c r="F128" s="1" t="inlineStr">
        <is>
          <t>Plateada</t>
        </is>
      </c>
      <c r="G128" s="52" t="n">
        <v>0.18</v>
      </c>
      <c r="H128" s="81" t="inlineStr">
        <is>
          <t>Kg</t>
        </is>
      </c>
      <c r="I128" s="79" t="n"/>
      <c r="J128" s="78" t="n"/>
      <c r="K128" s="79" t="n"/>
      <c r="L128" s="80" t="n"/>
      <c r="M128" s="80" t="n"/>
      <c r="N128" s="80" t="n"/>
      <c r="O128" s="20" t="n"/>
      <c r="P128" s="4" t="n"/>
      <c r="Q128" s="4" t="n"/>
    </row>
    <row r="129" ht="15" customHeight="1" s="95">
      <c r="B129" s="4" t="n"/>
      <c r="C129" s="96" t="inlineStr">
        <is>
          <t>VECARFJT011</t>
        </is>
      </c>
      <c r="D129" s="18" t="inlineStr">
        <is>
          <t>Plateada Pastele JT</t>
        </is>
      </c>
      <c r="E129" s="207">
        <f>IFERROR(
IF(
INDEX($K$272:$K$977,MATCH(C129,$B$272:$B$977,0))&lt;&gt;0,
INDEX($K$272:$K$977,MATCH(C129,$B$272:$B$977,0)),
INDEX($L$272:$L$977,MATCH(C129,$B$272:$B$977,0))
),
0)</f>
        <v/>
      </c>
      <c r="F129" s="1" t="inlineStr">
        <is>
          <t>Plateada</t>
        </is>
      </c>
      <c r="G129" s="52" t="n">
        <v>0.18</v>
      </c>
      <c r="H129" s="81" t="inlineStr">
        <is>
          <t>Kg</t>
        </is>
      </c>
      <c r="I129" s="79" t="n"/>
      <c r="J129" s="78" t="n"/>
      <c r="K129" s="79" t="n"/>
      <c r="L129" s="80" t="n"/>
      <c r="M129" s="80" t="n"/>
      <c r="N129" s="80" t="n"/>
      <c r="O129" s="20" t="n"/>
      <c r="P129" s="4" t="n"/>
      <c r="Q129" s="4" t="n"/>
    </row>
    <row r="130" ht="15" customHeight="1" s="95">
      <c r="B130" s="4" t="n"/>
      <c r="C130" s="96" t="inlineStr">
        <is>
          <t>VECARFON017</t>
        </is>
      </c>
      <c r="D130" s="18" t="inlineStr">
        <is>
          <t>Plateada Pastelera</t>
        </is>
      </c>
      <c r="E130" s="207">
        <f>IFERROR(
IF(
INDEX($K$272:$K$977,MATCH(C130,$B$272:$B$977,0))&lt;&gt;0,
INDEX($K$272:$K$977,MATCH(C130,$B$272:$B$977,0)),
INDEX($L$272:$L$977,MATCH(C130,$B$272:$B$977,0))
),
0)</f>
        <v/>
      </c>
      <c r="F130" s="1" t="inlineStr">
        <is>
          <t>Plateada</t>
        </is>
      </c>
      <c r="G130" s="52" t="n">
        <v>0.18</v>
      </c>
      <c r="H130" s="81" t="inlineStr">
        <is>
          <t>Kg</t>
        </is>
      </c>
      <c r="I130" s="79" t="n"/>
      <c r="J130" s="78" t="n"/>
      <c r="K130" s="79" t="n"/>
      <c r="L130" s="80" t="n"/>
      <c r="M130" s="80" t="n"/>
      <c r="N130" s="80" t="n"/>
      <c r="O130" s="20" t="n"/>
      <c r="P130" s="4" t="n"/>
      <c r="Q130" s="4" t="n"/>
    </row>
    <row r="131" ht="15" customHeight="1" s="95">
      <c r="B131" s="4" t="n"/>
      <c r="C131" s="96" t="inlineStr">
        <is>
          <t>VECARPRU089</t>
        </is>
      </c>
      <c r="D131" s="18" t="inlineStr">
        <is>
          <t>Promo Ens. Jamón Serrano + Beb. PY</t>
        </is>
      </c>
      <c r="E131" s="207">
        <f>IFERROR(
IF(
INDEX($K$272:$K$977,MATCH(C131,$B$272:$B$977,0))&lt;&gt;0,
INDEX($K$272:$K$977,MATCH(C131,$B$272:$B$977,0)),
INDEX($L$272:$L$977,MATCH(C131,$B$272:$B$977,0))
),
0)</f>
        <v/>
      </c>
      <c r="F131" s="1" t="inlineStr">
        <is>
          <t>Jamón serrano</t>
        </is>
      </c>
      <c r="G131" s="52" t="n">
        <v>0.04</v>
      </c>
      <c r="H131" s="81" t="inlineStr">
        <is>
          <t>Kg</t>
        </is>
      </c>
      <c r="I131" s="79" t="n"/>
      <c r="J131" s="78" t="n"/>
      <c r="K131" s="79" t="n"/>
      <c r="L131" s="80" t="n"/>
      <c r="M131" s="80" t="n"/>
      <c r="N131" s="80" t="n"/>
      <c r="O131" s="20" t="n"/>
      <c r="P131" s="4" t="n"/>
      <c r="Q131" s="4" t="n"/>
    </row>
    <row r="132" ht="15" customHeight="1" s="95">
      <c r="B132" s="4" t="n"/>
      <c r="C132" s="96" t="inlineStr">
        <is>
          <t>VECARFON054</t>
        </is>
      </c>
      <c r="D132" s="18" t="inlineStr">
        <is>
          <t>Pulpo Mote</t>
        </is>
      </c>
      <c r="E132" s="207">
        <f>IFERROR(
IF(
INDEX($K$272:$K$977,MATCH(C132,$B$272:$B$977,0))&lt;&gt;0,
INDEX($K$272:$K$977,MATCH(C132,$B$272:$B$977,0)),
INDEX($L$272:$L$977,MATCH(C132,$B$272:$B$977,0))
),
0)</f>
        <v/>
      </c>
      <c r="F132" s="18" t="inlineStr">
        <is>
          <t>Pulpo</t>
        </is>
      </c>
      <c r="G132" s="52" t="n">
        <v>0.145</v>
      </c>
      <c r="H132" s="81" t="inlineStr">
        <is>
          <t>Kg</t>
        </is>
      </c>
      <c r="I132" s="79" t="n"/>
      <c r="J132" s="78" t="n"/>
      <c r="K132" s="79" t="n"/>
      <c r="L132" s="80" t="n"/>
      <c r="M132" s="80" t="n"/>
      <c r="N132" s="80" t="n"/>
      <c r="O132" s="20" t="n"/>
      <c r="P132" s="4" t="n"/>
      <c r="Q132" s="4" t="n"/>
    </row>
    <row r="133" ht="15" customHeight="1" s="95">
      <c r="B133" s="4" t="n"/>
      <c r="C133" s="96" t="inlineStr">
        <is>
          <t>VECARFON085</t>
        </is>
      </c>
      <c r="D133" s="18" t="inlineStr">
        <is>
          <t>Rigatoni con Ragout de Filete</t>
        </is>
      </c>
      <c r="E133" s="207">
        <f>IFERROR(
IF(
INDEX($K$272:$K$977,MATCH(C133,$B$272:$B$977,0))&lt;&gt;0,
INDEX($K$272:$K$977,MATCH(C133,$B$272:$B$977,0)),
INDEX($L$272:$L$977,MATCH(C133,$B$272:$B$977,0))
),
0)</f>
        <v/>
      </c>
      <c r="F133" s="18" t="inlineStr">
        <is>
          <t>Ragout Rigatoni</t>
        </is>
      </c>
      <c r="G133" s="52" t="n">
        <v>0.15</v>
      </c>
      <c r="H133" s="81" t="inlineStr">
        <is>
          <t>Kg</t>
        </is>
      </c>
      <c r="I133" s="79" t="n"/>
      <c r="J133" s="78" t="n"/>
      <c r="K133" s="79" t="n"/>
      <c r="L133" s="80" t="n"/>
      <c r="M133" s="80" t="n"/>
      <c r="N133" s="80" t="n"/>
      <c r="O133" s="20" t="n"/>
      <c r="P133" s="4" t="n"/>
      <c r="Q133" s="4" t="n"/>
    </row>
    <row r="134" ht="15" customHeight="1" s="95">
      <c r="B134" s="4" t="n"/>
      <c r="C134" s="96" t="inlineStr">
        <is>
          <t>VECARSND012</t>
        </is>
      </c>
      <c r="D134" s="18" t="inlineStr">
        <is>
          <t>Sándwich de Filete Italiano</t>
        </is>
      </c>
      <c r="E134" s="207">
        <f>IFERROR(
IF(
INDEX($K$272:$K$977,MATCH(C134,$B$272:$B$977,0))&lt;&gt;0,
INDEX($K$272:$K$977,MATCH(C134,$B$272:$B$977,0)),
INDEX($L$272:$L$977,MATCH(C134,$B$272:$B$977,0))
),
0)</f>
        <v/>
      </c>
      <c r="F134" s="18" t="inlineStr">
        <is>
          <t>Filete para churrasco</t>
        </is>
      </c>
      <c r="G134" s="52" t="n">
        <v>0.12</v>
      </c>
      <c r="H134" s="81" t="inlineStr">
        <is>
          <t>Kg</t>
        </is>
      </c>
      <c r="I134" s="79" t="n"/>
      <c r="J134" s="78" t="n"/>
      <c r="K134" s="79" t="n"/>
      <c r="L134" s="80" t="n"/>
      <c r="M134" s="80" t="n"/>
      <c r="N134" s="80" t="n"/>
      <c r="O134" s="20" t="n"/>
      <c r="P134" s="4" t="n"/>
      <c r="Q134" s="4" t="n"/>
    </row>
    <row r="135" ht="15" customHeight="1" s="95">
      <c r="B135" s="4" t="n"/>
      <c r="C135" s="96" t="inlineStr">
        <is>
          <t>VECARFON020</t>
        </is>
      </c>
      <c r="D135" s="18" t="inlineStr">
        <is>
          <t>Salmon Cancato</t>
        </is>
      </c>
      <c r="E135" s="207">
        <f>IFERROR(
IF(
INDEX($K$272:$K$977,MATCH(C135,$B$272:$B$977,0))&lt;&gt;0,
INDEX($K$272:$K$977,MATCH(C135,$B$272:$B$977,0)),
INDEX($L$272:$L$977,MATCH(C135,$B$272:$B$977,0))
),
0)</f>
        <v/>
      </c>
      <c r="F135" s="1" t="inlineStr">
        <is>
          <t>Salmón cancato</t>
        </is>
      </c>
      <c r="G135" s="52" t="n">
        <v>0.16</v>
      </c>
      <c r="H135" s="81" t="inlineStr">
        <is>
          <t>Kg</t>
        </is>
      </c>
      <c r="I135" s="79" t="n"/>
      <c r="J135" s="78" t="n"/>
      <c r="K135" s="79" t="n"/>
      <c r="L135" s="80" t="n"/>
      <c r="M135" s="80" t="n"/>
      <c r="N135" s="80" t="n"/>
      <c r="O135" s="20" t="n"/>
      <c r="P135" s="4" t="n"/>
      <c r="Q135" s="4" t="n"/>
    </row>
    <row r="136" ht="15" customHeight="1" s="95">
      <c r="B136" s="4" t="n"/>
      <c r="C136" s="96" t="inlineStr">
        <is>
          <t>VECARFJT006</t>
        </is>
      </c>
      <c r="D136" s="18" t="inlineStr">
        <is>
          <t>Salmon Cancato JT</t>
        </is>
      </c>
      <c r="E136" s="207">
        <f>IFERROR(
IF(
INDEX($K$272:$K$977,MATCH(C136,$B$272:$B$977,0))&lt;&gt;0,
INDEX($K$272:$K$977,MATCH(C136,$B$272:$B$977,0)),
INDEX($L$272:$L$977,MATCH(C136,$B$272:$B$977,0))
),
0)</f>
        <v/>
      </c>
      <c r="F136" s="1" t="inlineStr">
        <is>
          <t>Salmón cancato</t>
        </is>
      </c>
      <c r="G136" s="52" t="n">
        <v>0.16</v>
      </c>
      <c r="H136" s="81" t="inlineStr">
        <is>
          <t>Kg</t>
        </is>
      </c>
      <c r="I136" s="79" t="n"/>
      <c r="J136" s="78" t="n"/>
      <c r="K136" s="79" t="n"/>
      <c r="L136" s="80" t="n"/>
      <c r="M136" s="80" t="n"/>
      <c r="N136" s="80" t="n"/>
      <c r="O136" s="20" t="n"/>
      <c r="P136" s="4" t="n"/>
      <c r="Q136" s="4" t="n"/>
    </row>
    <row r="137" ht="15" customHeight="1" s="95">
      <c r="B137" s="4" t="n"/>
      <c r="C137" s="96" t="inlineStr">
        <is>
          <t>VECARFUB006</t>
        </is>
      </c>
      <c r="D137" s="18" t="inlineStr">
        <is>
          <t>Salmon Cancato PY</t>
        </is>
      </c>
      <c r="E137" s="207">
        <f>IFERROR(
IF(
INDEX($K$272:$K$977,MATCH(C137,$B$272:$B$977,0))&lt;&gt;0,
INDEX($K$272:$K$977,MATCH(C137,$B$272:$B$977,0)),
INDEX($L$272:$L$977,MATCH(C137,$B$272:$B$977,0))
),
0)</f>
        <v/>
      </c>
      <c r="F137" s="1" t="inlineStr">
        <is>
          <t>Salmón cancato</t>
        </is>
      </c>
      <c r="G137" s="52" t="n">
        <v>0.16</v>
      </c>
      <c r="H137" s="81" t="inlineStr">
        <is>
          <t>Kg</t>
        </is>
      </c>
      <c r="I137" s="79" t="n"/>
      <c r="J137" s="78" t="n"/>
      <c r="K137" s="79" t="n"/>
      <c r="L137" s="80" t="n"/>
      <c r="M137" s="80" t="n"/>
      <c r="N137" s="80" t="n"/>
      <c r="O137" s="20" t="n"/>
      <c r="P137" s="4" t="n"/>
      <c r="Q137" s="4" t="n"/>
    </row>
    <row r="138" ht="15" customHeight="1" s="95">
      <c r="B138" s="4" t="n"/>
      <c r="C138" s="96" t="inlineStr">
        <is>
          <t>VECARFON021</t>
        </is>
      </c>
      <c r="D138" s="18" t="inlineStr">
        <is>
          <t>Sorrentino Mechada</t>
        </is>
      </c>
      <c r="E138" s="207">
        <f>IFERROR(
IF(
INDEX($K$272:$K$977,MATCH(C138,$B$272:$B$977,0))&lt;&gt;0,
INDEX($K$272:$K$977,MATCH(C138,$B$272:$B$977,0)),
INDEX($L$272:$L$977,MATCH(C138,$B$272:$B$977,0))
),
0)</f>
        <v/>
      </c>
      <c r="F138" s="1" t="inlineStr">
        <is>
          <t>Sorrentinos carne mechada</t>
        </is>
      </c>
      <c r="G138" s="52" t="n">
        <v>1</v>
      </c>
      <c r="H138" s="81" t="inlineStr">
        <is>
          <t>Und</t>
        </is>
      </c>
      <c r="I138" s="79" t="n"/>
      <c r="J138" s="78" t="n"/>
      <c r="K138" s="79" t="n"/>
      <c r="L138" s="80" t="n"/>
      <c r="M138" s="80" t="n"/>
      <c r="N138" s="80" t="n"/>
      <c r="O138" s="20" t="n"/>
      <c r="P138" s="4" t="n"/>
      <c r="Q138" s="4" t="n"/>
    </row>
    <row r="139" ht="15" customHeight="1" s="95">
      <c r="B139" s="4" t="n"/>
      <c r="C139" s="96" t="inlineStr">
        <is>
          <t>VECARFON022</t>
        </is>
      </c>
      <c r="D139" s="18" t="inlineStr">
        <is>
          <t>Sorrentino Zapallo</t>
        </is>
      </c>
      <c r="E139" s="207">
        <f>IFERROR(
IF(
INDEX($K$272:$K$977,MATCH(C139,$B$272:$B$977,0))&lt;&gt;0,
INDEX($K$272:$K$977,MATCH(C139,$B$272:$B$977,0)),
INDEX($L$272:$L$977,MATCH(C139,$B$272:$B$977,0))
),
0)</f>
        <v/>
      </c>
      <c r="F139" s="1" t="inlineStr">
        <is>
          <t>Sorrentinos zapallo</t>
        </is>
      </c>
      <c r="G139" s="52" t="n">
        <v>1</v>
      </c>
      <c r="H139" s="81" t="inlineStr">
        <is>
          <t>Und</t>
        </is>
      </c>
      <c r="I139" s="79" t="n"/>
      <c r="J139" s="78" t="n"/>
      <c r="K139" s="79" t="n"/>
      <c r="L139" s="80" t="n"/>
      <c r="M139" s="80" t="n"/>
      <c r="N139" s="80" t="n"/>
      <c r="O139" s="20" t="n"/>
      <c r="P139" s="4" t="n"/>
      <c r="Q139" s="4" t="n"/>
    </row>
    <row r="140" ht="15" customHeight="1" s="95">
      <c r="B140" s="4" t="n"/>
      <c r="C140" s="96" t="inlineStr">
        <is>
          <t>VECARFUB036</t>
        </is>
      </c>
      <c r="D140" s="18" t="inlineStr">
        <is>
          <t>Sorrentinos de Carne Mechada PY</t>
        </is>
      </c>
      <c r="E140" s="207">
        <f>IFERROR(
IF(
INDEX($K$272:$K$977,MATCH(C140,$B$272:$B$977,0))&lt;&gt;0,
INDEX($K$272:$K$977,MATCH(C140,$B$272:$B$977,0)),
INDEX($L$272:$L$977,MATCH(C140,$B$272:$B$977,0))
),
0)</f>
        <v/>
      </c>
      <c r="F140" s="1" t="inlineStr">
        <is>
          <t>Sorrentinos carne mechada</t>
        </is>
      </c>
      <c r="G140" s="52" t="n">
        <v>1</v>
      </c>
      <c r="H140" s="81" t="inlineStr">
        <is>
          <t>Und</t>
        </is>
      </c>
      <c r="I140" s="79" t="n"/>
      <c r="J140" s="78" t="n"/>
      <c r="K140" s="79" t="n"/>
      <c r="L140" s="80" t="n"/>
      <c r="M140" s="80" t="n"/>
      <c r="N140" s="80" t="n"/>
      <c r="O140" s="20" t="n"/>
      <c r="P140" s="4" t="n"/>
      <c r="Q140" s="4" t="n"/>
    </row>
    <row r="141" ht="15" customHeight="1" s="95">
      <c r="B141" s="4" t="n"/>
      <c r="C141" s="96" t="inlineStr">
        <is>
          <t>VECARFON062</t>
        </is>
      </c>
      <c r="D141" s="18" t="inlineStr">
        <is>
          <t>Sorrentinos de pulpo y salmón</t>
        </is>
      </c>
      <c r="E141" s="207">
        <f>IFERROR(
IF(
INDEX($K$272:$K$977,MATCH(C141,$B$272:$B$977,0))&lt;&gt;0,
INDEX($K$272:$K$977,MATCH(C141,$B$272:$B$977,0)),
INDEX($L$272:$L$977,MATCH(C141,$B$272:$B$977,0))
),
0)</f>
        <v/>
      </c>
      <c r="F141" s="1" t="inlineStr">
        <is>
          <t>Sorrentinos pulpo y salmón</t>
        </is>
      </c>
      <c r="G141" s="52" t="n">
        <v>1</v>
      </c>
      <c r="H141" s="81" t="inlineStr">
        <is>
          <t>Und</t>
        </is>
      </c>
      <c r="I141" s="79" t="n"/>
      <c r="J141" s="78" t="n"/>
      <c r="K141" s="79" t="n"/>
      <c r="L141" s="80" t="n"/>
      <c r="M141" s="80" t="n"/>
      <c r="N141" s="80" t="n"/>
      <c r="O141" s="20" t="n"/>
      <c r="P141" s="4" t="n"/>
      <c r="Q141" s="4" t="n"/>
    </row>
    <row r="142" ht="15" customHeight="1" s="95">
      <c r="B142" s="4" t="n"/>
      <c r="C142" s="96" t="inlineStr">
        <is>
          <t>VECARFUB007</t>
        </is>
      </c>
      <c r="D142" s="18" t="inlineStr">
        <is>
          <t>Strogonof Arroz PY</t>
        </is>
      </c>
      <c r="E142" s="207">
        <f>IFERROR(
IF(
INDEX($K$272:$K$977,MATCH(C142,$B$272:$B$977,0))&lt;&gt;0,
INDEX($K$272:$K$977,MATCH(C142,$B$272:$B$977,0)),
INDEX($L$272:$L$977,MATCH(C142,$B$272:$B$977,0))
),
0)</f>
        <v/>
      </c>
      <c r="F142" s="1" t="inlineStr">
        <is>
          <t>Filete Salteado</t>
        </is>
      </c>
      <c r="G142" s="52" t="n">
        <v>0.16</v>
      </c>
      <c r="H142" s="81" t="inlineStr">
        <is>
          <t>Kg</t>
        </is>
      </c>
      <c r="I142" s="79" t="n"/>
      <c r="J142" s="78" t="n"/>
      <c r="K142" s="79" t="n"/>
      <c r="L142" s="80" t="n"/>
      <c r="M142" s="80" t="n"/>
      <c r="N142" s="80" t="n"/>
      <c r="O142" s="20" t="n"/>
      <c r="P142" s="4" t="n"/>
      <c r="Q142" s="4" t="n"/>
    </row>
    <row r="143" ht="15" customHeight="1" s="95">
      <c r="B143" s="4" t="n"/>
      <c r="C143" s="96" t="inlineStr">
        <is>
          <t>VECARFJT007</t>
        </is>
      </c>
      <c r="D143" s="18" t="inlineStr">
        <is>
          <t>Strogonof Arroz JT</t>
        </is>
      </c>
      <c r="E143" s="207">
        <f>IFERROR(
IF(
INDEX($K$272:$K$977,MATCH(C143,$B$272:$B$977,0))&lt;&gt;0,
INDEX($K$272:$K$977,MATCH(C143,$B$272:$B$977,0)),
INDEX($L$272:$L$977,MATCH(C143,$B$272:$B$977,0))
),
0)</f>
        <v/>
      </c>
      <c r="F143" s="1" t="inlineStr">
        <is>
          <t>Filete Salteado</t>
        </is>
      </c>
      <c r="G143" s="52" t="n">
        <v>0.16</v>
      </c>
      <c r="H143" s="81" t="inlineStr">
        <is>
          <t>Kg</t>
        </is>
      </c>
      <c r="I143" s="79" t="n"/>
      <c r="J143" s="78" t="n"/>
      <c r="K143" s="79" t="n"/>
      <c r="L143" s="80" t="n"/>
      <c r="M143" s="80" t="n"/>
      <c r="N143" s="80" t="n"/>
      <c r="O143" s="20" t="n"/>
      <c r="P143" s="4" t="n"/>
      <c r="Q143" s="4" t="n"/>
    </row>
    <row r="144" ht="15" customHeight="1" s="95">
      <c r="B144" s="4" t="n"/>
      <c r="C144" s="96" t="inlineStr">
        <is>
          <t>VECARFON023</t>
        </is>
      </c>
      <c r="D144" s="18" t="inlineStr">
        <is>
          <t>Strogonoff Arroz</t>
        </is>
      </c>
      <c r="E144" s="207">
        <f>IFERROR(
IF(
INDEX($K$272:$K$977,MATCH(C144,$B$272:$B$977,0))&lt;&gt;0,
INDEX($K$272:$K$977,MATCH(C144,$B$272:$B$977,0)),
INDEX($L$272:$L$977,MATCH(C144,$B$272:$B$977,0))
),
0)</f>
        <v/>
      </c>
      <c r="F144" s="1" t="inlineStr">
        <is>
          <t>Filete Salteado</t>
        </is>
      </c>
      <c r="G144" s="52" t="n">
        <v>0.16</v>
      </c>
      <c r="H144" s="81" t="inlineStr">
        <is>
          <t>Kg</t>
        </is>
      </c>
      <c r="I144" s="79" t="n"/>
      <c r="J144" s="78" t="n"/>
      <c r="K144" s="79" t="n"/>
      <c r="L144" s="80" t="n"/>
      <c r="M144" s="80" t="n"/>
      <c r="N144" s="80" t="n"/>
      <c r="O144" s="20" t="n"/>
      <c r="P144" s="4" t="n"/>
      <c r="Q144" s="4" t="n"/>
    </row>
    <row r="145" ht="15" customHeight="1" s="95">
      <c r="B145" s="4" t="n"/>
      <c r="C145" s="96" t="inlineStr">
        <is>
          <t>VECARENT008</t>
        </is>
      </c>
      <c r="D145" s="18" t="inlineStr">
        <is>
          <t>Tartar Atún</t>
        </is>
      </c>
      <c r="E145" s="207">
        <f>IFERROR(
IF(
INDEX($K$272:$K$977,MATCH(C145,$B$272:$B$977,0))&lt;&gt;0,
INDEX($K$272:$K$977,MATCH(C145,$B$272:$B$977,0)),
INDEX($L$272:$L$977,MATCH(C145,$B$272:$B$977,0))
),
0)</f>
        <v/>
      </c>
      <c r="F145" s="1" t="inlineStr">
        <is>
          <t>Atún Trozos</t>
        </is>
      </c>
      <c r="G145" s="52" t="n">
        <v>0.18</v>
      </c>
      <c r="H145" s="81" t="inlineStr">
        <is>
          <t>Kg</t>
        </is>
      </c>
      <c r="I145" s="79" t="n"/>
      <c r="J145" s="78" t="n"/>
      <c r="K145" s="79" t="n"/>
      <c r="L145" s="80" t="n"/>
      <c r="M145" s="80" t="n"/>
      <c r="N145" s="80" t="n"/>
      <c r="O145" s="20" t="n"/>
      <c r="P145" s="4" t="n"/>
      <c r="Q145" s="4" t="n"/>
    </row>
    <row r="146" ht="15" customHeight="1" s="95">
      <c r="B146" s="4" t="n"/>
      <c r="C146" s="96" t="inlineStr">
        <is>
          <t>VECARAJT002</t>
        </is>
      </c>
      <c r="D146" s="18" t="inlineStr">
        <is>
          <t>Tartar Atún JT</t>
        </is>
      </c>
      <c r="E146" s="207">
        <f>IFERROR(
IF(
INDEX($K$272:$K$977,MATCH(C146,$B$272:$B$977,0))&lt;&gt;0,
INDEX($K$272:$K$977,MATCH(C146,$B$272:$B$977,0)),
INDEX($L$272:$L$977,MATCH(C146,$B$272:$B$977,0))
),
0)</f>
        <v/>
      </c>
      <c r="F146" s="1" t="inlineStr">
        <is>
          <t>Atún Trozos</t>
        </is>
      </c>
      <c r="G146" s="52" t="n">
        <v>0.18</v>
      </c>
      <c r="H146" s="81" t="inlineStr">
        <is>
          <t>Kg</t>
        </is>
      </c>
      <c r="I146" s="79" t="n"/>
      <c r="J146" s="78" t="n"/>
      <c r="K146" s="79" t="n"/>
      <c r="L146" s="80" t="n"/>
      <c r="M146" s="80" t="n"/>
      <c r="N146" s="80" t="n"/>
      <c r="O146" s="20" t="n"/>
      <c r="P146" s="4" t="n"/>
      <c r="Q146" s="4" t="n"/>
    </row>
    <row r="147" ht="15" customHeight="1" s="95">
      <c r="B147" s="4" t="n"/>
      <c r="C147" s="96" t="inlineStr">
        <is>
          <t>VECARAUB002</t>
        </is>
      </c>
      <c r="D147" s="18" t="inlineStr">
        <is>
          <t>Tartar Atún Palta  PY</t>
        </is>
      </c>
      <c r="E147" s="207">
        <f>IFERROR(
IF(
INDEX($K$272:$K$977,MATCH(C147,$B$272:$B$977,0))&lt;&gt;0,
INDEX($K$272:$K$977,MATCH(C147,$B$272:$B$977,0)),
INDEX($L$272:$L$977,MATCH(C147,$B$272:$B$977,0))
),
0)</f>
        <v/>
      </c>
      <c r="F147" s="1" t="inlineStr">
        <is>
          <t>Atún Trozos</t>
        </is>
      </c>
      <c r="G147" s="52" t="n">
        <v>0.18</v>
      </c>
      <c r="H147" s="81" t="inlineStr">
        <is>
          <t>Kg</t>
        </is>
      </c>
      <c r="I147" s="79" t="n"/>
      <c r="J147" s="78" t="n"/>
      <c r="K147" s="79" t="n"/>
      <c r="L147" s="80" t="n"/>
      <c r="M147" s="80" t="n"/>
      <c r="N147" s="80" t="n"/>
      <c r="O147" s="20" t="n"/>
      <c r="P147" s="4" t="n"/>
      <c r="Q147" s="4" t="n"/>
    </row>
    <row r="148" ht="15" customHeight="1" s="95">
      <c r="B148" s="4" t="n"/>
      <c r="C148" s="96" t="inlineStr">
        <is>
          <t>VECARAUB012</t>
        </is>
      </c>
      <c r="D148" s="18" t="inlineStr">
        <is>
          <t>Tártaro Filete PY</t>
        </is>
      </c>
      <c r="E148" s="207">
        <f>IFERROR(
IF(
INDEX($K$272:$K$977,MATCH(C148,$B$272:$B$977,0))&lt;&gt;0,
INDEX($K$272:$K$977,MATCH(C148,$B$272:$B$977,0)),
INDEX($L$272:$L$977,MATCH(C148,$B$272:$B$977,0))
),
0)</f>
        <v/>
      </c>
      <c r="F148" s="18" t="inlineStr">
        <is>
          <t>Filete para crudo</t>
        </is>
      </c>
      <c r="G148" s="52" t="n">
        <v>0.17</v>
      </c>
      <c r="H148" s="81" t="inlineStr">
        <is>
          <t>Kg</t>
        </is>
      </c>
      <c r="I148" s="79" t="n"/>
      <c r="J148" s="78" t="n"/>
      <c r="K148" s="79" t="n"/>
      <c r="L148" s="80" t="n"/>
      <c r="M148" s="80" t="n"/>
      <c r="N148" s="80" t="n"/>
      <c r="O148" s="20" t="n"/>
      <c r="P148" s="4" t="n"/>
      <c r="Q148" s="4" t="n"/>
    </row>
    <row r="149" ht="15" customHeight="1" s="95">
      <c r="B149" s="4" t="n"/>
      <c r="C149" s="96" t="inlineStr">
        <is>
          <t>VECARAJT012</t>
        </is>
      </c>
      <c r="D149" s="18" t="inlineStr">
        <is>
          <t>Tartaro Filete JT</t>
        </is>
      </c>
      <c r="E149" s="207">
        <f>IFERROR(
IF(
INDEX($K$272:$K$977,MATCH(C149,$B$272:$B$977,0))&lt;&gt;0,
INDEX($K$272:$K$977,MATCH(C149,$B$272:$B$977,0)),
INDEX($L$272:$L$977,MATCH(C149,$B$272:$B$977,0))
),
0)</f>
        <v/>
      </c>
      <c r="F149" s="18" t="inlineStr">
        <is>
          <t>Filete para crudo</t>
        </is>
      </c>
      <c r="G149" s="52" t="n">
        <v>0.17</v>
      </c>
      <c r="H149" s="81" t="inlineStr">
        <is>
          <t>Kg</t>
        </is>
      </c>
      <c r="I149" s="79" t="n"/>
      <c r="J149" s="78" t="n"/>
      <c r="K149" s="79" t="n"/>
      <c r="L149" s="80" t="n"/>
      <c r="M149" s="80" t="n"/>
      <c r="N149" s="80" t="n"/>
      <c r="O149" s="20" t="n"/>
      <c r="P149" s="4" t="n"/>
      <c r="Q149" s="4" t="n"/>
    </row>
    <row r="150" ht="15" customHeight="1" s="95">
      <c r="B150" s="4" t="n"/>
      <c r="C150" s="96" t="inlineStr">
        <is>
          <t>VECARENT027</t>
        </is>
      </c>
      <c r="D150" s="18" t="inlineStr">
        <is>
          <t>Tártaro Res</t>
        </is>
      </c>
      <c r="E150" s="207">
        <f>IFERROR(
IF(
INDEX($K$272:$K$977,MATCH(C150,$B$272:$B$977,0))&lt;&gt;0,
INDEX($K$272:$K$977,MATCH(C150,$B$272:$B$977,0)),
INDEX($L$272:$L$977,MATCH(C150,$B$272:$B$977,0))
),
0)</f>
        <v/>
      </c>
      <c r="F150" s="18" t="inlineStr">
        <is>
          <t>Filete para crudo</t>
        </is>
      </c>
      <c r="G150" s="52" t="n">
        <v>0.17</v>
      </c>
      <c r="H150" s="81" t="inlineStr">
        <is>
          <t>Kg</t>
        </is>
      </c>
      <c r="I150" s="79" t="n"/>
      <c r="J150" s="78" t="n"/>
      <c r="K150" s="79" t="n"/>
      <c r="L150" s="80" t="n"/>
      <c r="M150" s="80" t="n"/>
      <c r="N150" s="80" t="n"/>
      <c r="O150" s="20" t="n"/>
      <c r="P150" s="4" t="n"/>
      <c r="Q150" s="4" t="n"/>
    </row>
    <row r="151" ht="15" customHeight="1" s="95">
      <c r="B151" s="4" t="n"/>
      <c r="C151" s="96" t="inlineStr">
        <is>
          <t>VECARENT041</t>
        </is>
      </c>
      <c r="D151" s="18" t="inlineStr">
        <is>
          <t>Tiradito de Locos</t>
        </is>
      </c>
      <c r="E151" s="207">
        <f>IFERROR(
IF(
INDEX($K$272:$K$977,MATCH(C151,$B$272:$B$977,0))&lt;&gt;0,
INDEX($K$272:$K$977,MATCH(C151,$B$272:$B$977,0)),
INDEX($L$272:$L$977,MATCH(C151,$B$272:$B$977,0))
),
0)</f>
        <v/>
      </c>
      <c r="F151" s="18" t="inlineStr">
        <is>
          <t>Locos</t>
        </is>
      </c>
      <c r="G151" s="52" t="n">
        <v>0.09</v>
      </c>
      <c r="H151" s="81" t="inlineStr">
        <is>
          <t>Kg</t>
        </is>
      </c>
      <c r="I151" s="79" t="n"/>
      <c r="J151" s="78" t="n"/>
      <c r="K151" s="79" t="n"/>
      <c r="L151" s="80" t="n"/>
      <c r="M151" s="80" t="n"/>
      <c r="N151" s="80" t="n"/>
      <c r="O151" s="20" t="n"/>
      <c r="P151" s="4" t="n"/>
      <c r="Q151" s="4" t="n"/>
    </row>
    <row r="152" ht="15" customHeight="1" s="95">
      <c r="B152" s="4" t="n"/>
      <c r="C152" s="97" t="inlineStr">
        <is>
          <t>VECARENT036</t>
        </is>
      </c>
      <c r="D152" s="18" t="inlineStr">
        <is>
          <t>Tiradito Salmón</t>
        </is>
      </c>
      <c r="E152" s="207">
        <f>IFERROR(
IF(
INDEX($K$272:$K$977,MATCH(C152,$B$272:$B$977,0))&lt;&gt;0,
INDEX($K$272:$K$977,MATCH(C152,$B$272:$B$977,0)),
INDEX($L$272:$L$977,MATCH(C152,$B$272:$B$977,0))
),
0)</f>
        <v/>
      </c>
      <c r="F152" s="1" t="inlineStr">
        <is>
          <t>Salmón fresco premium</t>
        </is>
      </c>
      <c r="G152" s="52" t="n">
        <v>0.09</v>
      </c>
      <c r="H152" s="81" t="inlineStr">
        <is>
          <t>Kg</t>
        </is>
      </c>
      <c r="I152" s="79" t="n"/>
      <c r="J152" s="78" t="n"/>
      <c r="K152" s="79" t="n"/>
      <c r="L152" s="80" t="n"/>
      <c r="M152" s="80" t="n"/>
      <c r="N152" s="80" t="n"/>
      <c r="O152" s="20" t="n"/>
      <c r="P152" s="4" t="n"/>
      <c r="Q152" s="4" t="n"/>
    </row>
    <row r="153" ht="15" customHeight="1" s="95" thickBot="1">
      <c r="B153" s="4" t="n"/>
      <c r="C153" s="82" t="inlineStr">
        <is>
          <t>VECARPOS011</t>
        </is>
      </c>
      <c r="D153" s="83" t="inlineStr">
        <is>
          <t>Volcán de Chocolate</t>
        </is>
      </c>
      <c r="E153" s="208">
        <f>IFERROR(
IF(
INDEX($K$272:$K$977,MATCH(C153,$B$272:$B$977,0))&lt;&gt;0,
INDEX($K$272:$K$977,MATCH(C153,$B$272:$B$977,0)),
INDEX($L$272:$L$977,MATCH(C153,$B$272:$B$977,0))
),
0)</f>
        <v/>
      </c>
      <c r="F153" s="31" t="inlineStr">
        <is>
          <t>Volcán de Chocolate</t>
        </is>
      </c>
      <c r="G153" s="84" t="n">
        <v>1</v>
      </c>
      <c r="H153" s="85" t="inlineStr">
        <is>
          <t>Kg</t>
        </is>
      </c>
      <c r="I153" s="79" t="n"/>
      <c r="J153" s="78" t="n"/>
      <c r="K153" s="79" t="n"/>
      <c r="L153" s="80" t="n"/>
      <c r="M153" s="80" t="n"/>
      <c r="N153" s="80" t="n"/>
      <c r="O153" s="20" t="n"/>
      <c r="P153" s="4" t="n"/>
      <c r="Q153" s="4" t="n"/>
    </row>
    <row r="154" ht="15.75" customHeight="1" s="95"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20" t="n"/>
      <c r="M154" s="20" t="n"/>
      <c r="N154" s="20" t="n"/>
      <c r="O154" s="20" t="n"/>
      <c r="P154" s="4" t="n"/>
      <c r="Q154" s="4" t="n"/>
    </row>
    <row r="155"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5" t="n"/>
      <c r="M155" s="5" t="n"/>
      <c r="N155" s="5" t="n"/>
      <c r="O155" s="5" t="n"/>
      <c r="P155" s="5" t="n"/>
      <c r="Q155" s="5" t="n"/>
      <c r="R155" s="209" t="n"/>
    </row>
    <row r="156" ht="13.5" customHeight="1" s="95" thickBot="1"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209" t="n"/>
    </row>
    <row r="157" ht="15.75" customHeight="1" s="95">
      <c r="B157" s="134" t="inlineStr">
        <is>
          <t>GRAMAJE</t>
        </is>
      </c>
      <c r="C157" s="309" t="inlineStr">
        <is>
          <t>MEDIDA</t>
        </is>
      </c>
      <c r="D157" s="309" t="inlineStr">
        <is>
          <t>PRODUCTOS</t>
        </is>
      </c>
      <c r="E157" s="144" t="inlineStr">
        <is>
          <t>STOCK INFORMADO</t>
        </is>
      </c>
      <c r="F157" s="310" t="inlineStr">
        <is>
          <t>* MERMAS EN KILOGRAMOS</t>
        </is>
      </c>
      <c r="G157" s="308" t="n"/>
      <c r="H157" s="308" t="n"/>
      <c r="I157" s="308" t="n"/>
      <c r="J157" s="311" t="n"/>
      <c r="K157" s="28" t="n"/>
      <c r="L157" s="65" t="n"/>
      <c r="M157" s="148" t="n"/>
      <c r="R157" s="209" t="n"/>
    </row>
    <row r="158" ht="26.25" customHeight="1" s="95" thickBot="1">
      <c r="B158" s="312" t="n"/>
      <c r="C158" s="313" t="n"/>
      <c r="D158" s="313" t="n"/>
      <c r="E158" s="314" t="n"/>
      <c r="F158" s="185" t="inlineStr">
        <is>
          <t>PRODUCCIÓN</t>
        </is>
      </c>
      <c r="G158" s="185" t="inlineStr">
        <is>
          <t>DEFECTUOSOS</t>
        </is>
      </c>
      <c r="H158" s="185" t="inlineStr">
        <is>
          <t>CLIENTES</t>
        </is>
      </c>
      <c r="I158" s="185" t="inlineStr">
        <is>
          <t>CORTESÍA</t>
        </is>
      </c>
      <c r="J158" s="76" t="inlineStr">
        <is>
          <t>REUTILIZAR</t>
        </is>
      </c>
      <c r="K158" s="28" t="n"/>
      <c r="L158" s="65" t="n"/>
      <c r="M158" s="148" t="n"/>
      <c r="N158" s="148" t="n"/>
      <c r="O158" s="148" t="n"/>
      <c r="P158" s="148" t="n"/>
      <c r="R158" s="209" t="n"/>
    </row>
    <row r="159" ht="13.5" customHeight="1" s="95" thickBot="1">
      <c r="B159" s="187" t="n">
        <v>0.18</v>
      </c>
      <c r="C159" s="188" t="inlineStr">
        <is>
          <t>Kg</t>
        </is>
      </c>
      <c r="D159" s="189" t="inlineStr">
        <is>
          <t>Atún apanado</t>
        </is>
      </c>
      <c r="E159" s="190" t="n"/>
      <c r="F159" s="190" t="n"/>
      <c r="G159" s="190" t="n"/>
      <c r="H159" s="190" t="n"/>
      <c r="I159" s="191" t="n"/>
      <c r="J159" s="246" t="n"/>
      <c r="K159" s="28" t="n"/>
      <c r="L159" s="65" t="n"/>
      <c r="M159" s="210" t="n"/>
      <c r="N159" s="6" t="n"/>
      <c r="O159" s="6" t="n"/>
      <c r="P159" s="210" t="n"/>
      <c r="R159" s="209" t="n"/>
    </row>
    <row r="160">
      <c r="B160" s="68" t="n">
        <v>0.25</v>
      </c>
      <c r="C160" s="23" t="inlineStr">
        <is>
          <t>Kg</t>
        </is>
      </c>
      <c r="D160" s="25" t="inlineStr">
        <is>
          <t>Atún Trozos</t>
        </is>
      </c>
      <c r="E160" s="26" t="n"/>
      <c r="F160" s="26" t="n"/>
      <c r="G160" s="26" t="n"/>
      <c r="H160" s="26" t="n"/>
      <c r="I160" s="67" t="n"/>
      <c r="J160" s="210" t="n"/>
      <c r="K160" s="28" t="n"/>
      <c r="L160" s="65" t="n"/>
      <c r="M160" s="210" t="n"/>
      <c r="N160" s="210" t="n"/>
      <c r="O160" s="210" t="n"/>
      <c r="P160" s="210" t="n"/>
      <c r="R160" s="209" t="n"/>
    </row>
    <row r="161">
      <c r="B161" s="68" t="n">
        <v>1</v>
      </c>
      <c r="C161" s="23" t="inlineStr">
        <is>
          <t>Kg</t>
        </is>
      </c>
      <c r="D161" s="25" t="inlineStr">
        <is>
          <t>Almejas Julianas</t>
        </is>
      </c>
      <c r="E161" s="26" t="n"/>
      <c r="F161" s="26" t="n"/>
      <c r="G161" s="26" t="n"/>
      <c r="H161" s="26" t="n"/>
      <c r="I161" s="67" t="n"/>
      <c r="J161" s="210" t="n"/>
      <c r="K161" s="28" t="n"/>
      <c r="L161" s="65" t="n"/>
      <c r="M161" s="210" t="n"/>
      <c r="N161" s="210" t="n"/>
      <c r="O161" s="210" t="n"/>
      <c r="P161" s="210" t="n"/>
      <c r="Q161" s="210" t="n"/>
      <c r="R161" s="209" t="n"/>
    </row>
    <row r="162">
      <c r="B162" s="68" t="n">
        <v>0.12</v>
      </c>
      <c r="C162" s="23" t="inlineStr">
        <is>
          <t>Kg</t>
        </is>
      </c>
      <c r="D162" s="25" t="inlineStr">
        <is>
          <t>Carpaccio de res</t>
        </is>
      </c>
      <c r="E162" s="26" t="n"/>
      <c r="F162" s="26" t="n"/>
      <c r="G162" s="26" t="n"/>
      <c r="H162" s="26" t="n"/>
      <c r="I162" s="67" t="n"/>
      <c r="J162" s="210" t="n"/>
      <c r="K162" s="28" t="n"/>
      <c r="L162" s="65" t="n"/>
      <c r="M162" s="43" t="n"/>
      <c r="N162" s="43" t="n"/>
      <c r="O162" s="43" t="n"/>
      <c r="P162" s="43" t="n"/>
      <c r="Q162" s="43" t="n"/>
      <c r="R162" s="209" t="n"/>
    </row>
    <row r="163">
      <c r="B163" s="68" t="n">
        <v>0.1</v>
      </c>
      <c r="C163" s="23" t="inlineStr">
        <is>
          <t>Kg</t>
        </is>
      </c>
      <c r="D163" s="27" t="inlineStr">
        <is>
          <t>Ceviche de Reineta</t>
        </is>
      </c>
      <c r="E163" s="26" t="n"/>
      <c r="F163" s="26" t="n"/>
      <c r="G163" s="26" t="n"/>
      <c r="H163" s="26" t="n"/>
      <c r="I163" s="67" t="n"/>
      <c r="J163" s="210" t="n"/>
      <c r="K163" s="28" t="n"/>
      <c r="L163" s="65" t="n"/>
      <c r="M163" s="65" t="n"/>
      <c r="N163" s="65" t="n"/>
      <c r="O163" s="65" t="n"/>
      <c r="P163" s="65" t="n"/>
      <c r="Q163" s="65" t="n"/>
      <c r="R163" s="209" t="n"/>
    </row>
    <row r="164">
      <c r="B164" s="68" t="n">
        <v>0.15</v>
      </c>
      <c r="C164" s="23" t="inlineStr">
        <is>
          <t>Kg</t>
        </is>
      </c>
      <c r="D164" s="27" t="inlineStr">
        <is>
          <t>Congrio</t>
        </is>
      </c>
      <c r="E164" s="26" t="n"/>
      <c r="F164" s="26" t="n"/>
      <c r="G164" s="26" t="n"/>
      <c r="H164" s="26" t="n"/>
      <c r="I164" s="67" t="n"/>
      <c r="J164" s="210" t="n"/>
      <c r="K164" s="28" t="n"/>
      <c r="L164" s="65" t="n"/>
      <c r="M164" s="65" t="n"/>
      <c r="N164" s="65" t="n"/>
      <c r="O164" s="65" t="n"/>
      <c r="P164" s="65" t="n"/>
      <c r="Q164" s="65" t="n"/>
      <c r="R164" s="209" t="n"/>
    </row>
    <row r="165">
      <c r="B165" s="68" t="n">
        <v>1</v>
      </c>
      <c r="C165" s="23" t="inlineStr">
        <is>
          <t>Porción</t>
        </is>
      </c>
      <c r="D165" s="27" t="inlineStr">
        <is>
          <t>Chupe de Salmón</t>
        </is>
      </c>
      <c r="E165" s="26" t="n"/>
      <c r="F165" s="26" t="n"/>
      <c r="G165" s="26" t="n"/>
      <c r="H165" s="26" t="n"/>
      <c r="I165" s="67" t="n"/>
      <c r="J165" s="210" t="n"/>
      <c r="K165" s="28" t="n"/>
      <c r="L165" s="28" t="n"/>
      <c r="M165" s="28" t="n"/>
      <c r="N165" s="28" t="n"/>
      <c r="O165" s="28" t="n"/>
      <c r="P165" s="28" t="n"/>
      <c r="Q165" s="28" t="n"/>
    </row>
    <row r="166">
      <c r="B166" s="68" t="n">
        <v>1</v>
      </c>
      <c r="C166" s="23" t="inlineStr">
        <is>
          <t>Kg</t>
        </is>
      </c>
      <c r="D166" s="27" t="inlineStr">
        <is>
          <t>Despunte de pulpo</t>
        </is>
      </c>
      <c r="E166" s="26" t="n"/>
      <c r="F166" s="26" t="n"/>
      <c r="G166" s="26" t="n"/>
      <c r="H166" s="26" t="n"/>
      <c r="I166" s="67" t="n"/>
      <c r="J166" s="210" t="n"/>
      <c r="K166" s="28" t="n"/>
      <c r="L166" s="28" t="n"/>
      <c r="M166" s="28" t="n"/>
      <c r="N166" s="28" t="n"/>
      <c r="O166" s="28" t="n"/>
      <c r="P166" s="28" t="n"/>
      <c r="Q166" s="28" t="n"/>
    </row>
    <row r="167">
      <c r="B167" s="68" t="n">
        <v>1</v>
      </c>
      <c r="C167" s="23" t="inlineStr">
        <is>
          <t>Kg</t>
        </is>
      </c>
      <c r="D167" s="27" t="inlineStr">
        <is>
          <t>Filete despunte</t>
        </is>
      </c>
      <c r="E167" s="26" t="n"/>
      <c r="F167" s="26" t="n"/>
      <c r="G167" s="26" t="n"/>
      <c r="H167" s="26" t="n"/>
      <c r="I167" s="67" t="n"/>
      <c r="J167" s="210" t="n"/>
      <c r="K167" s="28" t="n"/>
      <c r="L167" s="28" t="n"/>
      <c r="M167" s="28" t="n"/>
      <c r="N167" s="28" t="n"/>
      <c r="O167" s="28" t="n"/>
      <c r="P167" s="28" t="n"/>
      <c r="Q167" s="28" t="n"/>
    </row>
    <row r="168">
      <c r="B168" s="68" t="n">
        <v>0.12</v>
      </c>
      <c r="C168" s="23" t="inlineStr">
        <is>
          <t>Kg</t>
        </is>
      </c>
      <c r="D168" s="27" t="inlineStr">
        <is>
          <t>Filete para churrasco</t>
        </is>
      </c>
      <c r="E168" s="26" t="n"/>
      <c r="F168" s="26" t="n"/>
      <c r="G168" s="26" t="n"/>
      <c r="H168" s="26" t="n"/>
      <c r="I168" s="67" t="n"/>
      <c r="J168" s="210" t="n"/>
      <c r="K168" s="28" t="n"/>
      <c r="L168" s="28" t="n"/>
      <c r="M168" s="28" t="n"/>
      <c r="N168" s="28" t="n"/>
      <c r="O168" s="28" t="n"/>
      <c r="P168" s="28" t="n"/>
      <c r="Q168" s="28" t="n"/>
    </row>
    <row r="169">
      <c r="B169" s="68" t="n">
        <v>0.48</v>
      </c>
      <c r="C169" s="23" t="inlineStr">
        <is>
          <t>Kg</t>
        </is>
      </c>
      <c r="D169" s="70" t="inlineStr">
        <is>
          <t>Filete para crudo</t>
        </is>
      </c>
      <c r="E169" s="26" t="n"/>
      <c r="F169" s="26" t="n"/>
      <c r="G169" s="26" t="n"/>
      <c r="H169" s="26" t="n"/>
      <c r="I169" s="67" t="n"/>
      <c r="J169" s="210" t="n"/>
      <c r="K169" s="28" t="n"/>
      <c r="L169" s="28" t="n"/>
      <c r="M169" s="28" t="n"/>
      <c r="N169" s="28" t="n"/>
      <c r="O169" s="28" t="n"/>
      <c r="P169" s="28" t="n"/>
      <c r="Q169" s="28" t="n"/>
    </row>
    <row r="170">
      <c r="B170" s="68" t="n">
        <v>0.16</v>
      </c>
      <c r="C170" s="23" t="inlineStr">
        <is>
          <t>Kg</t>
        </is>
      </c>
      <c r="D170" s="25" t="inlineStr">
        <is>
          <t>Filete salteado</t>
        </is>
      </c>
      <c r="E170" s="26" t="n"/>
      <c r="F170" s="26" t="n"/>
      <c r="G170" s="26" t="n"/>
      <c r="H170" s="26" t="n"/>
      <c r="I170" s="67" t="n"/>
      <c r="J170" s="210" t="n"/>
      <c r="K170" s="28" t="n"/>
      <c r="L170" s="28" t="n"/>
      <c r="M170" s="28" t="n"/>
      <c r="N170" s="28" t="n"/>
      <c r="O170" s="28" t="n"/>
      <c r="P170" s="28" t="n"/>
      <c r="Q170" s="28" t="n"/>
    </row>
    <row r="171">
      <c r="B171" s="68" t="n">
        <v>0.12</v>
      </c>
      <c r="C171" s="23" t="inlineStr">
        <is>
          <t>Kg</t>
        </is>
      </c>
      <c r="D171" s="25" t="inlineStr">
        <is>
          <t>Ganso</t>
        </is>
      </c>
      <c r="E171" s="26" t="n"/>
      <c r="F171" s="26" t="n"/>
      <c r="G171" s="26" t="n"/>
      <c r="H171" s="26" t="n"/>
      <c r="I171" s="67" t="n"/>
      <c r="J171" s="210" t="n"/>
      <c r="K171" s="28" t="n"/>
      <c r="L171" s="28" t="n"/>
      <c r="M171" s="28" t="n"/>
      <c r="N171" s="28" t="n"/>
      <c r="O171" s="28" t="n"/>
      <c r="P171" s="28" t="n"/>
      <c r="Q171" s="28" t="n"/>
    </row>
    <row r="172">
      <c r="B172" s="68" t="n">
        <v>0.2</v>
      </c>
      <c r="C172" s="23" t="inlineStr">
        <is>
          <t>Kg</t>
        </is>
      </c>
      <c r="D172" s="25" t="inlineStr">
        <is>
          <t>Hamburguesas</t>
        </is>
      </c>
      <c r="E172" s="26" t="n"/>
      <c r="F172" s="26" t="n"/>
      <c r="G172" s="26" t="n"/>
      <c r="H172" s="26" t="n"/>
      <c r="I172" s="67" t="n"/>
      <c r="J172" s="210" t="n"/>
      <c r="K172" s="28" t="n"/>
      <c r="L172" s="28" t="n"/>
      <c r="M172" s="28" t="n"/>
      <c r="N172" s="28" t="n"/>
      <c r="O172" s="28" t="n"/>
      <c r="P172" s="28" t="n"/>
      <c r="Q172" s="28" t="n"/>
    </row>
    <row r="173">
      <c r="B173" s="68" t="n">
        <v>1</v>
      </c>
      <c r="C173" s="23" t="inlineStr">
        <is>
          <t>Kg</t>
        </is>
      </c>
      <c r="D173" s="70" t="inlineStr">
        <is>
          <t>Langostinos</t>
        </is>
      </c>
      <c r="E173" s="26" t="n"/>
      <c r="F173" s="26" t="n"/>
      <c r="G173" s="26" t="n"/>
      <c r="H173" s="26" t="n"/>
      <c r="I173" s="67" t="n"/>
      <c r="J173" s="210" t="n"/>
      <c r="K173" s="28" t="n"/>
      <c r="L173" s="28" t="n"/>
      <c r="M173" s="28" t="n"/>
      <c r="N173" s="28" t="n"/>
      <c r="O173" s="28" t="n"/>
      <c r="P173" s="28" t="n"/>
      <c r="Q173" s="28" t="n"/>
    </row>
    <row r="174">
      <c r="B174" s="68" t="n">
        <v>1</v>
      </c>
      <c r="C174" s="23" t="inlineStr">
        <is>
          <t>Kg</t>
        </is>
      </c>
      <c r="D174" s="25" t="inlineStr">
        <is>
          <t>Jamón serrano</t>
        </is>
      </c>
      <c r="E174" s="26" t="n"/>
      <c r="F174" s="26" t="n"/>
      <c r="G174" s="26" t="n"/>
      <c r="H174" s="26" t="n"/>
      <c r="I174" s="67" t="n"/>
      <c r="J174" s="210" t="n"/>
      <c r="K174" s="28" t="n"/>
      <c r="L174" s="28" t="n"/>
      <c r="M174" s="4" t="n"/>
      <c r="N174" s="4" t="n"/>
      <c r="O174" s="28" t="n"/>
      <c r="P174" s="28" t="n"/>
      <c r="Q174" s="28" t="n"/>
    </row>
    <row r="175">
      <c r="B175" s="68" t="n">
        <v>1</v>
      </c>
      <c r="C175" s="23" t="inlineStr">
        <is>
          <t>Porción</t>
        </is>
      </c>
      <c r="D175" s="25" t="inlineStr">
        <is>
          <t>Lasagna Berenjenas</t>
        </is>
      </c>
      <c r="E175" s="186" t="n"/>
      <c r="F175" s="26" t="n"/>
      <c r="G175" s="26" t="n"/>
      <c r="H175" s="26" t="n"/>
      <c r="I175" s="67" t="n"/>
      <c r="J175" s="210" t="n"/>
      <c r="K175" s="28" t="n"/>
      <c r="L175" s="28" t="n"/>
      <c r="M175" s="28" t="n"/>
      <c r="N175" s="28" t="n"/>
      <c r="O175" s="28" t="n"/>
      <c r="P175" s="28" t="n"/>
      <c r="Q175" s="28" t="n"/>
    </row>
    <row r="176">
      <c r="B176" s="68" t="n">
        <v>0.18</v>
      </c>
      <c r="C176" s="23" t="inlineStr">
        <is>
          <t>Kg</t>
        </is>
      </c>
      <c r="D176" s="25" t="inlineStr">
        <is>
          <t>Lomo liso</t>
        </is>
      </c>
      <c r="E176" s="26" t="n"/>
      <c r="F176" s="26" t="n"/>
      <c r="G176" s="26" t="n"/>
      <c r="H176" s="26" t="n"/>
      <c r="I176" s="67" t="n"/>
      <c r="J176" s="210" t="n"/>
      <c r="K176" s="28" t="n"/>
      <c r="L176" s="28" t="n"/>
      <c r="M176" s="28" t="n"/>
      <c r="N176" s="28" t="n"/>
      <c r="O176" s="28" t="n"/>
      <c r="P176" s="28" t="n"/>
      <c r="Q176" s="28" t="n"/>
    </row>
    <row r="177">
      <c r="B177" s="68" t="n">
        <v>0.09</v>
      </c>
      <c r="C177" s="23" t="inlineStr">
        <is>
          <t>Kg</t>
        </is>
      </c>
      <c r="D177" s="25" t="inlineStr">
        <is>
          <t>Locos</t>
        </is>
      </c>
      <c r="E177" s="26" t="n"/>
      <c r="F177" s="26" t="n"/>
      <c r="G177" s="26" t="n"/>
      <c r="H177" s="26" t="n"/>
      <c r="I177" s="67" t="n"/>
      <c r="J177" s="210" t="n"/>
      <c r="K177" s="28" t="n"/>
      <c r="L177" s="28" t="n"/>
      <c r="M177" s="28" t="n"/>
      <c r="N177" s="28" t="n"/>
      <c r="O177" s="28" t="n"/>
      <c r="P177" s="28" t="n"/>
      <c r="Q177" s="28" t="n"/>
    </row>
    <row r="178">
      <c r="B178" s="68" t="n">
        <v>1</v>
      </c>
      <c r="C178" s="23" t="inlineStr">
        <is>
          <t>Kg</t>
        </is>
      </c>
      <c r="D178" s="25" t="inlineStr">
        <is>
          <t>Mejillones</t>
        </is>
      </c>
      <c r="E178" s="26" t="n"/>
      <c r="F178" s="26" t="n"/>
      <c r="G178" s="26" t="n"/>
      <c r="H178" s="26" t="n"/>
      <c r="I178" s="67" t="n"/>
      <c r="J178" s="210" t="n"/>
      <c r="K178" s="28" t="n"/>
      <c r="L178" s="28" t="n"/>
      <c r="M178" s="28" t="n"/>
      <c r="N178" s="28" t="n"/>
      <c r="O178" s="28" t="n"/>
      <c r="P178" s="28" t="n"/>
      <c r="Q178" s="28" t="n"/>
    </row>
    <row r="179">
      <c r="B179" s="68" t="n">
        <v>0.18</v>
      </c>
      <c r="C179" s="23" t="inlineStr">
        <is>
          <t>Kg</t>
        </is>
      </c>
      <c r="D179" s="25" t="inlineStr">
        <is>
          <t>Merluza</t>
        </is>
      </c>
      <c r="E179" s="26" t="n"/>
      <c r="F179" s="26" t="n"/>
      <c r="G179" s="26" t="n"/>
      <c r="H179" s="26" t="n"/>
      <c r="I179" s="67" t="n"/>
      <c r="J179" s="210" t="n"/>
      <c r="K179" s="28" t="n"/>
      <c r="L179" s="28" t="n"/>
      <c r="M179" s="28" t="n"/>
      <c r="N179" s="28" t="n"/>
      <c r="O179" s="28" t="n"/>
      <c r="P179" s="28" t="n"/>
      <c r="Q179" s="28" t="n"/>
    </row>
    <row r="180">
      <c r="B180" s="68" t="n">
        <v>0.12</v>
      </c>
      <c r="C180" s="23" t="inlineStr">
        <is>
          <t>Kg</t>
        </is>
      </c>
      <c r="D180" s="25" t="inlineStr">
        <is>
          <t>Paila de Carne</t>
        </is>
      </c>
      <c r="E180" s="26" t="n"/>
      <c r="F180" s="26" t="n"/>
      <c r="G180" s="26" t="n"/>
      <c r="H180" s="26" t="n"/>
      <c r="I180" s="67" t="n"/>
      <c r="J180" s="210" t="n"/>
      <c r="K180" s="28" t="n"/>
      <c r="L180" s="28" t="n"/>
      <c r="M180" s="28" t="n"/>
      <c r="N180" s="28" t="n"/>
      <c r="O180" s="28" t="n"/>
      <c r="P180" s="28" t="n"/>
      <c r="Q180" s="28" t="n"/>
    </row>
    <row r="181">
      <c r="B181" s="68" t="n">
        <v>0.18</v>
      </c>
      <c r="C181" s="23" t="inlineStr">
        <is>
          <t>Kg</t>
        </is>
      </c>
      <c r="D181" s="25" t="inlineStr">
        <is>
          <t>Plateada</t>
        </is>
      </c>
      <c r="E181" s="26" t="n"/>
      <c r="F181" s="26" t="n"/>
      <c r="G181" s="26" t="n"/>
      <c r="H181" s="26" t="n"/>
      <c r="I181" s="67" t="n"/>
      <c r="J181" s="210" t="n"/>
      <c r="K181" s="28" t="n"/>
      <c r="L181" s="28" t="n"/>
      <c r="M181" s="28" t="n"/>
      <c r="N181" s="28" t="n"/>
      <c r="O181" s="28" t="n"/>
      <c r="P181" s="28" t="n"/>
      <c r="Q181" s="28" t="n"/>
    </row>
    <row r="182">
      <c r="B182" s="68" t="n">
        <v>0.145</v>
      </c>
      <c r="C182" s="23" t="inlineStr">
        <is>
          <t>kg</t>
        </is>
      </c>
      <c r="D182" s="25" t="inlineStr">
        <is>
          <t>Pulpo</t>
        </is>
      </c>
      <c r="E182" s="26" t="n"/>
      <c r="F182" s="26" t="n"/>
      <c r="G182" s="26" t="n"/>
      <c r="H182" s="26" t="n"/>
      <c r="I182" s="67" t="n"/>
      <c r="J182" s="210" t="n"/>
      <c r="K182" s="28" t="n"/>
      <c r="L182" s="28" t="n"/>
      <c r="M182" s="4" t="n"/>
      <c r="N182" s="4" t="n"/>
      <c r="O182" s="28" t="n"/>
      <c r="P182" s="28" t="n"/>
      <c r="Q182" s="28" t="n"/>
    </row>
    <row r="183">
      <c r="B183" s="168" t="n">
        <v>0.411</v>
      </c>
      <c r="C183" s="23" t="inlineStr">
        <is>
          <t>Kg</t>
        </is>
      </c>
      <c r="D183" s="25" t="inlineStr">
        <is>
          <t>Ragout Lasagna</t>
        </is>
      </c>
      <c r="E183" s="26" t="n"/>
      <c r="F183" s="26" t="n"/>
      <c r="G183" s="26" t="n"/>
      <c r="H183" s="26" t="n"/>
      <c r="I183" s="67" t="n"/>
      <c r="J183" s="210" t="n"/>
      <c r="K183" s="28" t="n"/>
      <c r="L183" s="28" t="n"/>
      <c r="M183" s="4" t="n"/>
      <c r="N183" s="4" t="n"/>
      <c r="O183" s="28" t="n"/>
      <c r="P183" s="28" t="n"/>
      <c r="Q183" s="28" t="n"/>
    </row>
    <row r="184">
      <c r="B184" s="168" t="n">
        <v>0.36</v>
      </c>
      <c r="C184" s="23" t="inlineStr">
        <is>
          <t>Kg</t>
        </is>
      </c>
      <c r="D184" s="25" t="inlineStr">
        <is>
          <t>Ragout Rigatoni</t>
        </is>
      </c>
      <c r="E184" s="26" t="n"/>
      <c r="F184" s="26" t="n"/>
      <c r="G184" s="26" t="n"/>
      <c r="H184" s="26" t="n"/>
      <c r="I184" s="67" t="n"/>
      <c r="J184" s="210" t="n"/>
      <c r="K184" s="28" t="n"/>
      <c r="L184" s="28" t="n"/>
      <c r="M184" s="4" t="n"/>
      <c r="N184" s="4" t="n"/>
      <c r="O184" s="28" t="n"/>
      <c r="P184" s="28" t="n"/>
      <c r="Q184" s="28" t="n"/>
    </row>
    <row r="185">
      <c r="B185" s="68" t="n">
        <v>1</v>
      </c>
      <c r="C185" s="23" t="inlineStr">
        <is>
          <t>Kg</t>
        </is>
      </c>
      <c r="D185" s="25" t="inlineStr">
        <is>
          <t>Salmon ahumado en frío</t>
        </is>
      </c>
      <c r="E185" s="26" t="n"/>
      <c r="F185" s="26" t="n"/>
      <c r="G185" s="26" t="n"/>
      <c r="H185" s="26" t="n"/>
      <c r="I185" s="67" t="n"/>
      <c r="J185" s="210" t="n"/>
      <c r="K185" s="28" t="n"/>
      <c r="L185" s="28" t="n"/>
      <c r="M185" s="4" t="n"/>
      <c r="N185" s="4" t="n"/>
      <c r="O185" s="28" t="n"/>
      <c r="P185" s="28" t="n"/>
      <c r="Q185" s="28" t="n"/>
    </row>
    <row r="186">
      <c r="B186" s="68" t="n">
        <v>0.12</v>
      </c>
      <c r="C186" s="23" t="inlineStr">
        <is>
          <t>Kg</t>
        </is>
      </c>
      <c r="D186" s="25" t="inlineStr">
        <is>
          <t>Salmón ahumado en caliente</t>
        </is>
      </c>
      <c r="E186" s="26" t="n"/>
      <c r="F186" s="26" t="n"/>
      <c r="G186" s="26" t="n"/>
      <c r="H186" s="26" t="n"/>
      <c r="I186" s="67" t="n"/>
      <c r="J186" s="210" t="n"/>
      <c r="K186" s="28" t="n"/>
      <c r="L186" s="28" t="n"/>
      <c r="M186" s="28" t="n"/>
      <c r="N186" s="28" t="n"/>
      <c r="O186" s="28" t="n"/>
      <c r="P186" s="28" t="n"/>
      <c r="Q186" s="28" t="n"/>
    </row>
    <row r="187">
      <c r="B187" s="68" t="n">
        <v>0.16</v>
      </c>
      <c r="C187" s="23" t="inlineStr">
        <is>
          <t>Kg</t>
        </is>
      </c>
      <c r="D187" s="25" t="inlineStr">
        <is>
          <t>Salmón cancato</t>
        </is>
      </c>
      <c r="E187" s="26" t="n"/>
      <c r="F187" s="26" t="n"/>
      <c r="G187" s="26" t="n"/>
      <c r="H187" s="26" t="n"/>
      <c r="I187" s="67" t="n"/>
      <c r="J187" s="210" t="n"/>
      <c r="K187" s="28" t="n"/>
      <c r="L187" s="28" t="n"/>
      <c r="M187" s="28" t="n"/>
      <c r="N187" s="28" t="n"/>
      <c r="O187" s="28" t="n"/>
      <c r="P187" s="28" t="n"/>
      <c r="Q187" s="28" t="n"/>
    </row>
    <row r="188">
      <c r="B188" s="68" t="n">
        <v>0.09</v>
      </c>
      <c r="C188" s="23" t="inlineStr">
        <is>
          <t>Kg</t>
        </is>
      </c>
      <c r="D188" s="25" t="inlineStr">
        <is>
          <t>Salmón fresco premium</t>
        </is>
      </c>
      <c r="E188" s="26" t="n"/>
      <c r="F188" s="26" t="n"/>
      <c r="G188" s="26" t="n"/>
      <c r="H188" s="26" t="n"/>
      <c r="I188" s="67" t="n"/>
      <c r="J188" s="210" t="n"/>
      <c r="K188" s="28" t="n"/>
      <c r="L188" s="28" t="n"/>
      <c r="M188" s="28" t="n"/>
      <c r="N188" s="28" t="n"/>
      <c r="O188" s="28" t="n"/>
      <c r="P188" s="28" t="n"/>
      <c r="Q188" s="28" t="n"/>
    </row>
    <row r="189">
      <c r="B189" s="68" t="n">
        <v>0.17</v>
      </c>
      <c r="C189" s="23" t="inlineStr">
        <is>
          <t>Kg</t>
        </is>
      </c>
      <c r="D189" s="25" t="inlineStr">
        <is>
          <t>Tartar de res</t>
        </is>
      </c>
      <c r="E189" s="26" t="n"/>
      <c r="F189" s="26" t="n"/>
      <c r="G189" s="26" t="n"/>
      <c r="H189" s="26" t="n"/>
      <c r="I189" s="67" t="n"/>
      <c r="J189" s="210" t="n"/>
      <c r="K189" s="28" t="n"/>
      <c r="L189" s="28" t="n"/>
      <c r="M189" s="28" t="n"/>
      <c r="N189" s="28" t="n"/>
      <c r="O189" s="28" t="n"/>
      <c r="P189" s="28" t="n"/>
      <c r="Q189" s="28" t="n"/>
    </row>
    <row r="190" ht="13.5" customHeight="1" s="95" thickBot="1">
      <c r="B190" s="71" t="n">
        <v>0.18</v>
      </c>
      <c r="C190" s="75" t="inlineStr">
        <is>
          <t>Kg</t>
        </is>
      </c>
      <c r="D190" s="174" t="inlineStr">
        <is>
          <t xml:space="preserve">Tártaro de atún </t>
        </is>
      </c>
      <c r="E190" s="72" t="n"/>
      <c r="F190" s="72" t="n"/>
      <c r="G190" s="72" t="n"/>
      <c r="H190" s="72" t="n"/>
      <c r="I190" s="73" t="n"/>
      <c r="J190" s="210" t="n"/>
      <c r="K190" s="28" t="n"/>
      <c r="L190" s="28" t="n"/>
      <c r="M190" s="28" t="n"/>
      <c r="N190" s="28" t="n"/>
      <c r="O190" s="28" t="n"/>
      <c r="P190" s="28" t="n"/>
      <c r="Q190" s="28" t="n"/>
    </row>
    <row r="191" ht="13.5" customHeight="1" s="95" thickBot="1">
      <c r="B191" s="210" t="n"/>
      <c r="C191" s="28" t="n"/>
      <c r="D191" s="65" t="n"/>
      <c r="E191" s="210" t="n"/>
      <c r="F191" s="210" t="n"/>
      <c r="G191" s="210" t="n"/>
      <c r="H191" s="210" t="n"/>
      <c r="I191" s="210" t="n"/>
      <c r="J191" s="210" t="n"/>
      <c r="K191" s="28" t="n"/>
      <c r="L191" s="28" t="n"/>
      <c r="M191" s="28" t="n"/>
      <c r="N191" s="28" t="n"/>
      <c r="O191" s="28" t="n"/>
      <c r="P191" s="28" t="n"/>
      <c r="Q191" s="28" t="n"/>
    </row>
    <row r="192" ht="15.75" customHeight="1" s="95">
      <c r="B192" s="169" t="inlineStr">
        <is>
          <t>UNIDADES</t>
        </is>
      </c>
      <c r="C192" s="170" t="inlineStr">
        <is>
          <t>MEDIDA</t>
        </is>
      </c>
      <c r="D192" s="170" t="inlineStr">
        <is>
          <t>PRODUCTOS</t>
        </is>
      </c>
      <c r="E192" s="171" t="n"/>
      <c r="F192" s="172" t="n"/>
      <c r="G192" s="308" t="n"/>
      <c r="H192" s="308" t="n"/>
      <c r="I192" s="300" t="n"/>
      <c r="J192" s="136" t="n"/>
      <c r="K192" s="28" t="n"/>
      <c r="L192" s="28" t="n"/>
      <c r="M192" s="28" t="n"/>
      <c r="N192" s="28" t="n"/>
      <c r="O192" s="28" t="n"/>
      <c r="P192" s="28" t="n"/>
      <c r="Q192" s="28" t="n"/>
    </row>
    <row r="193" ht="26.25" customHeight="1" s="95" thickBot="1">
      <c r="B193" s="315" t="n"/>
      <c r="C193" s="316" t="n"/>
      <c r="D193" s="316" t="n"/>
      <c r="E193" s="316" t="n"/>
      <c r="F193" s="180" t="n"/>
      <c r="G193" s="180" t="n"/>
      <c r="H193" s="180" t="n"/>
      <c r="I193" s="181" t="n"/>
      <c r="K193" s="28" t="n"/>
      <c r="L193" s="28" t="n"/>
      <c r="M193" s="28" t="n"/>
      <c r="N193" s="28" t="n"/>
      <c r="O193" s="28" t="n"/>
      <c r="P193" s="28" t="n"/>
      <c r="Q193" s="28" t="n"/>
    </row>
    <row r="194">
      <c r="B194" s="66" t="n">
        <v>1</v>
      </c>
      <c r="C194" s="74" t="inlineStr">
        <is>
          <t>Und</t>
        </is>
      </c>
      <c r="D194" s="24" t="inlineStr">
        <is>
          <t>Brownie Nutella</t>
        </is>
      </c>
      <c r="E194" s="175" t="n"/>
      <c r="F194" s="175" t="n"/>
      <c r="G194" s="175" t="n"/>
      <c r="H194" s="175" t="n"/>
      <c r="I194" s="176" t="n"/>
      <c r="J194" s="210" t="n"/>
      <c r="K194" s="28" t="n"/>
      <c r="L194" s="28" t="n"/>
      <c r="M194" s="28" t="n"/>
      <c r="N194" s="28" t="n"/>
      <c r="O194" s="28" t="n"/>
      <c r="P194" s="28" t="n"/>
      <c r="Q194" s="28" t="n"/>
    </row>
    <row r="195">
      <c r="B195" s="68" t="n">
        <v>4</v>
      </c>
      <c r="C195" s="23" t="inlineStr">
        <is>
          <t>Und</t>
        </is>
      </c>
      <c r="D195" s="25" t="inlineStr">
        <is>
          <t>Brownie Vegano</t>
        </is>
      </c>
      <c r="E195" s="26" t="n"/>
      <c r="F195" s="26" t="n"/>
      <c r="G195" s="26" t="n"/>
      <c r="H195" s="26" t="n"/>
      <c r="I195" s="67" t="n"/>
      <c r="J195" s="210" t="n"/>
      <c r="K195" s="28" t="n"/>
      <c r="L195" s="28" t="n"/>
      <c r="M195" s="28" t="n"/>
      <c r="N195" s="28" t="n"/>
      <c r="O195" s="28" t="n"/>
      <c r="P195" s="28" t="n"/>
      <c r="Q195" s="28" t="n"/>
    </row>
    <row r="196">
      <c r="B196" s="68" t="n">
        <v>1</v>
      </c>
      <c r="C196" s="23" t="inlineStr">
        <is>
          <t>Und</t>
        </is>
      </c>
      <c r="D196" s="25" t="inlineStr">
        <is>
          <t>Cheesecake de Berries</t>
        </is>
      </c>
      <c r="E196" s="26" t="n"/>
      <c r="F196" s="26" t="n"/>
      <c r="G196" s="26" t="n"/>
      <c r="H196" s="26" t="n"/>
      <c r="I196" s="67" t="n"/>
      <c r="J196" s="210" t="n"/>
      <c r="K196" s="28" t="n"/>
      <c r="L196" s="28" t="n"/>
      <c r="M196" s="28" t="n"/>
      <c r="N196" s="28" t="n"/>
      <c r="O196" s="28" t="n"/>
      <c r="P196" s="28" t="n"/>
      <c r="Q196" s="28" t="n"/>
    </row>
    <row r="197">
      <c r="B197" s="68" t="n">
        <v>1</v>
      </c>
      <c r="C197" s="23" t="inlineStr">
        <is>
          <t>Und</t>
        </is>
      </c>
      <c r="D197" s="25" t="inlineStr">
        <is>
          <t>Cheesecake de limón</t>
        </is>
      </c>
      <c r="E197" s="26" t="n"/>
      <c r="F197" s="26" t="n"/>
      <c r="G197" s="26" t="n"/>
      <c r="H197" s="26" t="n"/>
      <c r="I197" s="67" t="n"/>
      <c r="J197" s="210" t="n"/>
      <c r="K197" s="28" t="n"/>
      <c r="L197" s="28" t="n"/>
      <c r="M197" s="28" t="n"/>
      <c r="N197" s="28" t="n"/>
      <c r="O197" s="28" t="n"/>
      <c r="P197" s="28" t="n"/>
      <c r="Q197" s="28" t="n"/>
    </row>
    <row r="198">
      <c r="B198" s="68" t="n">
        <v>1</v>
      </c>
      <c r="C198" s="23" t="inlineStr">
        <is>
          <t>Kg</t>
        </is>
      </c>
      <c r="D198" s="25" t="inlineStr">
        <is>
          <t>Chocolate Blanco</t>
        </is>
      </c>
      <c r="E198" s="26" t="n"/>
      <c r="F198" s="26" t="n"/>
      <c r="G198" s="26" t="n"/>
      <c r="H198" s="26" t="n"/>
      <c r="I198" s="67" t="n"/>
      <c r="J198" s="210" t="n"/>
      <c r="K198" s="28" t="n"/>
      <c r="L198" s="28" t="n"/>
      <c r="M198" s="28" t="n"/>
      <c r="N198" s="28" t="n"/>
      <c r="O198" s="28" t="n"/>
      <c r="P198" s="28" t="n"/>
      <c r="Q198" s="28" t="n"/>
    </row>
    <row r="199">
      <c r="B199" s="68" t="n">
        <v>1</v>
      </c>
      <c r="C199" s="23" t="inlineStr">
        <is>
          <t>Kg</t>
        </is>
      </c>
      <c r="D199" s="25" t="inlineStr">
        <is>
          <t>Chocolate Leche</t>
        </is>
      </c>
      <c r="E199" s="26" t="n"/>
      <c r="F199" s="26" t="n"/>
      <c r="G199" s="26" t="n"/>
      <c r="H199" s="26" t="n"/>
      <c r="I199" s="67" t="n"/>
      <c r="J199" s="210" t="n"/>
      <c r="K199" s="28" t="n"/>
      <c r="L199" s="28" t="n"/>
      <c r="M199" s="28" t="n"/>
      <c r="N199" s="28" t="n"/>
      <c r="O199" s="28" t="n"/>
      <c r="P199" s="28" t="n"/>
      <c r="Q199" s="28" t="n"/>
    </row>
    <row r="200">
      <c r="B200" s="68" t="n">
        <v>1</v>
      </c>
      <c r="C200" s="23" t="inlineStr">
        <is>
          <t>Kg</t>
        </is>
      </c>
      <c r="D200" s="25" t="inlineStr">
        <is>
          <t>Chocolate Negro</t>
        </is>
      </c>
      <c r="E200" s="26" t="n"/>
      <c r="F200" s="26" t="n"/>
      <c r="G200" s="26" t="n"/>
      <c r="H200" s="26" t="n"/>
      <c r="I200" s="67" t="n"/>
      <c r="J200" s="210" t="n"/>
      <c r="K200" s="28" t="n"/>
      <c r="L200" s="28" t="n"/>
      <c r="M200" s="28" t="n"/>
      <c r="N200" s="28" t="n"/>
      <c r="O200" s="28" t="n"/>
      <c r="P200" s="28" t="n"/>
      <c r="Q200" s="28" t="n"/>
    </row>
    <row r="201">
      <c r="B201" s="68" t="n">
        <v>1</v>
      </c>
      <c r="C201" s="23" t="inlineStr">
        <is>
          <t>Kg</t>
        </is>
      </c>
      <c r="D201" s="25" t="inlineStr">
        <is>
          <t>Chocolate Neucober Cobertura</t>
        </is>
      </c>
      <c r="E201" s="26" t="n"/>
      <c r="F201" s="26" t="n"/>
      <c r="G201" s="26" t="n"/>
      <c r="H201" s="26" t="n"/>
      <c r="I201" s="67" t="n"/>
      <c r="J201" s="210" t="n"/>
      <c r="K201" s="28" t="n"/>
      <c r="L201" s="28" t="n"/>
      <c r="M201" s="28" t="n"/>
      <c r="N201" s="28" t="n"/>
      <c r="O201" s="28" t="n"/>
      <c r="P201" s="28" t="n"/>
      <c r="Q201" s="28" t="n"/>
    </row>
    <row r="202">
      <c r="B202" s="68" t="n">
        <v>1</v>
      </c>
      <c r="C202" s="23" t="inlineStr">
        <is>
          <t>Kg</t>
        </is>
      </c>
      <c r="D202" s="25" t="inlineStr">
        <is>
          <t>Chocolate Sicao Cobertura</t>
        </is>
      </c>
      <c r="E202" s="26" t="n"/>
      <c r="F202" s="26" t="n"/>
      <c r="G202" s="26" t="n"/>
      <c r="H202" s="26" t="n"/>
      <c r="I202" s="67" t="n"/>
      <c r="J202" s="210" t="n"/>
      <c r="K202" s="28" t="n"/>
      <c r="L202" s="28" t="n"/>
      <c r="M202" s="28" t="n"/>
      <c r="N202" s="28" t="n"/>
      <c r="O202" s="28" t="n"/>
      <c r="P202" s="28" t="n"/>
      <c r="Q202" s="28" t="n"/>
    </row>
    <row r="203">
      <c r="B203" s="68" t="n">
        <v>1</v>
      </c>
      <c r="C203" s="23" t="inlineStr">
        <is>
          <t>Und</t>
        </is>
      </c>
      <c r="D203" s="25" t="inlineStr">
        <is>
          <t>Discos de Chocolate</t>
        </is>
      </c>
      <c r="E203" s="26" t="n"/>
      <c r="F203" s="26" t="n"/>
      <c r="G203" s="26" t="n"/>
      <c r="H203" s="26" t="n"/>
      <c r="I203" s="67" t="n"/>
      <c r="J203" s="210" t="n"/>
      <c r="K203" s="28" t="n"/>
      <c r="L203" s="28" t="n"/>
      <c r="M203" s="28" t="n"/>
      <c r="N203" s="28" t="n"/>
      <c r="O203" s="28" t="n"/>
      <c r="P203" s="28" t="n"/>
      <c r="Q203" s="28" t="n"/>
    </row>
    <row r="204">
      <c r="B204" s="68" t="n">
        <v>4</v>
      </c>
      <c r="C204" s="23" t="inlineStr">
        <is>
          <t>Pax</t>
        </is>
      </c>
      <c r="D204" s="25" t="inlineStr">
        <is>
          <t>Empanada mechada</t>
        </is>
      </c>
      <c r="E204" s="26" t="n"/>
      <c r="F204" s="26" t="n"/>
      <c r="G204" s="26" t="n"/>
      <c r="H204" s="26" t="n"/>
      <c r="I204" s="67" t="n"/>
      <c r="J204" s="210" t="n"/>
      <c r="K204" s="28" t="n"/>
      <c r="L204" s="28" t="n"/>
      <c r="M204" s="28" t="n"/>
      <c r="N204" s="28" t="n"/>
      <c r="O204" s="28" t="n"/>
      <c r="P204" s="28" t="n"/>
      <c r="Q204" s="28" t="n"/>
    </row>
    <row r="205">
      <c r="B205" s="68" t="n">
        <v>1</v>
      </c>
      <c r="C205" s="23" t="inlineStr">
        <is>
          <t>Und</t>
        </is>
      </c>
      <c r="D205" s="25" t="inlineStr">
        <is>
          <t>Empanada mechada sueltas</t>
        </is>
      </c>
      <c r="E205" s="26" t="n"/>
      <c r="F205" s="26" t="n"/>
      <c r="G205" s="26" t="n"/>
      <c r="H205" s="26" t="n"/>
      <c r="I205" s="67" t="n"/>
      <c r="J205" s="210" t="n"/>
      <c r="K205" s="28" t="n"/>
      <c r="L205" s="28" t="n"/>
      <c r="M205" s="28" t="n"/>
      <c r="N205" s="28" t="n"/>
      <c r="O205" s="28" t="n"/>
      <c r="P205" s="28" t="n"/>
      <c r="Q205" s="28" t="n"/>
    </row>
    <row r="206">
      <c r="B206" s="68" t="n">
        <v>4</v>
      </c>
      <c r="C206" s="23" t="inlineStr">
        <is>
          <t>Pax</t>
        </is>
      </c>
      <c r="D206" s="25" t="inlineStr">
        <is>
          <t>Empanada pulpo</t>
        </is>
      </c>
      <c r="E206" s="26" t="n"/>
      <c r="F206" s="26" t="n"/>
      <c r="G206" s="26" t="n"/>
      <c r="H206" s="26" t="n"/>
      <c r="I206" s="67" t="n"/>
      <c r="J206" s="210" t="n"/>
      <c r="K206" s="28" t="n"/>
      <c r="L206" s="28" t="n"/>
      <c r="M206" s="28" t="n"/>
      <c r="N206" s="28" t="n"/>
      <c r="O206" s="28" t="n"/>
      <c r="P206" s="28" t="n"/>
      <c r="Q206" s="28" t="n"/>
    </row>
    <row r="207">
      <c r="B207" s="68" t="n">
        <v>1</v>
      </c>
      <c r="C207" s="23" t="inlineStr">
        <is>
          <t>Und</t>
        </is>
      </c>
      <c r="D207" s="25" t="inlineStr">
        <is>
          <t>Empanada pulpo sueltas</t>
        </is>
      </c>
      <c r="E207" s="26" t="n"/>
      <c r="F207" s="26" t="n"/>
      <c r="G207" s="26" t="n"/>
      <c r="H207" s="26" t="n"/>
      <c r="I207" s="67" t="n"/>
      <c r="J207" s="210" t="n"/>
      <c r="K207" s="28" t="n"/>
      <c r="L207" s="28" t="n"/>
      <c r="M207" s="28" t="n"/>
      <c r="N207" s="28" t="n"/>
      <c r="O207" s="28" t="n"/>
      <c r="P207" s="28" t="n"/>
      <c r="Q207" s="28" t="n"/>
    </row>
    <row r="208">
      <c r="B208" s="68" t="n">
        <v>1</v>
      </c>
      <c r="C208" s="23" t="inlineStr">
        <is>
          <t>Und</t>
        </is>
      </c>
      <c r="D208" s="27" t="inlineStr">
        <is>
          <t>Flan de caluga</t>
        </is>
      </c>
      <c r="E208" s="26" t="n"/>
      <c r="F208" s="26" t="n"/>
      <c r="G208" s="26" t="n"/>
      <c r="H208" s="26" t="n"/>
      <c r="I208" s="67" t="n"/>
      <c r="J208" s="210" t="n"/>
      <c r="K208" s="28" t="n"/>
      <c r="L208" s="28" t="n"/>
      <c r="M208" s="28" t="n"/>
      <c r="N208" s="28" t="n"/>
      <c r="O208" s="28" t="n"/>
      <c r="P208" s="28" t="n"/>
      <c r="Q208" s="28" t="n"/>
    </row>
    <row r="209">
      <c r="B209" s="68" t="n">
        <v>1</v>
      </c>
      <c r="C209" s="23" t="inlineStr">
        <is>
          <t>Und</t>
        </is>
      </c>
      <c r="D209" s="27" t="inlineStr">
        <is>
          <t>Granola salada</t>
        </is>
      </c>
      <c r="E209" s="26" t="n"/>
      <c r="F209" s="26" t="n"/>
      <c r="G209" s="26" t="n"/>
      <c r="H209" s="26" t="n"/>
      <c r="I209" s="67" t="n"/>
      <c r="J209" s="210" t="n"/>
      <c r="K209" s="28" t="n"/>
      <c r="L209" s="28" t="n"/>
      <c r="M209" s="28" t="n"/>
      <c r="N209" s="28" t="n"/>
      <c r="O209" s="28" t="n"/>
      <c r="P209" s="28" t="n"/>
      <c r="Q209" s="28" t="n"/>
    </row>
    <row r="210">
      <c r="B210" s="68" t="n">
        <v>1</v>
      </c>
      <c r="C210" s="23" t="inlineStr">
        <is>
          <t>Und</t>
        </is>
      </c>
      <c r="D210" s="25" t="inlineStr">
        <is>
          <t>Mix Conchas</t>
        </is>
      </c>
      <c r="E210" s="26" t="n"/>
      <c r="F210" s="26" t="n"/>
      <c r="G210" s="26" t="n"/>
      <c r="H210" s="26" t="n"/>
      <c r="I210" s="67" t="n"/>
      <c r="J210" s="210" t="n"/>
      <c r="K210" s="28" t="n"/>
      <c r="L210" s="28" t="n"/>
      <c r="M210" s="28" t="n"/>
      <c r="N210" s="28" t="n"/>
      <c r="O210" s="28" t="n"/>
      <c r="P210" s="28" t="n"/>
      <c r="Q210" s="28" t="n"/>
    </row>
    <row r="211">
      <c r="B211" s="68" t="n">
        <v>1</v>
      </c>
      <c r="C211" s="23" t="inlineStr">
        <is>
          <t>Kg</t>
        </is>
      </c>
      <c r="D211" s="25" t="inlineStr">
        <is>
          <t>Nutella</t>
        </is>
      </c>
      <c r="E211" s="26" t="n"/>
      <c r="F211" s="26" t="n"/>
      <c r="G211" s="26" t="n"/>
      <c r="H211" s="26" t="n"/>
      <c r="I211" s="67" t="n"/>
      <c r="J211" s="210" t="n"/>
      <c r="K211" s="28" t="n"/>
      <c r="L211" s="28" t="n"/>
      <c r="M211" s="28" t="n"/>
      <c r="N211" s="28" t="n"/>
      <c r="O211" s="28" t="n"/>
      <c r="P211" s="28" t="n"/>
      <c r="Q211" s="28" t="n"/>
    </row>
    <row r="212">
      <c r="B212" s="68" t="n">
        <v>1</v>
      </c>
      <c r="C212" s="23" t="inlineStr">
        <is>
          <t>Und</t>
        </is>
      </c>
      <c r="D212" s="25" t="inlineStr">
        <is>
          <t>Queso Mozzarella</t>
        </is>
      </c>
      <c r="E212" s="26" t="n"/>
      <c r="F212" s="26" t="n"/>
      <c r="G212" s="26" t="n"/>
      <c r="H212" s="26" t="n"/>
      <c r="I212" s="67" t="n"/>
      <c r="J212" s="210" t="n"/>
      <c r="K212" s="28" t="n"/>
      <c r="L212" s="28" t="n"/>
      <c r="M212" s="28" t="n"/>
      <c r="N212" s="28" t="n"/>
      <c r="O212" s="28" t="n"/>
      <c r="P212" s="28" t="n"/>
      <c r="Q212" s="28" t="n"/>
    </row>
    <row r="213">
      <c r="B213" s="68" t="n">
        <v>8</v>
      </c>
      <c r="C213" s="23" t="inlineStr">
        <is>
          <t>Porción</t>
        </is>
      </c>
      <c r="D213" s="70" t="inlineStr">
        <is>
          <t>Sorrentinos carne mechada</t>
        </is>
      </c>
      <c r="E213" s="26" t="n"/>
      <c r="F213" s="26" t="n"/>
      <c r="G213" s="26" t="n"/>
      <c r="H213" s="26" t="n"/>
      <c r="I213" s="67" t="n"/>
      <c r="J213" s="210" t="n"/>
      <c r="K213" s="4" t="n"/>
      <c r="L213" s="4" t="n"/>
      <c r="M213" s="4" t="n"/>
      <c r="N213" s="4" t="n"/>
      <c r="O213" s="4" t="n"/>
      <c r="P213" s="4" t="n"/>
      <c r="Q213" s="4" t="n"/>
    </row>
    <row r="214">
      <c r="B214" s="68" t="n">
        <v>7</v>
      </c>
      <c r="C214" s="23" t="inlineStr">
        <is>
          <t>Porción</t>
        </is>
      </c>
      <c r="D214" s="70" t="inlineStr">
        <is>
          <t>Sorrentinos pulpo y salmón</t>
        </is>
      </c>
      <c r="E214" s="26" t="n"/>
      <c r="F214" s="26" t="n"/>
      <c r="G214" s="26" t="n"/>
      <c r="H214" s="26" t="n"/>
      <c r="I214" s="67" t="n"/>
      <c r="J214" s="210" t="n"/>
      <c r="K214" s="4" t="n"/>
      <c r="L214" s="4" t="n"/>
      <c r="M214" s="4" t="n"/>
      <c r="N214" s="4" t="n"/>
      <c r="O214" s="4" t="n"/>
      <c r="P214" s="4" t="n"/>
      <c r="Q214" s="4" t="n"/>
    </row>
    <row r="215">
      <c r="B215" s="68" t="n">
        <v>8</v>
      </c>
      <c r="C215" s="23" t="inlineStr">
        <is>
          <t>Porción</t>
        </is>
      </c>
      <c r="D215" s="25" t="inlineStr">
        <is>
          <t>Sorrentinos zapallo</t>
        </is>
      </c>
      <c r="E215" s="26" t="n"/>
      <c r="F215" s="26" t="n"/>
      <c r="G215" s="26" t="n"/>
      <c r="H215" s="26" t="n"/>
      <c r="I215" s="67" t="n"/>
      <c r="J215" s="210" t="n"/>
      <c r="K215" s="4" t="n"/>
      <c r="L215" s="4" t="n"/>
      <c r="M215" s="4" t="n"/>
      <c r="N215" s="4" t="n"/>
      <c r="O215" s="4" t="n"/>
      <c r="P215" s="4" t="n"/>
      <c r="Q215" s="4" t="n"/>
    </row>
    <row r="216" ht="13.5" customHeight="1" s="95" thickBot="1">
      <c r="B216" s="71" t="n">
        <v>1</v>
      </c>
      <c r="C216" s="75" t="inlineStr">
        <is>
          <t>Und</t>
        </is>
      </c>
      <c r="D216" s="174" t="inlineStr">
        <is>
          <t>Volcán de chocolate</t>
        </is>
      </c>
      <c r="E216" s="72" t="n"/>
      <c r="F216" s="72" t="n"/>
      <c r="G216" s="72" t="n"/>
      <c r="H216" s="72" t="n"/>
      <c r="I216" s="73" t="n"/>
      <c r="J216" s="210" t="n"/>
      <c r="K216" s="4" t="n"/>
      <c r="L216" s="4" t="n"/>
      <c r="M216" s="4" t="n"/>
      <c r="N216" s="4" t="n"/>
      <c r="O216" s="4" t="n"/>
      <c r="P216" s="4" t="n"/>
      <c r="Q216" s="4" t="n"/>
    </row>
    <row r="217">
      <c r="B217" s="4" t="n"/>
      <c r="C217" s="4" t="n"/>
      <c r="D217" s="4" t="n"/>
      <c r="E217" s="4" t="n"/>
      <c r="F217" s="4" t="n"/>
      <c r="G217" s="4" t="n"/>
      <c r="H217" s="4" t="n"/>
      <c r="I217" s="4" t="n"/>
      <c r="J217" s="5" t="n"/>
      <c r="K217" s="4" t="n"/>
      <c r="L217" s="4" t="n"/>
      <c r="M217" s="4" t="n"/>
      <c r="N217" s="4" t="n"/>
      <c r="O217" s="4" t="n"/>
      <c r="P217" s="4" t="n"/>
      <c r="Q217" s="4" t="n"/>
    </row>
    <row r="218" ht="13.5" customHeight="1" s="95" thickBot="1"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</row>
    <row r="219" ht="13.5" customHeight="1" s="95" thickBot="1">
      <c r="B219" s="4" t="n"/>
      <c r="C219" s="4" t="n"/>
      <c r="D219" s="317" t="inlineStr">
        <is>
          <t>ENTREGAS A COCINA/SALIDA DE BODEGA</t>
        </is>
      </c>
      <c r="E219" s="318" t="n"/>
      <c r="F219" s="319" t="n"/>
      <c r="G219" s="209" t="n"/>
      <c r="H219" s="209" t="n"/>
      <c r="I219" s="209" t="n"/>
      <c r="J219" s="4" t="n"/>
      <c r="K219" s="4" t="n"/>
      <c r="L219" s="4" t="n"/>
      <c r="M219" s="4" t="n"/>
      <c r="N219" s="4" t="n"/>
      <c r="O219" s="4" t="n"/>
      <c r="P219" s="4" t="n"/>
      <c r="Q219" s="4" t="n"/>
    </row>
    <row r="220" ht="13.5" customHeight="1" s="95" thickTop="1">
      <c r="B220" s="4" t="n"/>
      <c r="C220" s="4" t="n"/>
      <c r="D220" s="57" t="inlineStr">
        <is>
          <t>Ítem</t>
        </is>
      </c>
      <c r="E220" s="29" t="inlineStr">
        <is>
          <t>Cant.</t>
        </is>
      </c>
      <c r="F220" s="58" t="inlineStr">
        <is>
          <t>Medida</t>
        </is>
      </c>
      <c r="G220" s="209" t="inlineStr">
        <is>
          <t> </t>
        </is>
      </c>
      <c r="I220" s="209" t="n"/>
      <c r="J220" s="4" t="n"/>
      <c r="K220" s="4" t="n"/>
      <c r="L220" s="4" t="n"/>
      <c r="M220" s="4" t="n"/>
      <c r="N220" s="4" t="n"/>
      <c r="O220" s="4" t="n"/>
      <c r="P220" s="4" t="n"/>
      <c r="Q220" s="4" t="n"/>
    </row>
    <row r="221">
      <c r="B221" s="4" t="n"/>
      <c r="C221" s="4" t="n"/>
      <c r="D221" s="35" t="inlineStr">
        <is>
          <t>Atún Steak</t>
        </is>
      </c>
      <c r="E221" s="320" t="n"/>
      <c r="F221" s="59" t="inlineStr">
        <is>
          <t>Kg</t>
        </is>
      </c>
      <c r="G221" s="209" t="n"/>
      <c r="H221" s="209" t="n"/>
      <c r="I221" s="209" t="n"/>
      <c r="J221" s="209" t="n"/>
      <c r="K221" s="4" t="n"/>
      <c r="L221" s="4" t="n"/>
      <c r="M221" s="4" t="n"/>
      <c r="N221" s="4" t="n"/>
      <c r="O221" s="4" t="n"/>
      <c r="P221" s="4" t="n"/>
      <c r="Q221" s="4" t="n"/>
    </row>
    <row r="222">
      <c r="B222" s="4" t="n"/>
      <c r="C222" s="4" t="n"/>
      <c r="D222" s="35" t="inlineStr">
        <is>
          <t>Atún trozos</t>
        </is>
      </c>
      <c r="E222" s="320" t="n"/>
      <c r="F222" s="59" t="inlineStr">
        <is>
          <t>Kg</t>
        </is>
      </c>
      <c r="G222" s="209" t="n"/>
      <c r="H222" s="209" t="n"/>
      <c r="I222" s="209" t="n"/>
      <c r="J222" s="4" t="n"/>
      <c r="K222" s="4" t="n"/>
      <c r="L222" s="4" t="n"/>
      <c r="M222" s="4" t="n"/>
      <c r="N222" s="4" t="n"/>
      <c r="O222" s="4" t="n"/>
      <c r="P222" s="4" t="n"/>
      <c r="Q222" s="4" t="n"/>
    </row>
    <row r="223">
      <c r="B223" s="4" t="n"/>
      <c r="C223" s="4" t="n"/>
      <c r="D223" s="35" t="inlineStr">
        <is>
          <t>Carpaccio de res</t>
        </is>
      </c>
      <c r="E223" s="320" t="n"/>
      <c r="F223" s="59" t="inlineStr">
        <is>
          <t>Kg</t>
        </is>
      </c>
      <c r="G223" s="209" t="n"/>
      <c r="H223" s="209" t="n"/>
      <c r="I223" s="209" t="n"/>
      <c r="J223" s="4" t="n"/>
      <c r="K223" s="4" t="n"/>
      <c r="L223" s="4" t="n"/>
      <c r="M223" s="4" t="n"/>
      <c r="N223" s="4" t="n"/>
      <c r="O223" s="4" t="n"/>
      <c r="P223" s="4" t="n"/>
      <c r="Q223" s="4" t="n"/>
    </row>
    <row r="224">
      <c r="B224" s="4" t="n"/>
      <c r="C224" s="4" t="n"/>
      <c r="D224" s="35" t="inlineStr">
        <is>
          <t>Ceviche de reineta</t>
        </is>
      </c>
      <c r="E224" s="320" t="n"/>
      <c r="F224" s="59" t="inlineStr">
        <is>
          <t>Kg</t>
        </is>
      </c>
      <c r="G224" s="209" t="n"/>
      <c r="H224" s="209" t="n"/>
      <c r="I224" s="209" t="n"/>
      <c r="J224" s="4" t="n"/>
      <c r="K224" s="4" t="n"/>
      <c r="L224" s="4" t="n"/>
      <c r="M224" s="4" t="n"/>
      <c r="N224" s="4" t="n"/>
      <c r="O224" s="4" t="n"/>
      <c r="P224" s="4" t="n"/>
      <c r="Q224" s="4" t="n"/>
    </row>
    <row r="225">
      <c r="B225" s="4" t="n"/>
      <c r="C225" s="4" t="n"/>
      <c r="D225" s="35" t="inlineStr">
        <is>
          <t>Empanada Mechada</t>
        </is>
      </c>
      <c r="E225" s="320" t="n"/>
      <c r="F225" s="59" t="inlineStr">
        <is>
          <t>Und</t>
        </is>
      </c>
      <c r="G225" s="209" t="n"/>
      <c r="H225" s="209" t="n"/>
      <c r="I225" s="209" t="n"/>
      <c r="J225" s="4" t="n"/>
      <c r="K225" s="4" t="n"/>
      <c r="L225" s="4" t="n"/>
      <c r="M225" s="4" t="n"/>
      <c r="N225" s="4" t="n"/>
      <c r="O225" s="4" t="n"/>
      <c r="P225" s="4" t="n"/>
      <c r="Q225" s="4" t="n"/>
    </row>
    <row r="226">
      <c r="B226" s="4" t="n"/>
      <c r="C226" s="4" t="n"/>
      <c r="D226" s="151" t="inlineStr">
        <is>
          <t>Filete para churrasco</t>
        </is>
      </c>
      <c r="E226" s="320" t="n"/>
      <c r="F226" s="59" t="inlineStr">
        <is>
          <t>Kg</t>
        </is>
      </c>
      <c r="G226" s="209" t="n"/>
      <c r="H226" s="209" t="n"/>
      <c r="I226" s="209" t="n"/>
      <c r="J226" s="4" t="n"/>
      <c r="K226" s="4" t="n"/>
      <c r="L226" s="4" t="n"/>
      <c r="M226" s="4" t="n"/>
      <c r="N226" s="4" t="n"/>
      <c r="O226" s="4" t="n"/>
      <c r="P226" s="4" t="n"/>
      <c r="Q226" s="4" t="n"/>
    </row>
    <row r="227">
      <c r="B227" s="4" t="n"/>
      <c r="C227" s="4" t="n"/>
      <c r="D227" s="151" t="inlineStr">
        <is>
          <t>Filete para crudo</t>
        </is>
      </c>
      <c r="E227" s="320" t="n"/>
      <c r="F227" s="59" t="inlineStr">
        <is>
          <t>Kg</t>
        </is>
      </c>
      <c r="G227" s="209" t="n"/>
      <c r="H227" s="209" t="n"/>
      <c r="I227" s="209" t="n"/>
      <c r="J227" s="4" t="n"/>
      <c r="K227" s="4" t="n"/>
      <c r="L227" s="4" t="n"/>
      <c r="M227" s="4" t="n"/>
      <c r="N227" s="4" t="n"/>
      <c r="O227" s="4" t="n"/>
      <c r="P227" s="4" t="n"/>
      <c r="Q227" s="4" t="n"/>
    </row>
    <row r="228">
      <c r="B228" s="4" t="n"/>
      <c r="C228" s="4" t="n"/>
      <c r="D228" s="35" t="inlineStr">
        <is>
          <t>Filete salteado</t>
        </is>
      </c>
      <c r="E228" s="320" t="n"/>
      <c r="F228" s="59" t="inlineStr">
        <is>
          <t>Kg</t>
        </is>
      </c>
      <c r="G228" s="209" t="n"/>
      <c r="H228" s="209" t="n"/>
      <c r="I228" s="209" t="n"/>
      <c r="J228" s="4" t="n"/>
      <c r="K228" s="4" t="n"/>
      <c r="L228" s="4" t="n"/>
      <c r="M228" s="4" t="n"/>
      <c r="N228" s="4" t="n"/>
      <c r="O228" s="4" t="n"/>
      <c r="P228" s="4" t="n"/>
      <c r="Q228" s="4" t="n"/>
    </row>
    <row r="229">
      <c r="B229" s="4" t="n"/>
      <c r="C229" s="4" t="n"/>
      <c r="D229" s="97" t="inlineStr">
        <is>
          <t>Ganso</t>
        </is>
      </c>
      <c r="E229" s="320" t="n"/>
      <c r="F229" s="59" t="inlineStr">
        <is>
          <t>Kg</t>
        </is>
      </c>
      <c r="G229" s="209" t="n"/>
      <c r="H229" s="209" t="n"/>
      <c r="I229" s="209" t="n"/>
      <c r="J229" s="4" t="n"/>
      <c r="K229" s="4" t="n"/>
      <c r="L229" s="4" t="n"/>
      <c r="M229" s="4" t="n"/>
      <c r="N229" s="4" t="n"/>
      <c r="O229" s="4" t="n"/>
      <c r="P229" s="4" t="n"/>
      <c r="Q229" s="4" t="n"/>
    </row>
    <row r="230">
      <c r="B230" s="4" t="n"/>
      <c r="C230" s="4" t="n"/>
      <c r="D230" s="35" t="inlineStr">
        <is>
          <t>Granola Salada</t>
        </is>
      </c>
      <c r="E230" s="320" t="n"/>
      <c r="F230" s="59" t="inlineStr">
        <is>
          <t>Und</t>
        </is>
      </c>
      <c r="G230" s="209" t="n"/>
      <c r="H230" s="209" t="n"/>
      <c r="I230" s="209" t="n"/>
      <c r="J230" s="4" t="n"/>
      <c r="K230" s="4" t="n"/>
      <c r="L230" s="4" t="n"/>
      <c r="M230" s="4" t="n"/>
      <c r="N230" s="4" t="n"/>
      <c r="O230" s="4" t="n"/>
      <c r="P230" s="4" t="n"/>
      <c r="Q230" s="4" t="n"/>
    </row>
    <row r="231">
      <c r="B231" s="4" t="n"/>
      <c r="C231" s="4" t="n"/>
      <c r="D231" s="35" t="inlineStr">
        <is>
          <t>Hamburguesas</t>
        </is>
      </c>
      <c r="E231" s="320" t="n"/>
      <c r="F231" s="59" t="inlineStr">
        <is>
          <t>Kg</t>
        </is>
      </c>
      <c r="G231" s="209" t="n"/>
      <c r="H231" s="209" t="n"/>
      <c r="I231" s="209" t="n"/>
      <c r="J231" s="4" t="n"/>
      <c r="K231" s="4" t="n"/>
      <c r="L231" s="4" t="n"/>
      <c r="M231" s="4" t="n"/>
      <c r="N231" s="4" t="n"/>
      <c r="O231" s="4" t="n"/>
      <c r="P231" s="4" t="n"/>
      <c r="Q231" s="4" t="n"/>
    </row>
    <row r="232">
      <c r="B232" s="4" t="n"/>
      <c r="C232" s="4" t="n"/>
      <c r="D232" s="35" t="inlineStr">
        <is>
          <t>Jamón Serrano</t>
        </is>
      </c>
      <c r="E232" s="320" t="n"/>
      <c r="F232" s="59" t="inlineStr">
        <is>
          <t>Kg</t>
        </is>
      </c>
      <c r="G232" s="209" t="n"/>
      <c r="H232" s="209" t="n"/>
      <c r="I232" s="209" t="n"/>
      <c r="J232" s="4" t="n"/>
      <c r="K232" s="4" t="n"/>
      <c r="L232" s="4" t="n"/>
      <c r="M232" s="4" t="n"/>
      <c r="N232" s="4" t="n"/>
      <c r="O232" s="4" t="n"/>
      <c r="P232" s="4" t="n"/>
      <c r="Q232" s="4" t="n"/>
    </row>
    <row r="233">
      <c r="B233" s="4" t="n"/>
      <c r="C233" s="4" t="n"/>
      <c r="D233" s="35" t="inlineStr">
        <is>
          <t>Lomo liso</t>
        </is>
      </c>
      <c r="E233" s="320" t="n"/>
      <c r="F233" s="59" t="inlineStr">
        <is>
          <t>Kg</t>
        </is>
      </c>
      <c r="G233" s="209" t="n"/>
      <c r="H233" s="209" t="n"/>
      <c r="I233" s="209" t="n"/>
      <c r="J233" s="4" t="n"/>
      <c r="K233" s="4" t="n"/>
      <c r="L233" s="4" t="n"/>
      <c r="M233" s="4" t="n"/>
      <c r="N233" s="4" t="n"/>
      <c r="O233" s="4" t="n"/>
      <c r="P233" s="4" t="n"/>
      <c r="Q233" s="4" t="n"/>
    </row>
    <row r="234">
      <c r="B234" s="4" t="n"/>
      <c r="C234" s="4" t="n"/>
      <c r="D234" s="35" t="inlineStr">
        <is>
          <t>Plateada</t>
        </is>
      </c>
      <c r="E234" s="320" t="n"/>
      <c r="F234" s="59" t="inlineStr">
        <is>
          <t>Kg</t>
        </is>
      </c>
      <c r="G234" s="209" t="n"/>
      <c r="H234" s="209" t="n"/>
      <c r="I234" s="209" t="n"/>
      <c r="J234" s="4" t="n"/>
      <c r="K234" s="4" t="n"/>
      <c r="L234" s="4" t="n"/>
      <c r="M234" s="4" t="n"/>
      <c r="N234" s="4" t="n"/>
      <c r="O234" s="4" t="n"/>
      <c r="P234" s="4" t="n"/>
      <c r="Q234" s="4" t="n"/>
    </row>
    <row r="235">
      <c r="B235" s="4" t="n"/>
      <c r="C235" s="4" t="n"/>
      <c r="D235" s="35" t="inlineStr">
        <is>
          <t>Pulpo</t>
        </is>
      </c>
      <c r="E235" s="320" t="n"/>
      <c r="F235" s="59" t="inlineStr">
        <is>
          <t>Kg</t>
        </is>
      </c>
      <c r="G235" s="209" t="n"/>
      <c r="H235" s="209" t="n"/>
      <c r="I235" s="209" t="n"/>
      <c r="J235" s="4" t="n"/>
      <c r="K235" s="4" t="n"/>
      <c r="L235" s="4" t="n"/>
      <c r="M235" s="4" t="n"/>
      <c r="N235" s="4" t="n"/>
      <c r="O235" s="4" t="n"/>
      <c r="P235" s="4" t="n"/>
      <c r="Q235" s="4" t="n"/>
    </row>
    <row r="236">
      <c r="B236" s="4" t="n"/>
      <c r="C236" s="4" t="n"/>
      <c r="D236" s="35" t="inlineStr">
        <is>
          <t>Queso Mozzarella</t>
        </is>
      </c>
      <c r="E236" s="320" t="n"/>
      <c r="F236" s="59" t="inlineStr">
        <is>
          <t>Und</t>
        </is>
      </c>
      <c r="G236" s="209" t="n"/>
      <c r="H236" s="209" t="n"/>
      <c r="I236" s="209" t="n"/>
      <c r="J236" s="4" t="n"/>
      <c r="K236" s="4" t="n"/>
      <c r="L236" s="4" t="n"/>
      <c r="M236" s="4" t="n"/>
      <c r="N236" s="4" t="n"/>
      <c r="O236" s="4" t="n"/>
      <c r="P236" s="4" t="n"/>
      <c r="Q236" s="4" t="n"/>
    </row>
    <row r="237">
      <c r="B237" s="4" t="n"/>
      <c r="C237" s="4" t="n"/>
      <c r="D237" s="35" t="inlineStr">
        <is>
          <t>Salmón Ahumado en Caliente</t>
        </is>
      </c>
      <c r="E237" s="320" t="n"/>
      <c r="F237" s="59" t="inlineStr">
        <is>
          <t>Kg</t>
        </is>
      </c>
      <c r="G237" s="209" t="n"/>
      <c r="H237" s="209" t="n"/>
      <c r="I237" s="209" t="n"/>
      <c r="J237" s="4" t="n"/>
      <c r="K237" s="4" t="n"/>
      <c r="L237" s="4" t="n"/>
      <c r="M237" s="4" t="n"/>
      <c r="N237" s="4" t="n"/>
      <c r="O237" s="4" t="n"/>
      <c r="P237" s="4" t="n"/>
      <c r="Q237" s="4" t="n"/>
    </row>
    <row r="238">
      <c r="B238" s="4" t="n"/>
      <c r="C238" s="4" t="n"/>
      <c r="D238" s="60" t="inlineStr">
        <is>
          <t>Salmón cancato</t>
        </is>
      </c>
      <c r="E238" s="321" t="n"/>
      <c r="F238" s="61" t="inlineStr">
        <is>
          <t>Kg</t>
        </is>
      </c>
      <c r="G238" s="209" t="n"/>
      <c r="H238" s="209" t="n"/>
      <c r="I238" s="209" t="n"/>
      <c r="J238" s="4" t="n"/>
      <c r="K238" s="4" t="n"/>
      <c r="L238" s="4" t="n"/>
      <c r="M238" s="4" t="n"/>
      <c r="N238" s="4" t="n"/>
      <c r="O238" s="4" t="n"/>
      <c r="P238" s="4" t="n"/>
      <c r="Q238" s="4" t="n"/>
    </row>
    <row r="239">
      <c r="B239" s="4" t="n"/>
      <c r="C239" s="4" t="n"/>
      <c r="D239" s="60" t="inlineStr">
        <is>
          <t>Salmón fresco premium</t>
        </is>
      </c>
      <c r="E239" s="321" t="n"/>
      <c r="F239" s="61" t="inlineStr">
        <is>
          <t>Kg</t>
        </is>
      </c>
      <c r="G239" s="209" t="n"/>
      <c r="H239" s="209" t="n"/>
      <c r="I239" s="209" t="n"/>
      <c r="J239" s="4" t="n"/>
      <c r="K239" s="4" t="n"/>
      <c r="L239" s="4" t="n"/>
      <c r="M239" s="4" t="n"/>
      <c r="N239" s="4" t="n"/>
      <c r="O239" s="4" t="n"/>
      <c r="P239" s="4" t="n"/>
      <c r="Q239" s="4" t="n"/>
    </row>
    <row r="240">
      <c r="B240" s="4" t="n"/>
      <c r="C240" s="4" t="n"/>
      <c r="D240" s="35" t="inlineStr">
        <is>
          <t>Sorrentinos carne mechada</t>
        </is>
      </c>
      <c r="E240" s="321" t="n"/>
      <c r="F240" s="61" t="inlineStr">
        <is>
          <t>Porción</t>
        </is>
      </c>
      <c r="G240" s="209" t="n"/>
      <c r="H240" s="209" t="n"/>
      <c r="I240" s="209" t="n"/>
      <c r="J240" s="4" t="n"/>
      <c r="K240" s="4" t="n"/>
      <c r="L240" s="4" t="n"/>
      <c r="M240" s="4" t="n"/>
      <c r="N240" s="4" t="n"/>
      <c r="O240" s="4" t="n"/>
      <c r="P240" s="4" t="n"/>
      <c r="Q240" s="4" t="n"/>
    </row>
    <row r="241">
      <c r="B241" s="4" t="n"/>
      <c r="C241" s="4" t="n"/>
      <c r="D241" s="35" t="inlineStr">
        <is>
          <t>Sorrentinos pulpo y salmón</t>
        </is>
      </c>
      <c r="E241" s="321" t="n"/>
      <c r="F241" s="61" t="inlineStr">
        <is>
          <t>Porción</t>
        </is>
      </c>
      <c r="G241" s="209" t="n"/>
      <c r="H241" s="209" t="n"/>
      <c r="I241" s="209" t="n"/>
      <c r="J241" s="4" t="n"/>
      <c r="K241" s="4" t="n"/>
      <c r="L241" s="4" t="n"/>
      <c r="M241" s="4" t="n"/>
      <c r="N241" s="4" t="n"/>
      <c r="O241" s="4" t="n"/>
      <c r="P241" s="4" t="n"/>
      <c r="Q241" s="4" t="n"/>
    </row>
    <row r="242" ht="13.5" customHeight="1" s="95" thickBot="1">
      <c r="B242" s="4" t="n"/>
      <c r="C242" s="4" t="n"/>
      <c r="D242" s="62" t="inlineStr">
        <is>
          <t>Sorrentinos zapallo</t>
        </is>
      </c>
      <c r="E242" s="322" t="n"/>
      <c r="F242" s="64" t="inlineStr">
        <is>
          <t>Porción</t>
        </is>
      </c>
      <c r="G242" s="209" t="n"/>
      <c r="H242" s="209" t="n"/>
      <c r="I242" s="209" t="n"/>
      <c r="J242" s="4" t="n"/>
      <c r="K242" s="4" t="n"/>
      <c r="L242" s="4" t="n"/>
      <c r="M242" s="4" t="n"/>
      <c r="N242" s="4" t="n"/>
      <c r="O242" s="4" t="n"/>
      <c r="P242" s="4" t="n"/>
      <c r="Q242" s="4" t="n"/>
    </row>
    <row r="243">
      <c r="G243" s="209" t="n"/>
      <c r="H243" s="209" t="n"/>
      <c r="I243" s="209" t="n"/>
    </row>
    <row r="244" ht="13.5" customHeight="1" s="95" thickBot="1"/>
    <row r="245" ht="14.25" customHeight="1" s="95" thickBot="1" thickTop="1">
      <c r="D245" s="323" t="inlineStr">
        <is>
          <t xml:space="preserve">ENTREGAS DE PROTEINAS PARA PRODUCCIONES DE COCINA </t>
        </is>
      </c>
      <c r="E245" s="324" t="n"/>
      <c r="F245" s="324" t="n"/>
      <c r="G245" s="325" t="n"/>
    </row>
    <row r="246" ht="13.5" customHeight="1" s="95" thickBot="1">
      <c r="B246" s="211" t="n"/>
      <c r="C246" s="212" t="inlineStr">
        <is>
          <t>Medida</t>
        </is>
      </c>
      <c r="D246" s="101" t="inlineStr">
        <is>
          <t>Producto</t>
        </is>
      </c>
      <c r="E246" s="101" t="inlineStr">
        <is>
          <t>Cantidad</t>
        </is>
      </c>
      <c r="F246" s="101" t="inlineStr">
        <is>
          <t>Producto Final</t>
        </is>
      </c>
      <c r="G246" s="101" t="inlineStr">
        <is>
          <t>Medida</t>
        </is>
      </c>
      <c r="H246" s="142" t="inlineStr">
        <is>
          <t>Cantidad Producida</t>
        </is>
      </c>
      <c r="I246" s="326" t="n"/>
      <c r="J246" s="101" t="inlineStr">
        <is>
          <t>Mermas (Kg)</t>
        </is>
      </c>
      <c r="K246" s="102" t="inlineStr">
        <is>
          <t>Cant. Utilizada</t>
        </is>
      </c>
      <c r="L246" s="56" t="n"/>
    </row>
    <row r="247">
      <c r="B247" s="213" t="n"/>
      <c r="C247" s="214" t="inlineStr">
        <is>
          <t>Kg</t>
        </is>
      </c>
      <c r="D247" s="100" t="inlineStr">
        <is>
          <t>Despunte de pulpo</t>
        </is>
      </c>
      <c r="E247" s="99" t="n"/>
      <c r="F247" s="215" t="inlineStr">
        <is>
          <t>Empanadas de pulpo</t>
        </is>
      </c>
      <c r="G247" s="100" t="inlineStr">
        <is>
          <t>Pax</t>
        </is>
      </c>
      <c r="H247" s="327" t="n"/>
      <c r="I247" s="328" t="n"/>
      <c r="J247" s="263" t="n"/>
      <c r="K247" s="264" t="n"/>
      <c r="L247" s="213" t="n"/>
    </row>
    <row r="248">
      <c r="B248" s="213" t="n"/>
      <c r="C248" s="216" t="inlineStr">
        <is>
          <t>Kg</t>
        </is>
      </c>
      <c r="D248" s="220" t="inlineStr">
        <is>
          <t>Langostinos</t>
        </is>
      </c>
      <c r="E248" s="255" t="n"/>
      <c r="F248" s="218" t="inlineStr">
        <is>
          <t>Brocheta de Langostinos</t>
        </is>
      </c>
      <c r="G248" s="122" t="inlineStr">
        <is>
          <t>Pax</t>
        </is>
      </c>
      <c r="H248" s="255" t="n"/>
      <c r="I248" s="329" t="n"/>
      <c r="J248" s="265" t="n"/>
      <c r="K248" s="266" t="n"/>
      <c r="L248" s="209" t="n"/>
    </row>
    <row r="249">
      <c r="B249" s="213" t="n"/>
      <c r="C249" s="238" t="inlineStr">
        <is>
          <t>Und</t>
        </is>
      </c>
      <c r="D249" s="1" t="inlineStr">
        <is>
          <t>Locos</t>
        </is>
      </c>
      <c r="E249" s="330" t="n"/>
      <c r="F249" s="218" t="inlineStr">
        <is>
          <t>Loco tiradito</t>
        </is>
      </c>
      <c r="G249" s="220" t="inlineStr">
        <is>
          <t>Kg</t>
        </is>
      </c>
      <c r="H249" s="331" t="n"/>
      <c r="I249" s="329" t="n"/>
      <c r="J249" s="265" t="n"/>
      <c r="K249" s="266" t="n"/>
      <c r="L249" s="209" t="n"/>
    </row>
    <row r="250">
      <c r="B250" s="213" t="n"/>
      <c r="C250" s="216" t="inlineStr">
        <is>
          <t>Kg</t>
        </is>
      </c>
      <c r="D250" s="54" t="inlineStr">
        <is>
          <t>Merluza</t>
        </is>
      </c>
      <c r="E250" s="255" t="n"/>
      <c r="F250" s="122" t="inlineStr">
        <is>
          <t>Merluza Porcionada</t>
        </is>
      </c>
      <c r="G250" s="220" t="inlineStr">
        <is>
          <t>Kg</t>
        </is>
      </c>
      <c r="H250" s="332" t="n"/>
      <c r="I250" s="333" t="n"/>
      <c r="J250" s="265" t="n"/>
      <c r="K250" s="266" t="n"/>
      <c r="L250" s="209" t="n"/>
    </row>
    <row r="251">
      <c r="B251" s="213" t="n"/>
      <c r="C251" s="216" t="inlineStr">
        <is>
          <t>Kg</t>
        </is>
      </c>
      <c r="D251" s="1" t="inlineStr">
        <is>
          <t>Reineta</t>
        </is>
      </c>
      <c r="E251" s="255" t="n"/>
      <c r="F251" s="218" t="inlineStr">
        <is>
          <t>Ceviche de Reineta</t>
        </is>
      </c>
      <c r="G251" s="122" t="inlineStr">
        <is>
          <t>Kg</t>
        </is>
      </c>
      <c r="H251" s="255" t="n"/>
      <c r="I251" s="329" t="n"/>
      <c r="J251" s="265" t="n"/>
      <c r="K251" s="266" t="n"/>
      <c r="L251" s="209" t="n"/>
    </row>
    <row r="252">
      <c r="B252" s="213" t="n"/>
      <c r="C252" s="216" t="inlineStr">
        <is>
          <t>Kg</t>
        </is>
      </c>
      <c r="D252" s="1" t="inlineStr">
        <is>
          <t>Congrio</t>
        </is>
      </c>
      <c r="E252" s="255" t="n"/>
      <c r="F252" s="218" t="inlineStr">
        <is>
          <t>Congrio Porcionado</t>
        </is>
      </c>
      <c r="G252" s="122" t="inlineStr">
        <is>
          <t>Kg</t>
        </is>
      </c>
      <c r="H252" s="255" t="n"/>
      <c r="I252" s="329" t="n"/>
      <c r="J252" s="265" t="n"/>
      <c r="K252" s="266" t="n"/>
      <c r="L252" s="209" t="n"/>
    </row>
    <row r="253">
      <c r="B253" s="213" t="n"/>
      <c r="C253" s="216" t="inlineStr">
        <is>
          <t>Kg</t>
        </is>
      </c>
      <c r="D253" s="1" t="inlineStr">
        <is>
          <t>Mejillones</t>
        </is>
      </c>
      <c r="E253" s="255" t="n"/>
      <c r="F253" s="220" t="inlineStr">
        <is>
          <t>Mix Conchas</t>
        </is>
      </c>
      <c r="G253" s="122" t="inlineStr">
        <is>
          <t>Pax</t>
        </is>
      </c>
      <c r="H253" s="255" t="n"/>
      <c r="I253" s="334" t="n"/>
      <c r="J253" s="267" t="n"/>
      <c r="K253" s="268" t="n"/>
      <c r="L253" s="209" t="n"/>
    </row>
    <row r="254">
      <c r="B254" s="213" t="n"/>
      <c r="C254" s="216" t="inlineStr">
        <is>
          <t>Kg</t>
        </is>
      </c>
      <c r="D254" s="1" t="inlineStr">
        <is>
          <t>Almejas Julianas</t>
        </is>
      </c>
      <c r="E254" s="255" t="n"/>
      <c r="F254" s="316" t="n"/>
      <c r="G254" s="316" t="n"/>
      <c r="H254" s="335" t="n"/>
      <c r="I254" s="336" t="n"/>
      <c r="J254" s="267" t="n"/>
      <c r="K254" s="268" t="n"/>
      <c r="L254" s="209" t="n"/>
    </row>
    <row r="255">
      <c r="B255" s="213" t="n"/>
      <c r="C255" s="337" t="inlineStr">
        <is>
          <t>Kg</t>
        </is>
      </c>
      <c r="D255" s="338" t="inlineStr">
        <is>
          <t>Filete Despunte</t>
        </is>
      </c>
      <c r="E255" s="255" t="n"/>
      <c r="F255" s="222" t="inlineStr">
        <is>
          <t>Ragout Lasagna</t>
        </is>
      </c>
      <c r="G255" s="112" t="inlineStr">
        <is>
          <t>Kg</t>
        </is>
      </c>
      <c r="H255" s="255" t="n"/>
      <c r="I255" s="329" t="n"/>
      <c r="J255" s="269" t="n"/>
      <c r="K255" s="270" t="n"/>
      <c r="L255" s="209" t="n"/>
    </row>
    <row r="256">
      <c r="B256" s="213" t="n"/>
      <c r="C256" s="315" t="n"/>
      <c r="D256" s="316" t="n"/>
      <c r="E256" s="339" t="n"/>
      <c r="F256" s="222" t="inlineStr">
        <is>
          <t>Ragout Rigatoni</t>
        </is>
      </c>
      <c r="G256" s="112" t="inlineStr">
        <is>
          <t>Kg</t>
        </is>
      </c>
      <c r="H256" s="255" t="n"/>
      <c r="I256" s="329" t="n"/>
      <c r="J256" s="269" t="n"/>
      <c r="K256" s="270" t="n"/>
      <c r="L256" s="209" t="n"/>
    </row>
    <row r="257">
      <c r="B257" s="213" t="n"/>
      <c r="C257" s="224" t="inlineStr">
        <is>
          <t>Kg</t>
        </is>
      </c>
      <c r="D257" s="120" t="inlineStr">
        <is>
          <t>Ragout Lasagna</t>
        </is>
      </c>
      <c r="E257" s="251" t="n"/>
      <c r="F257" s="222" t="inlineStr">
        <is>
          <t>Lasagna Berenjenas</t>
        </is>
      </c>
      <c r="G257" s="112" t="inlineStr">
        <is>
          <t>Porcion</t>
        </is>
      </c>
      <c r="H257" s="255" t="n"/>
      <c r="I257" s="329" t="n"/>
      <c r="J257" s="269" t="n"/>
      <c r="K257" s="270" t="n"/>
      <c r="L257" s="209" t="n"/>
    </row>
    <row r="258" ht="13.5" customHeight="1" s="95" thickBot="1">
      <c r="B258" s="213" t="n"/>
      <c r="C258" s="225" t="inlineStr">
        <is>
          <t>Kg</t>
        </is>
      </c>
      <c r="D258" s="31" t="inlineStr">
        <is>
          <t>Salmón Ahumado en frío</t>
        </is>
      </c>
      <c r="E258" s="252" t="n"/>
      <c r="F258" s="226" t="inlineStr">
        <is>
          <t>Chupe</t>
        </is>
      </c>
      <c r="G258" s="32" t="inlineStr">
        <is>
          <t>Porcion</t>
        </is>
      </c>
      <c r="H258" s="261" t="n"/>
      <c r="I258" s="340" t="n"/>
      <c r="J258" s="271" t="n"/>
      <c r="K258" s="272" t="n"/>
      <c r="L258" s="209" t="n"/>
    </row>
    <row r="259" ht="13.5" customHeight="1" s="95" thickBot="1">
      <c r="C259" s="228" t="n"/>
    </row>
    <row r="260" ht="13.5" customHeight="1" s="95" thickBot="1">
      <c r="C260" s="228" t="n"/>
      <c r="D260" s="341" t="inlineStr">
        <is>
          <t>REGISTRO PRODUCCIONES PASTELERIA</t>
        </is>
      </c>
      <c r="E260" s="342" t="n"/>
      <c r="F260" s="48" t="n"/>
      <c r="H260" s="343" t="inlineStr">
        <is>
          <t>REGISTRO DE CHOCOLATES</t>
        </is>
      </c>
      <c r="I260" s="318" t="n"/>
      <c r="J260" s="318" t="n"/>
      <c r="K260" s="319" t="n"/>
    </row>
    <row r="261">
      <c r="B261" s="232" t="n"/>
      <c r="C261" s="233" t="inlineStr">
        <is>
          <t>Medida</t>
        </is>
      </c>
      <c r="D261" s="195" t="inlineStr">
        <is>
          <t>Producto</t>
        </is>
      </c>
      <c r="E261" s="234" t="inlineStr">
        <is>
          <t>Cantidad</t>
        </is>
      </c>
      <c r="F261" s="235" t="n"/>
      <c r="G261" s="233" t="inlineStr">
        <is>
          <t>Producto</t>
        </is>
      </c>
      <c r="H261" s="237" t="inlineStr">
        <is>
          <t>Cantidad Entregada</t>
        </is>
      </c>
      <c r="I261" s="300" t="n"/>
      <c r="J261" s="237" t="inlineStr">
        <is>
          <t>Cant. Utilizada</t>
        </is>
      </c>
      <c r="K261" s="234" t="inlineStr">
        <is>
          <t>Medida</t>
        </is>
      </c>
    </row>
    <row r="262">
      <c r="B262" s="235" t="n"/>
      <c r="C262" s="238" t="inlineStr">
        <is>
          <t>Und</t>
        </is>
      </c>
      <c r="D262" s="1" t="inlineStr">
        <is>
          <t>Cheesecake de Berries</t>
        </is>
      </c>
      <c r="E262" s="277" t="n"/>
      <c r="F262" s="235" t="n"/>
      <c r="G262" s="238" t="inlineStr">
        <is>
          <t>Choc. Blanco</t>
        </is>
      </c>
      <c r="H262" s="273" t="n"/>
      <c r="I262" s="329" t="n"/>
      <c r="J262" s="274" t="n"/>
      <c r="K262" s="239" t="n"/>
    </row>
    <row r="263">
      <c r="B263" s="235" t="n"/>
      <c r="C263" s="238" t="inlineStr">
        <is>
          <t>Und</t>
        </is>
      </c>
      <c r="D263" s="1" t="inlineStr">
        <is>
          <t>Cheesecake de Limón</t>
        </is>
      </c>
      <c r="E263" s="277" t="n"/>
      <c r="F263" s="235" t="n"/>
      <c r="G263" s="238" t="inlineStr">
        <is>
          <t>Choc. Leche</t>
        </is>
      </c>
      <c r="H263" s="273" t="n"/>
      <c r="I263" s="329" t="n"/>
      <c r="J263" s="274" t="n"/>
      <c r="K263" s="239" t="n"/>
    </row>
    <row r="264">
      <c r="B264" s="235" t="n"/>
      <c r="C264" s="238" t="inlineStr">
        <is>
          <t>Und</t>
        </is>
      </c>
      <c r="D264" s="18" t="inlineStr">
        <is>
          <t>Brownie Nutella</t>
        </is>
      </c>
      <c r="E264" s="277" t="n"/>
      <c r="F264" s="235" t="n"/>
      <c r="G264" s="238" t="inlineStr">
        <is>
          <t>Choc. Negro</t>
        </is>
      </c>
      <c r="H264" s="273" t="n"/>
      <c r="I264" s="329" t="n"/>
      <c r="J264" s="274" t="n"/>
      <c r="K264" s="239" t="n"/>
    </row>
    <row r="265">
      <c r="B265" s="235" t="n"/>
      <c r="C265" s="238" t="inlineStr">
        <is>
          <t>Und</t>
        </is>
      </c>
      <c r="D265" s="18" t="inlineStr">
        <is>
          <t>Brownie Vegano</t>
        </is>
      </c>
      <c r="E265" s="277" t="n"/>
      <c r="F265" s="235" t="n"/>
      <c r="G265" s="238" t="inlineStr">
        <is>
          <t>Neucober Cob.</t>
        </is>
      </c>
      <c r="H265" s="273" t="n"/>
      <c r="I265" s="329" t="n"/>
      <c r="J265" s="274" t="n"/>
      <c r="K265" s="239" t="n"/>
    </row>
    <row r="266">
      <c r="B266" s="235" t="n"/>
      <c r="C266" s="238" t="inlineStr">
        <is>
          <t>Und</t>
        </is>
      </c>
      <c r="D266" s="1" t="inlineStr">
        <is>
          <t>Flan de Caluga</t>
        </is>
      </c>
      <c r="E266" s="277" t="n"/>
      <c r="F266" s="235" t="n"/>
      <c r="G266" s="238" t="inlineStr">
        <is>
          <t>Sicao Cob.</t>
        </is>
      </c>
      <c r="H266" s="273" t="n"/>
      <c r="I266" s="329" t="n"/>
      <c r="J266" s="274" t="n"/>
      <c r="K266" s="239" t="n"/>
    </row>
    <row r="267" ht="13.5" customHeight="1" s="95" thickBot="1">
      <c r="B267" s="235" t="n"/>
      <c r="C267" s="238" t="inlineStr">
        <is>
          <t>Und</t>
        </is>
      </c>
      <c r="D267" s="1" t="inlineStr">
        <is>
          <t>Volcán de Chocolate</t>
        </is>
      </c>
      <c r="E267" s="277" t="n"/>
      <c r="F267" s="235" t="n"/>
      <c r="G267" s="242" t="inlineStr">
        <is>
          <t>Nutella</t>
        </is>
      </c>
      <c r="H267" s="275" t="n"/>
      <c r="I267" s="344" t="n"/>
      <c r="J267" s="276" t="n"/>
      <c r="K267" s="241" t="n"/>
    </row>
    <row r="268" ht="13.5" customHeight="1" s="95" thickBot="1">
      <c r="B268" s="235" t="n"/>
      <c r="C268" s="242" t="inlineStr">
        <is>
          <t>Und</t>
        </is>
      </c>
      <c r="D268" s="31" t="inlineStr">
        <is>
          <t>Discos de Chocolate</t>
        </is>
      </c>
      <c r="E268" s="278" t="n"/>
      <c r="F268" s="235" t="n"/>
    </row>
    <row r="271" ht="15" customHeight="1" s="95">
      <c r="B271" s="232" t="inlineStr">
        <is>
          <t>Código</t>
        </is>
      </c>
      <c r="C271" s="232" t="inlineStr">
        <is>
          <t>Descripción</t>
        </is>
      </c>
      <c r="I271" s="232" t="inlineStr">
        <is>
          <t>Imp. Bruto</t>
        </is>
      </c>
      <c r="J271" s="232" t="inlineStr">
        <is>
          <t>Imp. Neto</t>
        </is>
      </c>
      <c r="L271" s="232" t="inlineStr">
        <is>
          <t>Cantidad Vendida</t>
        </is>
      </c>
      <c r="Q271" s="232" t="inlineStr">
        <is>
          <t>Precio Medio</t>
        </is>
      </c>
      <c r="T271" s="232" t="inlineStr">
        <is>
          <t>Imp. Descontado</t>
        </is>
      </c>
      <c r="V271" s="232" t="inlineStr">
        <is>
          <t>Descuento Medio</t>
        </is>
      </c>
      <c r="AA271" s="232" t="inlineStr">
        <is>
          <t>Importe de Referencia</t>
        </is>
      </c>
      <c r="AD271" s="232" t="inlineStr">
        <is>
          <t>Ref %</t>
        </is>
      </c>
      <c r="AE271" s="232" t="inlineStr">
        <is>
          <t>Tot%</t>
        </is>
      </c>
    </row>
    <row r="272">
      <c r="B272" s="279" t="n"/>
      <c r="C272" s="280" t="n"/>
      <c r="D272" s="295" t="n"/>
      <c r="E272" s="295" t="n"/>
      <c r="F272" s="295" t="n"/>
      <c r="G272" s="282" t="n"/>
      <c r="H272" s="295" t="n"/>
      <c r="I272" s="295" t="n"/>
      <c r="J272" s="282" t="n"/>
      <c r="K272" s="345" t="n"/>
      <c r="L272" s="295" t="n"/>
      <c r="M272" s="346" t="n"/>
      <c r="N272" s="295" t="n"/>
      <c r="O272" s="285" t="n"/>
      <c r="P272" s="295" t="n"/>
      <c r="Q272" s="295" t="n"/>
      <c r="R272" s="282" t="n"/>
      <c r="S272" s="295" t="n"/>
      <c r="T272" s="295" t="n"/>
      <c r="U272" s="285" t="n"/>
      <c r="V272" s="295" t="n"/>
      <c r="W272" s="282" t="n"/>
      <c r="X272" s="295" t="n"/>
      <c r="Y272" s="295" t="n"/>
      <c r="Z272" s="295" t="n"/>
      <c r="AA272" s="295" t="n"/>
      <c r="AB272" s="285" t="n"/>
      <c r="AC272" s="295" t="n"/>
      <c r="AD272" s="295" t="n"/>
      <c r="AE272" s="286" t="n"/>
    </row>
    <row r="273">
      <c r="B273" s="287" t="n"/>
      <c r="C273" s="288" t="n"/>
      <c r="D273" s="295" t="n"/>
      <c r="E273" s="295" t="n"/>
      <c r="F273" s="295" t="n"/>
      <c r="G273" s="290" t="n"/>
      <c r="H273" s="295" t="n"/>
      <c r="I273" s="295" t="n"/>
      <c r="J273" s="290" t="n"/>
      <c r="K273" s="347" t="n"/>
      <c r="L273" s="295" t="n"/>
      <c r="M273" s="348" t="n"/>
      <c r="N273" s="295" t="n"/>
      <c r="O273" s="293" t="n"/>
      <c r="P273" s="295" t="n"/>
      <c r="Q273" s="295" t="n"/>
      <c r="R273" s="290" t="n"/>
      <c r="S273" s="295" t="n"/>
      <c r="T273" s="295" t="n"/>
      <c r="U273" s="293" t="n"/>
      <c r="V273" s="295" t="n"/>
      <c r="W273" s="290" t="n"/>
      <c r="X273" s="295" t="n"/>
      <c r="Y273" s="295" t="n"/>
      <c r="Z273" s="295" t="n"/>
      <c r="AA273" s="295" t="n"/>
      <c r="AB273" s="293" t="n"/>
      <c r="AC273" s="295" t="n"/>
      <c r="AD273" s="295" t="n"/>
      <c r="AE273" s="294" t="n"/>
    </row>
    <row r="274">
      <c r="B274" s="279" t="n"/>
      <c r="C274" s="280" t="n"/>
      <c r="D274" s="295" t="n"/>
      <c r="E274" s="295" t="n"/>
      <c r="F274" s="295" t="n"/>
      <c r="G274" s="282" t="n"/>
      <c r="H274" s="295" t="n"/>
      <c r="I274" s="295" t="n"/>
      <c r="J274" s="282" t="n"/>
      <c r="K274" s="345" t="n"/>
      <c r="L274" s="295" t="n"/>
      <c r="M274" s="346" t="n"/>
      <c r="N274" s="295" t="n"/>
      <c r="O274" s="285" t="n"/>
      <c r="P274" s="295" t="n"/>
      <c r="Q274" s="295" t="n"/>
      <c r="R274" s="282" t="n"/>
      <c r="S274" s="295" t="n"/>
      <c r="T274" s="295" t="n"/>
      <c r="U274" s="285" t="n"/>
      <c r="V274" s="295" t="n"/>
      <c r="W274" s="282" t="n"/>
      <c r="X274" s="295" t="n"/>
      <c r="Y274" s="295" t="n"/>
      <c r="Z274" s="295" t="n"/>
      <c r="AA274" s="295" t="n"/>
      <c r="AB274" s="285" t="n"/>
      <c r="AC274" s="295" t="n"/>
      <c r="AD274" s="295" t="n"/>
      <c r="AE274" s="286" t="n"/>
    </row>
    <row r="275">
      <c r="B275" s="287" t="n"/>
      <c r="C275" s="288" t="n"/>
      <c r="D275" s="295" t="n"/>
      <c r="E275" s="295" t="n"/>
      <c r="F275" s="295" t="n"/>
      <c r="G275" s="290" t="n"/>
      <c r="H275" s="295" t="n"/>
      <c r="I275" s="295" t="n"/>
      <c r="J275" s="290" t="n"/>
      <c r="K275" s="347" t="n"/>
      <c r="L275" s="295" t="n"/>
      <c r="M275" s="348" t="n"/>
      <c r="N275" s="295" t="n"/>
      <c r="O275" s="293" t="n"/>
      <c r="P275" s="295" t="n"/>
      <c r="Q275" s="295" t="n"/>
      <c r="R275" s="290" t="n"/>
      <c r="S275" s="295" t="n"/>
      <c r="T275" s="295" t="n"/>
      <c r="U275" s="293" t="n"/>
      <c r="V275" s="295" t="n"/>
      <c r="W275" s="290" t="n"/>
      <c r="X275" s="295" t="n"/>
      <c r="Y275" s="295" t="n"/>
      <c r="Z275" s="295" t="n"/>
      <c r="AA275" s="295" t="n"/>
      <c r="AB275" s="293" t="n"/>
      <c r="AC275" s="295" t="n"/>
      <c r="AD275" s="295" t="n"/>
      <c r="AE275" s="294" t="n"/>
    </row>
    <row r="276">
      <c r="B276" s="279" t="n"/>
      <c r="C276" s="280" t="n"/>
      <c r="D276" s="295" t="n"/>
      <c r="E276" s="295" t="n"/>
      <c r="F276" s="295" t="n"/>
      <c r="G276" s="282" t="n"/>
      <c r="H276" s="295" t="n"/>
      <c r="I276" s="295" t="n"/>
      <c r="J276" s="282" t="n"/>
      <c r="K276" s="345" t="n"/>
      <c r="L276" s="295" t="n"/>
      <c r="M276" s="346" t="n"/>
      <c r="N276" s="295" t="n"/>
      <c r="O276" s="285" t="n"/>
      <c r="P276" s="295" t="n"/>
      <c r="Q276" s="295" t="n"/>
      <c r="R276" s="282" t="n"/>
      <c r="S276" s="295" t="n"/>
      <c r="T276" s="295" t="n"/>
      <c r="U276" s="285" t="n"/>
      <c r="V276" s="295" t="n"/>
      <c r="W276" s="282" t="n"/>
      <c r="X276" s="295" t="n"/>
      <c r="Y276" s="295" t="n"/>
      <c r="Z276" s="295" t="n"/>
      <c r="AA276" s="295" t="n"/>
      <c r="AB276" s="285" t="n"/>
      <c r="AC276" s="295" t="n"/>
      <c r="AD276" s="295" t="n"/>
      <c r="AE276" s="286" t="n"/>
    </row>
    <row r="277">
      <c r="B277" s="287" t="n"/>
      <c r="C277" s="288" t="n"/>
      <c r="D277" s="295" t="n"/>
      <c r="E277" s="295" t="n"/>
      <c r="F277" s="295" t="n"/>
      <c r="G277" s="290" t="n"/>
      <c r="H277" s="295" t="n"/>
      <c r="I277" s="295" t="n"/>
      <c r="J277" s="290" t="n"/>
      <c r="K277" s="347" t="n"/>
      <c r="L277" s="295" t="n"/>
      <c r="M277" s="348" t="n"/>
      <c r="N277" s="295" t="n"/>
      <c r="O277" s="293" t="n"/>
      <c r="P277" s="295" t="n"/>
      <c r="Q277" s="295" t="n"/>
      <c r="R277" s="290" t="n"/>
      <c r="S277" s="295" t="n"/>
      <c r="T277" s="295" t="n"/>
      <c r="U277" s="293" t="n"/>
      <c r="V277" s="295" t="n"/>
      <c r="W277" s="290" t="n"/>
      <c r="X277" s="295" t="n"/>
      <c r="Y277" s="295" t="n"/>
      <c r="Z277" s="295" t="n"/>
      <c r="AA277" s="295" t="n"/>
      <c r="AB277" s="293" t="n"/>
      <c r="AC277" s="295" t="n"/>
      <c r="AD277" s="295" t="n"/>
      <c r="AE277" s="294" t="n"/>
    </row>
    <row r="278">
      <c r="B278" s="279" t="n"/>
      <c r="C278" s="280" t="n"/>
      <c r="D278" s="295" t="n"/>
      <c r="E278" s="295" t="n"/>
      <c r="F278" s="295" t="n"/>
      <c r="G278" s="282" t="n"/>
      <c r="H278" s="295" t="n"/>
      <c r="I278" s="295" t="n"/>
      <c r="J278" s="282" t="n"/>
      <c r="K278" s="345" t="n"/>
      <c r="L278" s="295" t="n"/>
      <c r="M278" s="346" t="n"/>
      <c r="N278" s="295" t="n"/>
      <c r="O278" s="285" t="n"/>
      <c r="P278" s="295" t="n"/>
      <c r="Q278" s="295" t="n"/>
      <c r="R278" s="282" t="n"/>
      <c r="S278" s="295" t="n"/>
      <c r="T278" s="295" t="n"/>
      <c r="U278" s="285" t="n"/>
      <c r="V278" s="295" t="n"/>
      <c r="W278" s="282" t="n"/>
      <c r="X278" s="295" t="n"/>
      <c r="Y278" s="295" t="n"/>
      <c r="Z278" s="295" t="n"/>
      <c r="AA278" s="295" t="n"/>
      <c r="AB278" s="285" t="n"/>
      <c r="AC278" s="295" t="n"/>
      <c r="AD278" s="295" t="n"/>
      <c r="AE278" s="286" t="n"/>
    </row>
    <row r="279">
      <c r="B279" s="287" t="n"/>
      <c r="C279" s="288" t="n"/>
      <c r="D279" s="295" t="n"/>
      <c r="E279" s="295" t="n"/>
      <c r="F279" s="295" t="n"/>
      <c r="G279" s="290" t="n"/>
      <c r="H279" s="295" t="n"/>
      <c r="I279" s="295" t="n"/>
      <c r="J279" s="290" t="n"/>
      <c r="K279" s="347" t="n"/>
      <c r="L279" s="295" t="n"/>
      <c r="M279" s="348" t="n"/>
      <c r="N279" s="295" t="n"/>
      <c r="O279" s="293" t="n"/>
      <c r="P279" s="295" t="n"/>
      <c r="Q279" s="295" t="n"/>
      <c r="R279" s="290" t="n"/>
      <c r="S279" s="295" t="n"/>
      <c r="T279" s="295" t="n"/>
      <c r="U279" s="293" t="n"/>
      <c r="V279" s="295" t="n"/>
      <c r="W279" s="290" t="n"/>
      <c r="X279" s="295" t="n"/>
      <c r="Y279" s="295" t="n"/>
      <c r="Z279" s="295" t="n"/>
      <c r="AA279" s="295" t="n"/>
      <c r="AB279" s="293" t="n"/>
      <c r="AC279" s="295" t="n"/>
      <c r="AD279" s="295" t="n"/>
      <c r="AE279" s="294" t="n"/>
    </row>
    <row r="280">
      <c r="B280" s="279" t="n"/>
      <c r="C280" s="280" t="n"/>
      <c r="D280" s="295" t="n"/>
      <c r="E280" s="295" t="n"/>
      <c r="F280" s="295" t="n"/>
      <c r="G280" s="282" t="n"/>
      <c r="H280" s="295" t="n"/>
      <c r="I280" s="295" t="n"/>
      <c r="J280" s="282" t="n"/>
      <c r="K280" s="345" t="n"/>
      <c r="L280" s="295" t="n"/>
      <c r="M280" s="346" t="n"/>
      <c r="N280" s="295" t="n"/>
      <c r="O280" s="285" t="n"/>
      <c r="P280" s="295" t="n"/>
      <c r="Q280" s="295" t="n"/>
      <c r="R280" s="282" t="n"/>
      <c r="S280" s="295" t="n"/>
      <c r="T280" s="295" t="n"/>
      <c r="U280" s="285" t="n"/>
      <c r="V280" s="295" t="n"/>
      <c r="W280" s="282" t="n"/>
      <c r="X280" s="295" t="n"/>
      <c r="Y280" s="295" t="n"/>
      <c r="Z280" s="295" t="n"/>
      <c r="AA280" s="295" t="n"/>
      <c r="AB280" s="285" t="n"/>
      <c r="AC280" s="295" t="n"/>
      <c r="AD280" s="295" t="n"/>
      <c r="AE280" s="286" t="n"/>
    </row>
    <row r="281">
      <c r="B281" s="287" t="n"/>
      <c r="C281" s="288" t="n"/>
      <c r="D281" s="295" t="n"/>
      <c r="E281" s="295" t="n"/>
      <c r="F281" s="295" t="n"/>
      <c r="G281" s="290" t="n"/>
      <c r="H281" s="295" t="n"/>
      <c r="I281" s="295" t="n"/>
      <c r="J281" s="290" t="n"/>
      <c r="K281" s="347" t="n"/>
      <c r="L281" s="295" t="n"/>
      <c r="M281" s="348" t="n"/>
      <c r="N281" s="295" t="n"/>
      <c r="O281" s="293" t="n"/>
      <c r="P281" s="295" t="n"/>
      <c r="Q281" s="295" t="n"/>
      <c r="R281" s="290" t="n"/>
      <c r="S281" s="295" t="n"/>
      <c r="T281" s="295" t="n"/>
      <c r="U281" s="293" t="n"/>
      <c r="V281" s="295" t="n"/>
      <c r="W281" s="290" t="n"/>
      <c r="X281" s="295" t="n"/>
      <c r="Y281" s="295" t="n"/>
      <c r="Z281" s="295" t="n"/>
      <c r="AA281" s="295" t="n"/>
      <c r="AB281" s="293" t="n"/>
      <c r="AC281" s="295" t="n"/>
      <c r="AD281" s="295" t="n"/>
      <c r="AE281" s="294" t="n"/>
    </row>
    <row r="282">
      <c r="B282" s="279" t="n"/>
      <c r="C282" s="280" t="n"/>
      <c r="D282" s="295" t="n"/>
      <c r="E282" s="295" t="n"/>
      <c r="F282" s="295" t="n"/>
      <c r="G282" s="282" t="n"/>
      <c r="H282" s="295" t="n"/>
      <c r="I282" s="295" t="n"/>
      <c r="J282" s="282" t="n"/>
      <c r="K282" s="345" t="n"/>
      <c r="L282" s="295" t="n"/>
      <c r="M282" s="346" t="n"/>
      <c r="N282" s="295" t="n"/>
      <c r="O282" s="285" t="n"/>
      <c r="P282" s="295" t="n"/>
      <c r="Q282" s="295" t="n"/>
      <c r="R282" s="282" t="n"/>
      <c r="S282" s="295" t="n"/>
      <c r="T282" s="295" t="n"/>
      <c r="U282" s="285" t="n"/>
      <c r="V282" s="295" t="n"/>
      <c r="W282" s="282" t="n"/>
      <c r="X282" s="295" t="n"/>
      <c r="Y282" s="295" t="n"/>
      <c r="Z282" s="295" t="n"/>
      <c r="AA282" s="295" t="n"/>
      <c r="AB282" s="285" t="n"/>
      <c r="AC282" s="295" t="n"/>
      <c r="AD282" s="295" t="n"/>
      <c r="AE282" s="286" t="n"/>
    </row>
    <row r="283">
      <c r="B283" s="287" t="n"/>
      <c r="C283" s="288" t="n"/>
      <c r="D283" s="295" t="n"/>
      <c r="E283" s="295" t="n"/>
      <c r="F283" s="295" t="n"/>
      <c r="G283" s="290" t="n"/>
      <c r="H283" s="295" t="n"/>
      <c r="I283" s="295" t="n"/>
      <c r="J283" s="290" t="n"/>
      <c r="K283" s="347" t="n"/>
      <c r="L283" s="295" t="n"/>
      <c r="M283" s="348" t="n"/>
      <c r="N283" s="295" t="n"/>
      <c r="O283" s="293" t="n"/>
      <c r="P283" s="295" t="n"/>
      <c r="Q283" s="295" t="n"/>
      <c r="R283" s="290" t="n"/>
      <c r="S283" s="295" t="n"/>
      <c r="T283" s="295" t="n"/>
      <c r="U283" s="293" t="n"/>
      <c r="V283" s="295" t="n"/>
      <c r="W283" s="290" t="n"/>
      <c r="X283" s="295" t="n"/>
      <c r="Y283" s="295" t="n"/>
      <c r="Z283" s="295" t="n"/>
      <c r="AA283" s="295" t="n"/>
      <c r="AB283" s="293" t="n"/>
      <c r="AC283" s="295" t="n"/>
      <c r="AD283" s="295" t="n"/>
      <c r="AE283" s="294" t="n"/>
    </row>
    <row r="284">
      <c r="B284" s="279" t="n"/>
      <c r="C284" s="280" t="n"/>
      <c r="D284" s="295" t="n"/>
      <c r="E284" s="295" t="n"/>
      <c r="F284" s="295" t="n"/>
      <c r="G284" s="282" t="n"/>
      <c r="H284" s="295" t="n"/>
      <c r="I284" s="295" t="n"/>
      <c r="J284" s="282" t="n"/>
      <c r="K284" s="345" t="n"/>
      <c r="L284" s="295" t="n"/>
      <c r="M284" s="346" t="n"/>
      <c r="N284" s="295" t="n"/>
      <c r="O284" s="285" t="n"/>
      <c r="P284" s="295" t="n"/>
      <c r="Q284" s="295" t="n"/>
      <c r="R284" s="282" t="n"/>
      <c r="S284" s="295" t="n"/>
      <c r="T284" s="295" t="n"/>
      <c r="U284" s="285" t="n"/>
      <c r="V284" s="295" t="n"/>
      <c r="W284" s="282" t="n"/>
      <c r="X284" s="295" t="n"/>
      <c r="Y284" s="295" t="n"/>
      <c r="Z284" s="295" t="n"/>
      <c r="AA284" s="295" t="n"/>
      <c r="AB284" s="285" t="n"/>
      <c r="AC284" s="295" t="n"/>
      <c r="AD284" s="295" t="n"/>
      <c r="AE284" s="286" t="n"/>
    </row>
    <row r="285">
      <c r="B285" s="287" t="n"/>
      <c r="C285" s="288" t="n"/>
      <c r="D285" s="295" t="n"/>
      <c r="E285" s="295" t="n"/>
      <c r="F285" s="295" t="n"/>
      <c r="G285" s="290" t="n"/>
      <c r="H285" s="295" t="n"/>
      <c r="I285" s="295" t="n"/>
      <c r="J285" s="290" t="n"/>
      <c r="K285" s="347" t="n"/>
      <c r="L285" s="295" t="n"/>
      <c r="M285" s="348" t="n"/>
      <c r="N285" s="295" t="n"/>
      <c r="O285" s="293" t="n"/>
      <c r="P285" s="295" t="n"/>
      <c r="Q285" s="295" t="n"/>
      <c r="R285" s="290" t="n"/>
      <c r="S285" s="295" t="n"/>
      <c r="T285" s="295" t="n"/>
      <c r="U285" s="293" t="n"/>
      <c r="V285" s="295" t="n"/>
      <c r="W285" s="290" t="n"/>
      <c r="X285" s="295" t="n"/>
      <c r="Y285" s="295" t="n"/>
      <c r="Z285" s="295" t="n"/>
      <c r="AA285" s="295" t="n"/>
      <c r="AB285" s="293" t="n"/>
      <c r="AC285" s="295" t="n"/>
      <c r="AD285" s="295" t="n"/>
      <c r="AE285" s="294" t="n"/>
    </row>
    <row r="286">
      <c r="B286" s="279" t="n"/>
      <c r="C286" s="280" t="n"/>
      <c r="D286" s="295" t="n"/>
      <c r="E286" s="295" t="n"/>
      <c r="F286" s="295" t="n"/>
      <c r="G286" s="282" t="n"/>
      <c r="H286" s="295" t="n"/>
      <c r="I286" s="295" t="n"/>
      <c r="J286" s="282" t="n"/>
      <c r="K286" s="345" t="n"/>
      <c r="L286" s="295" t="n"/>
      <c r="M286" s="346" t="n"/>
      <c r="N286" s="295" t="n"/>
      <c r="O286" s="285" t="n"/>
      <c r="P286" s="295" t="n"/>
      <c r="Q286" s="295" t="n"/>
      <c r="R286" s="282" t="n"/>
      <c r="S286" s="295" t="n"/>
      <c r="T286" s="295" t="n"/>
      <c r="U286" s="285" t="n"/>
      <c r="V286" s="295" t="n"/>
      <c r="W286" s="282" t="n"/>
      <c r="X286" s="295" t="n"/>
      <c r="Y286" s="295" t="n"/>
      <c r="Z286" s="295" t="n"/>
      <c r="AA286" s="295" t="n"/>
      <c r="AB286" s="285" t="n"/>
      <c r="AC286" s="295" t="n"/>
      <c r="AD286" s="295" t="n"/>
      <c r="AE286" s="286" t="n"/>
    </row>
    <row r="287">
      <c r="B287" s="287" t="n"/>
      <c r="C287" s="288" t="n"/>
      <c r="D287" s="295" t="n"/>
      <c r="E287" s="295" t="n"/>
      <c r="F287" s="295" t="n"/>
      <c r="G287" s="290" t="n"/>
      <c r="H287" s="295" t="n"/>
      <c r="I287" s="295" t="n"/>
      <c r="J287" s="290" t="n"/>
      <c r="K287" s="347" t="n"/>
      <c r="L287" s="295" t="n"/>
      <c r="M287" s="348" t="n"/>
      <c r="N287" s="295" t="n"/>
      <c r="O287" s="293" t="n"/>
      <c r="P287" s="295" t="n"/>
      <c r="Q287" s="295" t="n"/>
      <c r="R287" s="290" t="n"/>
      <c r="S287" s="295" t="n"/>
      <c r="T287" s="295" t="n"/>
      <c r="U287" s="293" t="n"/>
      <c r="V287" s="295" t="n"/>
      <c r="W287" s="290" t="n"/>
      <c r="X287" s="295" t="n"/>
      <c r="Y287" s="295" t="n"/>
      <c r="Z287" s="295" t="n"/>
      <c r="AA287" s="295" t="n"/>
      <c r="AB287" s="293" t="n"/>
      <c r="AC287" s="295" t="n"/>
      <c r="AD287" s="295" t="n"/>
      <c r="AE287" s="294" t="n"/>
    </row>
    <row r="288">
      <c r="B288" s="279" t="n"/>
      <c r="C288" s="280" t="n"/>
      <c r="D288" s="295" t="n"/>
      <c r="E288" s="295" t="n"/>
      <c r="F288" s="295" t="n"/>
      <c r="G288" s="282" t="n"/>
      <c r="H288" s="295" t="n"/>
      <c r="I288" s="295" t="n"/>
      <c r="J288" s="282" t="n"/>
      <c r="K288" s="345" t="n"/>
      <c r="L288" s="295" t="n"/>
      <c r="M288" s="346" t="n"/>
      <c r="N288" s="295" t="n"/>
      <c r="O288" s="285" t="n"/>
      <c r="P288" s="295" t="n"/>
      <c r="Q288" s="295" t="n"/>
      <c r="R288" s="282" t="n"/>
      <c r="S288" s="295" t="n"/>
      <c r="T288" s="295" t="n"/>
      <c r="U288" s="285" t="n"/>
      <c r="V288" s="295" t="n"/>
      <c r="W288" s="282" t="n"/>
      <c r="X288" s="295" t="n"/>
      <c r="Y288" s="295" t="n"/>
      <c r="Z288" s="295" t="n"/>
      <c r="AA288" s="295" t="n"/>
      <c r="AB288" s="285" t="n"/>
      <c r="AC288" s="295" t="n"/>
      <c r="AD288" s="295" t="n"/>
      <c r="AE288" s="286" t="n"/>
    </row>
    <row r="289">
      <c r="B289" s="287" t="n"/>
      <c r="C289" s="288" t="n"/>
      <c r="D289" s="295" t="n"/>
      <c r="E289" s="295" t="n"/>
      <c r="F289" s="295" t="n"/>
      <c r="G289" s="290" t="n"/>
      <c r="H289" s="295" t="n"/>
      <c r="I289" s="295" t="n"/>
      <c r="J289" s="290" t="n"/>
      <c r="K289" s="347" t="n"/>
      <c r="L289" s="295" t="n"/>
      <c r="M289" s="348" t="n"/>
      <c r="N289" s="295" t="n"/>
      <c r="O289" s="293" t="n"/>
      <c r="P289" s="295" t="n"/>
      <c r="Q289" s="295" t="n"/>
      <c r="R289" s="290" t="n"/>
      <c r="S289" s="295" t="n"/>
      <c r="T289" s="295" t="n"/>
      <c r="U289" s="293" t="n"/>
      <c r="V289" s="295" t="n"/>
      <c r="W289" s="290" t="n"/>
      <c r="X289" s="295" t="n"/>
      <c r="Y289" s="295" t="n"/>
      <c r="Z289" s="295" t="n"/>
      <c r="AA289" s="295" t="n"/>
      <c r="AB289" s="293" t="n"/>
      <c r="AC289" s="295" t="n"/>
      <c r="AD289" s="295" t="n"/>
      <c r="AE289" s="294" t="n"/>
    </row>
    <row r="290">
      <c r="B290" s="279" t="n"/>
      <c r="C290" s="280" t="n"/>
      <c r="D290" s="295" t="n"/>
      <c r="E290" s="295" t="n"/>
      <c r="F290" s="295" t="n"/>
      <c r="G290" s="282" t="n"/>
      <c r="H290" s="295" t="n"/>
      <c r="I290" s="295" t="n"/>
      <c r="J290" s="282" t="n"/>
      <c r="K290" s="345" t="n"/>
      <c r="L290" s="295" t="n"/>
      <c r="M290" s="346" t="n"/>
      <c r="N290" s="295" t="n"/>
      <c r="O290" s="285" t="n"/>
      <c r="P290" s="295" t="n"/>
      <c r="Q290" s="295" t="n"/>
      <c r="R290" s="282" t="n"/>
      <c r="S290" s="295" t="n"/>
      <c r="T290" s="295" t="n"/>
      <c r="U290" s="285" t="n"/>
      <c r="V290" s="295" t="n"/>
      <c r="W290" s="282" t="n"/>
      <c r="X290" s="295" t="n"/>
      <c r="Y290" s="295" t="n"/>
      <c r="Z290" s="295" t="n"/>
      <c r="AA290" s="295" t="n"/>
      <c r="AB290" s="285" t="n"/>
      <c r="AC290" s="295" t="n"/>
      <c r="AD290" s="295" t="n"/>
      <c r="AE290" s="286" t="n"/>
    </row>
    <row r="291">
      <c r="B291" s="287" t="n"/>
      <c r="C291" s="288" t="n"/>
      <c r="D291" s="295" t="n"/>
      <c r="E291" s="295" t="n"/>
      <c r="F291" s="295" t="n"/>
      <c r="G291" s="290" t="n"/>
      <c r="H291" s="295" t="n"/>
      <c r="I291" s="295" t="n"/>
      <c r="J291" s="290" t="n"/>
      <c r="K291" s="347" t="n"/>
      <c r="L291" s="295" t="n"/>
      <c r="M291" s="348" t="n"/>
      <c r="N291" s="295" t="n"/>
      <c r="O291" s="293" t="n"/>
      <c r="P291" s="295" t="n"/>
      <c r="Q291" s="295" t="n"/>
      <c r="R291" s="290" t="n"/>
      <c r="S291" s="295" t="n"/>
      <c r="T291" s="295" t="n"/>
      <c r="U291" s="293" t="n"/>
      <c r="V291" s="295" t="n"/>
      <c r="W291" s="290" t="n"/>
      <c r="X291" s="295" t="n"/>
      <c r="Y291" s="295" t="n"/>
      <c r="Z291" s="295" t="n"/>
      <c r="AA291" s="295" t="n"/>
      <c r="AB291" s="293" t="n"/>
      <c r="AC291" s="295" t="n"/>
      <c r="AD291" s="295" t="n"/>
      <c r="AE291" s="294" t="n"/>
    </row>
    <row r="292">
      <c r="B292" s="279" t="n"/>
      <c r="C292" s="280" t="n"/>
      <c r="D292" s="295" t="n"/>
      <c r="E292" s="295" t="n"/>
      <c r="F292" s="295" t="n"/>
      <c r="G292" s="282" t="n"/>
      <c r="H292" s="295" t="n"/>
      <c r="I292" s="295" t="n"/>
      <c r="J292" s="282" t="n"/>
      <c r="K292" s="345" t="n"/>
      <c r="L292" s="295" t="n"/>
      <c r="M292" s="346" t="n"/>
      <c r="N292" s="295" t="n"/>
      <c r="O292" s="285" t="n"/>
      <c r="P292" s="295" t="n"/>
      <c r="Q292" s="295" t="n"/>
      <c r="R292" s="282" t="n"/>
      <c r="S292" s="295" t="n"/>
      <c r="T292" s="295" t="n"/>
      <c r="U292" s="285" t="n"/>
      <c r="V292" s="295" t="n"/>
      <c r="W292" s="282" t="n"/>
      <c r="X292" s="295" t="n"/>
      <c r="Y292" s="295" t="n"/>
      <c r="Z292" s="295" t="n"/>
      <c r="AA292" s="295" t="n"/>
      <c r="AB292" s="285" t="n"/>
      <c r="AC292" s="295" t="n"/>
      <c r="AD292" s="295" t="n"/>
      <c r="AE292" s="286" t="n"/>
    </row>
    <row r="293">
      <c r="B293" s="287" t="n"/>
      <c r="C293" s="288" t="n"/>
      <c r="D293" s="295" t="n"/>
      <c r="E293" s="295" t="n"/>
      <c r="F293" s="295" t="n"/>
      <c r="G293" s="290" t="n"/>
      <c r="H293" s="295" t="n"/>
      <c r="I293" s="295" t="n"/>
      <c r="J293" s="290" t="n"/>
      <c r="K293" s="347" t="n"/>
      <c r="L293" s="295" t="n"/>
      <c r="M293" s="348" t="n"/>
      <c r="N293" s="295" t="n"/>
      <c r="O293" s="293" t="n"/>
      <c r="P293" s="295" t="n"/>
      <c r="Q293" s="295" t="n"/>
      <c r="R293" s="290" t="n"/>
      <c r="S293" s="295" t="n"/>
      <c r="T293" s="295" t="n"/>
      <c r="U293" s="293" t="n"/>
      <c r="V293" s="295" t="n"/>
      <c r="W293" s="290" t="n"/>
      <c r="X293" s="295" t="n"/>
      <c r="Y293" s="295" t="n"/>
      <c r="Z293" s="295" t="n"/>
      <c r="AA293" s="295" t="n"/>
      <c r="AB293" s="293" t="n"/>
      <c r="AC293" s="295" t="n"/>
      <c r="AD293" s="295" t="n"/>
      <c r="AE293" s="294" t="n"/>
    </row>
    <row r="294">
      <c r="B294" s="279" t="n"/>
      <c r="C294" s="280" t="n"/>
      <c r="D294" s="295" t="n"/>
      <c r="E294" s="295" t="n"/>
      <c r="F294" s="295" t="n"/>
      <c r="G294" s="282" t="n"/>
      <c r="H294" s="295" t="n"/>
      <c r="I294" s="295" t="n"/>
      <c r="J294" s="282" t="n"/>
      <c r="K294" s="345" t="n"/>
      <c r="L294" s="295" t="n"/>
      <c r="M294" s="346" t="n"/>
      <c r="N294" s="295" t="n"/>
      <c r="O294" s="285" t="n"/>
      <c r="P294" s="295" t="n"/>
      <c r="Q294" s="295" t="n"/>
      <c r="R294" s="282" t="n"/>
      <c r="S294" s="295" t="n"/>
      <c r="T294" s="295" t="n"/>
      <c r="U294" s="285" t="n"/>
      <c r="V294" s="295" t="n"/>
      <c r="W294" s="282" t="n"/>
      <c r="X294" s="295" t="n"/>
      <c r="Y294" s="295" t="n"/>
      <c r="Z294" s="295" t="n"/>
      <c r="AA294" s="295" t="n"/>
      <c r="AB294" s="285" t="n"/>
      <c r="AC294" s="295" t="n"/>
      <c r="AD294" s="295" t="n"/>
      <c r="AE294" s="286" t="n"/>
    </row>
    <row r="295">
      <c r="B295" s="287" t="n"/>
      <c r="C295" s="288" t="n"/>
      <c r="D295" s="295" t="n"/>
      <c r="E295" s="295" t="n"/>
      <c r="F295" s="295" t="n"/>
      <c r="G295" s="290" t="n"/>
      <c r="H295" s="295" t="n"/>
      <c r="I295" s="295" t="n"/>
      <c r="J295" s="290" t="n"/>
      <c r="K295" s="347" t="n"/>
      <c r="L295" s="295" t="n"/>
      <c r="M295" s="348" t="n"/>
      <c r="N295" s="295" t="n"/>
      <c r="O295" s="293" t="n"/>
      <c r="P295" s="295" t="n"/>
      <c r="Q295" s="295" t="n"/>
      <c r="R295" s="290" t="n"/>
      <c r="S295" s="295" t="n"/>
      <c r="T295" s="295" t="n"/>
      <c r="U295" s="293" t="n"/>
      <c r="V295" s="295" t="n"/>
      <c r="W295" s="290" t="n"/>
      <c r="X295" s="295" t="n"/>
      <c r="Y295" s="295" t="n"/>
      <c r="Z295" s="295" t="n"/>
      <c r="AA295" s="295" t="n"/>
      <c r="AB295" s="293" t="n"/>
      <c r="AC295" s="295" t="n"/>
      <c r="AD295" s="295" t="n"/>
      <c r="AE295" s="294" t="n"/>
    </row>
    <row r="296">
      <c r="B296" s="279" t="n"/>
      <c r="C296" s="280" t="n"/>
      <c r="D296" s="295" t="n"/>
      <c r="E296" s="295" t="n"/>
      <c r="F296" s="295" t="n"/>
      <c r="G296" s="282" t="n"/>
      <c r="H296" s="295" t="n"/>
      <c r="I296" s="295" t="n"/>
      <c r="J296" s="282" t="n"/>
      <c r="K296" s="345" t="n"/>
      <c r="L296" s="295" t="n"/>
      <c r="M296" s="346" t="n"/>
      <c r="N296" s="295" t="n"/>
      <c r="O296" s="285" t="n"/>
      <c r="P296" s="295" t="n"/>
      <c r="Q296" s="295" t="n"/>
      <c r="R296" s="282" t="n"/>
      <c r="S296" s="295" t="n"/>
      <c r="T296" s="295" t="n"/>
      <c r="U296" s="285" t="n"/>
      <c r="V296" s="295" t="n"/>
      <c r="W296" s="282" t="n"/>
      <c r="X296" s="295" t="n"/>
      <c r="Y296" s="295" t="n"/>
      <c r="Z296" s="295" t="n"/>
      <c r="AA296" s="295" t="n"/>
      <c r="AB296" s="285" t="n"/>
      <c r="AC296" s="295" t="n"/>
      <c r="AD296" s="295" t="n"/>
      <c r="AE296" s="286" t="n"/>
    </row>
    <row r="297">
      <c r="B297" s="287" t="n"/>
      <c r="C297" s="288" t="n"/>
      <c r="D297" s="295" t="n"/>
      <c r="E297" s="295" t="n"/>
      <c r="F297" s="295" t="n"/>
      <c r="G297" s="290" t="n"/>
      <c r="H297" s="295" t="n"/>
      <c r="I297" s="295" t="n"/>
      <c r="J297" s="290" t="n"/>
      <c r="K297" s="347" t="n"/>
      <c r="L297" s="295" t="n"/>
      <c r="M297" s="348" t="n"/>
      <c r="N297" s="295" t="n"/>
      <c r="O297" s="293" t="n"/>
      <c r="P297" s="295" t="n"/>
      <c r="Q297" s="295" t="n"/>
      <c r="R297" s="290" t="n"/>
      <c r="S297" s="295" t="n"/>
      <c r="T297" s="295" t="n"/>
      <c r="U297" s="293" t="n"/>
      <c r="V297" s="295" t="n"/>
      <c r="W297" s="290" t="n"/>
      <c r="X297" s="295" t="n"/>
      <c r="Y297" s="295" t="n"/>
      <c r="Z297" s="295" t="n"/>
      <c r="AA297" s="295" t="n"/>
      <c r="AB297" s="293" t="n"/>
      <c r="AC297" s="295" t="n"/>
      <c r="AD297" s="295" t="n"/>
      <c r="AE297" s="294" t="n"/>
    </row>
    <row r="298">
      <c r="B298" s="279" t="n"/>
      <c r="C298" s="280" t="n"/>
      <c r="D298" s="295" t="n"/>
      <c r="E298" s="295" t="n"/>
      <c r="F298" s="295" t="n"/>
      <c r="G298" s="282" t="n"/>
      <c r="H298" s="295" t="n"/>
      <c r="I298" s="295" t="n"/>
      <c r="J298" s="282" t="n"/>
      <c r="K298" s="345" t="n"/>
      <c r="L298" s="295" t="n"/>
      <c r="M298" s="346" t="n"/>
      <c r="N298" s="295" t="n"/>
      <c r="O298" s="285" t="n"/>
      <c r="P298" s="295" t="n"/>
      <c r="Q298" s="295" t="n"/>
      <c r="R298" s="282" t="n"/>
      <c r="S298" s="295" t="n"/>
      <c r="T298" s="295" t="n"/>
      <c r="U298" s="285" t="n"/>
      <c r="V298" s="295" t="n"/>
      <c r="W298" s="282" t="n"/>
      <c r="X298" s="295" t="n"/>
      <c r="Y298" s="295" t="n"/>
      <c r="Z298" s="295" t="n"/>
      <c r="AA298" s="295" t="n"/>
      <c r="AB298" s="285" t="n"/>
      <c r="AC298" s="295" t="n"/>
      <c r="AD298" s="295" t="n"/>
      <c r="AE298" s="286" t="n"/>
    </row>
    <row r="299">
      <c r="B299" s="287" t="n"/>
      <c r="C299" s="288" t="n"/>
      <c r="D299" s="295" t="n"/>
      <c r="E299" s="295" t="n"/>
      <c r="F299" s="295" t="n"/>
      <c r="G299" s="290" t="n"/>
      <c r="H299" s="295" t="n"/>
      <c r="I299" s="295" t="n"/>
      <c r="J299" s="290" t="n"/>
      <c r="K299" s="347" t="n"/>
      <c r="L299" s="295" t="n"/>
      <c r="M299" s="348" t="n"/>
      <c r="N299" s="295" t="n"/>
      <c r="O299" s="293" t="n"/>
      <c r="P299" s="295" t="n"/>
      <c r="Q299" s="295" t="n"/>
      <c r="R299" s="290" t="n"/>
      <c r="S299" s="295" t="n"/>
      <c r="T299" s="295" t="n"/>
      <c r="U299" s="293" t="n"/>
      <c r="V299" s="295" t="n"/>
      <c r="W299" s="290" t="n"/>
      <c r="X299" s="295" t="n"/>
      <c r="Y299" s="295" t="n"/>
      <c r="Z299" s="295" t="n"/>
      <c r="AA299" s="295" t="n"/>
      <c r="AB299" s="293" t="n"/>
      <c r="AC299" s="295" t="n"/>
      <c r="AD299" s="295" t="n"/>
      <c r="AE299" s="294" t="n"/>
    </row>
    <row r="300">
      <c r="B300" s="279" t="n"/>
      <c r="C300" s="280" t="n"/>
      <c r="D300" s="295" t="n"/>
      <c r="E300" s="295" t="n"/>
      <c r="F300" s="295" t="n"/>
      <c r="G300" s="282" t="n"/>
      <c r="H300" s="295" t="n"/>
      <c r="I300" s="295" t="n"/>
      <c r="J300" s="282" t="n"/>
      <c r="K300" s="345" t="n"/>
      <c r="L300" s="295" t="n"/>
      <c r="M300" s="346" t="n"/>
      <c r="N300" s="295" t="n"/>
      <c r="O300" s="285" t="n"/>
      <c r="P300" s="295" t="n"/>
      <c r="Q300" s="295" t="n"/>
      <c r="R300" s="282" t="n"/>
      <c r="S300" s="295" t="n"/>
      <c r="T300" s="295" t="n"/>
      <c r="U300" s="285" t="n"/>
      <c r="V300" s="295" t="n"/>
      <c r="W300" s="282" t="n"/>
      <c r="X300" s="295" t="n"/>
      <c r="Y300" s="295" t="n"/>
      <c r="Z300" s="295" t="n"/>
      <c r="AA300" s="295" t="n"/>
      <c r="AB300" s="285" t="n"/>
      <c r="AC300" s="295" t="n"/>
      <c r="AD300" s="295" t="n"/>
      <c r="AE300" s="286" t="n"/>
    </row>
    <row r="301">
      <c r="B301" s="287" t="n"/>
      <c r="C301" s="288" t="n"/>
      <c r="D301" s="295" t="n"/>
      <c r="E301" s="295" t="n"/>
      <c r="F301" s="295" t="n"/>
      <c r="G301" s="290" t="n"/>
      <c r="H301" s="295" t="n"/>
      <c r="I301" s="295" t="n"/>
      <c r="J301" s="290" t="n"/>
      <c r="K301" s="347" t="n"/>
      <c r="L301" s="295" t="n"/>
      <c r="M301" s="348" t="n"/>
      <c r="N301" s="295" t="n"/>
      <c r="O301" s="293" t="n"/>
      <c r="P301" s="295" t="n"/>
      <c r="Q301" s="295" t="n"/>
      <c r="R301" s="290" t="n"/>
      <c r="S301" s="295" t="n"/>
      <c r="T301" s="295" t="n"/>
      <c r="U301" s="293" t="n"/>
      <c r="V301" s="295" t="n"/>
      <c r="W301" s="290" t="n"/>
      <c r="X301" s="295" t="n"/>
      <c r="Y301" s="295" t="n"/>
      <c r="Z301" s="295" t="n"/>
      <c r="AA301" s="295" t="n"/>
      <c r="AB301" s="293" t="n"/>
      <c r="AC301" s="295" t="n"/>
      <c r="AD301" s="295" t="n"/>
      <c r="AE301" s="294" t="n"/>
    </row>
    <row r="302">
      <c r="B302" s="279" t="n"/>
      <c r="C302" s="280" t="n"/>
      <c r="D302" s="295" t="n"/>
      <c r="E302" s="295" t="n"/>
      <c r="F302" s="295" t="n"/>
      <c r="G302" s="282" t="n"/>
      <c r="H302" s="295" t="n"/>
      <c r="I302" s="295" t="n"/>
      <c r="J302" s="282" t="n"/>
      <c r="K302" s="345" t="n"/>
      <c r="L302" s="295" t="n"/>
      <c r="M302" s="346" t="n"/>
      <c r="N302" s="295" t="n"/>
      <c r="O302" s="285" t="n"/>
      <c r="P302" s="295" t="n"/>
      <c r="Q302" s="295" t="n"/>
      <c r="R302" s="282" t="n"/>
      <c r="S302" s="295" t="n"/>
      <c r="T302" s="295" t="n"/>
      <c r="U302" s="285" t="n"/>
      <c r="V302" s="295" t="n"/>
      <c r="W302" s="282" t="n"/>
      <c r="X302" s="295" t="n"/>
      <c r="Y302" s="295" t="n"/>
      <c r="Z302" s="295" t="n"/>
      <c r="AA302" s="295" t="n"/>
      <c r="AB302" s="285" t="n"/>
      <c r="AC302" s="295" t="n"/>
      <c r="AD302" s="295" t="n"/>
      <c r="AE302" s="286" t="n"/>
    </row>
    <row r="303">
      <c r="B303" s="287" t="n"/>
      <c r="C303" s="288" t="n"/>
      <c r="D303" s="295" t="n"/>
      <c r="E303" s="295" t="n"/>
      <c r="F303" s="295" t="n"/>
      <c r="G303" s="290" t="n"/>
      <c r="H303" s="295" t="n"/>
      <c r="I303" s="295" t="n"/>
      <c r="J303" s="290" t="n"/>
      <c r="K303" s="347" t="n"/>
      <c r="L303" s="295" t="n"/>
      <c r="M303" s="348" t="n"/>
      <c r="N303" s="295" t="n"/>
      <c r="O303" s="293" t="n"/>
      <c r="P303" s="295" t="n"/>
      <c r="Q303" s="295" t="n"/>
      <c r="R303" s="290" t="n"/>
      <c r="S303" s="295" t="n"/>
      <c r="T303" s="295" t="n"/>
      <c r="U303" s="293" t="n"/>
      <c r="V303" s="295" t="n"/>
      <c r="W303" s="290" t="n"/>
      <c r="X303" s="295" t="n"/>
      <c r="Y303" s="295" t="n"/>
      <c r="Z303" s="295" t="n"/>
      <c r="AA303" s="295" t="n"/>
      <c r="AB303" s="293" t="n"/>
      <c r="AC303" s="295" t="n"/>
      <c r="AD303" s="295" t="n"/>
      <c r="AE303" s="294" t="n"/>
    </row>
    <row r="304">
      <c r="B304" s="279" t="n"/>
      <c r="C304" s="280" t="n"/>
      <c r="D304" s="295" t="n"/>
      <c r="E304" s="295" t="n"/>
      <c r="F304" s="295" t="n"/>
      <c r="G304" s="282" t="n"/>
      <c r="H304" s="295" t="n"/>
      <c r="I304" s="295" t="n"/>
      <c r="J304" s="282" t="n"/>
      <c r="K304" s="345" t="n"/>
      <c r="L304" s="295" t="n"/>
      <c r="M304" s="346" t="n"/>
      <c r="N304" s="295" t="n"/>
      <c r="O304" s="285" t="n"/>
      <c r="P304" s="295" t="n"/>
      <c r="Q304" s="295" t="n"/>
      <c r="R304" s="282" t="n"/>
      <c r="S304" s="295" t="n"/>
      <c r="T304" s="295" t="n"/>
      <c r="U304" s="285" t="n"/>
      <c r="V304" s="295" t="n"/>
      <c r="W304" s="282" t="n"/>
      <c r="X304" s="295" t="n"/>
      <c r="Y304" s="295" t="n"/>
      <c r="Z304" s="295" t="n"/>
      <c r="AA304" s="295" t="n"/>
      <c r="AB304" s="285" t="n"/>
      <c r="AC304" s="295" t="n"/>
      <c r="AD304" s="295" t="n"/>
      <c r="AE304" s="286" t="n"/>
    </row>
    <row r="305">
      <c r="B305" s="287" t="n"/>
      <c r="C305" s="288" t="n"/>
      <c r="D305" s="295" t="n"/>
      <c r="E305" s="295" t="n"/>
      <c r="F305" s="295" t="n"/>
      <c r="G305" s="290" t="n"/>
      <c r="H305" s="295" t="n"/>
      <c r="I305" s="295" t="n"/>
      <c r="J305" s="290" t="n"/>
      <c r="K305" s="347" t="n"/>
      <c r="L305" s="295" t="n"/>
      <c r="M305" s="348" t="n"/>
      <c r="N305" s="295" t="n"/>
      <c r="O305" s="293" t="n"/>
      <c r="P305" s="295" t="n"/>
      <c r="Q305" s="295" t="n"/>
      <c r="R305" s="290" t="n"/>
      <c r="S305" s="295" t="n"/>
      <c r="T305" s="295" t="n"/>
      <c r="U305" s="293" t="n"/>
      <c r="V305" s="295" t="n"/>
      <c r="W305" s="290" t="n"/>
      <c r="X305" s="295" t="n"/>
      <c r="Y305" s="295" t="n"/>
      <c r="Z305" s="295" t="n"/>
      <c r="AA305" s="295" t="n"/>
      <c r="AB305" s="293" t="n"/>
      <c r="AC305" s="295" t="n"/>
      <c r="AD305" s="295" t="n"/>
      <c r="AE305" s="294" t="n"/>
    </row>
    <row r="306">
      <c r="B306" s="279" t="n"/>
      <c r="C306" s="280" t="n"/>
      <c r="D306" s="295" t="n"/>
      <c r="E306" s="295" t="n"/>
      <c r="F306" s="295" t="n"/>
      <c r="G306" s="282" t="n"/>
      <c r="H306" s="295" t="n"/>
      <c r="I306" s="295" t="n"/>
      <c r="J306" s="282" t="n"/>
      <c r="K306" s="345" t="n"/>
      <c r="L306" s="295" t="n"/>
      <c r="M306" s="346" t="n"/>
      <c r="N306" s="295" t="n"/>
      <c r="O306" s="285" t="n"/>
      <c r="P306" s="295" t="n"/>
      <c r="Q306" s="295" t="n"/>
      <c r="R306" s="282" t="n"/>
      <c r="S306" s="295" t="n"/>
      <c r="T306" s="295" t="n"/>
      <c r="U306" s="285" t="n"/>
      <c r="V306" s="295" t="n"/>
      <c r="W306" s="282" t="n"/>
      <c r="X306" s="295" t="n"/>
      <c r="Y306" s="295" t="n"/>
      <c r="Z306" s="295" t="n"/>
      <c r="AA306" s="295" t="n"/>
      <c r="AB306" s="285" t="n"/>
      <c r="AC306" s="295" t="n"/>
      <c r="AD306" s="295" t="n"/>
      <c r="AE306" s="286" t="n"/>
    </row>
    <row r="307">
      <c r="B307" s="287" t="n"/>
      <c r="C307" s="288" t="n"/>
      <c r="D307" s="295" t="n"/>
      <c r="E307" s="295" t="n"/>
      <c r="F307" s="295" t="n"/>
      <c r="G307" s="290" t="n"/>
      <c r="H307" s="295" t="n"/>
      <c r="I307" s="295" t="n"/>
      <c r="J307" s="290" t="n"/>
      <c r="K307" s="347" t="n"/>
      <c r="L307" s="295" t="n"/>
      <c r="M307" s="348" t="n"/>
      <c r="N307" s="295" t="n"/>
      <c r="O307" s="293" t="n"/>
      <c r="P307" s="295" t="n"/>
      <c r="Q307" s="295" t="n"/>
      <c r="R307" s="290" t="n"/>
      <c r="S307" s="295" t="n"/>
      <c r="T307" s="295" t="n"/>
      <c r="U307" s="293" t="n"/>
      <c r="V307" s="295" t="n"/>
      <c r="W307" s="290" t="n"/>
      <c r="X307" s="295" t="n"/>
      <c r="Y307" s="295" t="n"/>
      <c r="Z307" s="295" t="n"/>
      <c r="AA307" s="295" t="n"/>
      <c r="AB307" s="293" t="n"/>
      <c r="AC307" s="295" t="n"/>
      <c r="AD307" s="295" t="n"/>
      <c r="AE307" s="294" t="n"/>
    </row>
    <row r="308">
      <c r="B308" s="279" t="n"/>
      <c r="C308" s="280" t="n"/>
      <c r="D308" s="295" t="n"/>
      <c r="E308" s="295" t="n"/>
      <c r="F308" s="295" t="n"/>
      <c r="G308" s="282" t="n"/>
      <c r="H308" s="295" t="n"/>
      <c r="I308" s="295" t="n"/>
      <c r="J308" s="282" t="n"/>
      <c r="K308" s="345" t="n"/>
      <c r="L308" s="295" t="n"/>
      <c r="M308" s="346" t="n"/>
      <c r="N308" s="295" t="n"/>
      <c r="O308" s="285" t="n"/>
      <c r="P308" s="295" t="n"/>
      <c r="Q308" s="295" t="n"/>
      <c r="R308" s="282" t="n"/>
      <c r="S308" s="295" t="n"/>
      <c r="T308" s="295" t="n"/>
      <c r="U308" s="285" t="n"/>
      <c r="V308" s="295" t="n"/>
      <c r="W308" s="282" t="n"/>
      <c r="X308" s="295" t="n"/>
      <c r="Y308" s="295" t="n"/>
      <c r="Z308" s="295" t="n"/>
      <c r="AA308" s="295" t="n"/>
      <c r="AB308" s="285" t="n"/>
      <c r="AC308" s="295" t="n"/>
      <c r="AD308" s="295" t="n"/>
      <c r="AE308" s="286" t="n"/>
    </row>
    <row r="309">
      <c r="B309" s="287" t="n"/>
      <c r="C309" s="288" t="n"/>
      <c r="D309" s="295" t="n"/>
      <c r="E309" s="295" t="n"/>
      <c r="F309" s="295" t="n"/>
      <c r="G309" s="290" t="n"/>
      <c r="H309" s="295" t="n"/>
      <c r="I309" s="295" t="n"/>
      <c r="J309" s="290" t="n"/>
      <c r="K309" s="347" t="n"/>
      <c r="L309" s="295" t="n"/>
      <c r="M309" s="348" t="n"/>
      <c r="N309" s="295" t="n"/>
      <c r="O309" s="293" t="n"/>
      <c r="P309" s="295" t="n"/>
      <c r="Q309" s="295" t="n"/>
      <c r="R309" s="290" t="n"/>
      <c r="S309" s="295" t="n"/>
      <c r="T309" s="295" t="n"/>
      <c r="U309" s="293" t="n"/>
      <c r="V309" s="295" t="n"/>
      <c r="W309" s="290" t="n"/>
      <c r="X309" s="295" t="n"/>
      <c r="Y309" s="295" t="n"/>
      <c r="Z309" s="295" t="n"/>
      <c r="AA309" s="295" t="n"/>
      <c r="AB309" s="293" t="n"/>
      <c r="AC309" s="295" t="n"/>
      <c r="AD309" s="295" t="n"/>
      <c r="AE309" s="294" t="n"/>
    </row>
    <row r="310">
      <c r="B310" s="279" t="n"/>
      <c r="C310" s="280" t="n"/>
      <c r="D310" s="295" t="n"/>
      <c r="E310" s="295" t="n"/>
      <c r="F310" s="295" t="n"/>
      <c r="G310" s="282" t="n"/>
      <c r="H310" s="295" t="n"/>
      <c r="I310" s="295" t="n"/>
      <c r="J310" s="282" t="n"/>
      <c r="K310" s="345" t="n"/>
      <c r="L310" s="295" t="n"/>
      <c r="M310" s="346" t="n"/>
      <c r="N310" s="295" t="n"/>
      <c r="O310" s="285" t="n"/>
      <c r="P310" s="295" t="n"/>
      <c r="Q310" s="295" t="n"/>
      <c r="R310" s="282" t="n"/>
      <c r="S310" s="295" t="n"/>
      <c r="T310" s="295" t="n"/>
      <c r="U310" s="285" t="n"/>
      <c r="V310" s="295" t="n"/>
      <c r="W310" s="282" t="n"/>
      <c r="X310" s="295" t="n"/>
      <c r="Y310" s="295" t="n"/>
      <c r="Z310" s="295" t="n"/>
      <c r="AA310" s="295" t="n"/>
      <c r="AB310" s="285" t="n"/>
      <c r="AC310" s="295" t="n"/>
      <c r="AD310" s="295" t="n"/>
      <c r="AE310" s="286" t="n"/>
    </row>
    <row r="311">
      <c r="B311" s="287" t="n"/>
      <c r="C311" s="288" t="n"/>
      <c r="D311" s="295" t="n"/>
      <c r="E311" s="295" t="n"/>
      <c r="F311" s="295" t="n"/>
      <c r="G311" s="290" t="n"/>
      <c r="H311" s="295" t="n"/>
      <c r="I311" s="295" t="n"/>
      <c r="J311" s="290" t="n"/>
      <c r="K311" s="347" t="n"/>
      <c r="L311" s="295" t="n"/>
      <c r="M311" s="348" t="n"/>
      <c r="N311" s="295" t="n"/>
      <c r="O311" s="293" t="n"/>
      <c r="P311" s="295" t="n"/>
      <c r="Q311" s="295" t="n"/>
      <c r="R311" s="290" t="n"/>
      <c r="S311" s="295" t="n"/>
      <c r="T311" s="295" t="n"/>
      <c r="U311" s="293" t="n"/>
      <c r="V311" s="295" t="n"/>
      <c r="W311" s="290" t="n"/>
      <c r="X311" s="295" t="n"/>
      <c r="Y311" s="295" t="n"/>
      <c r="Z311" s="295" t="n"/>
      <c r="AA311" s="295" t="n"/>
      <c r="AB311" s="293" t="n"/>
      <c r="AC311" s="295" t="n"/>
      <c r="AD311" s="295" t="n"/>
      <c r="AE311" s="294" t="n"/>
    </row>
    <row r="312">
      <c r="B312" s="279" t="n"/>
      <c r="C312" s="280" t="n"/>
      <c r="D312" s="295" t="n"/>
      <c r="E312" s="295" t="n"/>
      <c r="F312" s="295" t="n"/>
      <c r="G312" s="282" t="n"/>
      <c r="H312" s="295" t="n"/>
      <c r="I312" s="295" t="n"/>
      <c r="J312" s="282" t="n"/>
      <c r="K312" s="345" t="n"/>
      <c r="L312" s="295" t="n"/>
      <c r="M312" s="346" t="n"/>
      <c r="N312" s="295" t="n"/>
      <c r="O312" s="285" t="n"/>
      <c r="P312" s="295" t="n"/>
      <c r="Q312" s="295" t="n"/>
      <c r="R312" s="282" t="n"/>
      <c r="S312" s="295" t="n"/>
      <c r="T312" s="295" t="n"/>
      <c r="U312" s="285" t="n"/>
      <c r="V312" s="295" t="n"/>
      <c r="W312" s="282" t="n"/>
      <c r="X312" s="295" t="n"/>
      <c r="Y312" s="295" t="n"/>
      <c r="Z312" s="295" t="n"/>
      <c r="AA312" s="295" t="n"/>
      <c r="AB312" s="285" t="n"/>
      <c r="AC312" s="295" t="n"/>
      <c r="AD312" s="295" t="n"/>
      <c r="AE312" s="286" t="n"/>
    </row>
    <row r="313">
      <c r="B313" s="287" t="n"/>
      <c r="C313" s="288" t="n"/>
      <c r="D313" s="295" t="n"/>
      <c r="E313" s="295" t="n"/>
      <c r="F313" s="295" t="n"/>
      <c r="G313" s="290" t="n"/>
      <c r="H313" s="295" t="n"/>
      <c r="I313" s="295" t="n"/>
      <c r="J313" s="290" t="n"/>
      <c r="K313" s="347" t="n"/>
      <c r="L313" s="295" t="n"/>
      <c r="M313" s="348" t="n"/>
      <c r="N313" s="295" t="n"/>
      <c r="O313" s="293" t="n"/>
      <c r="P313" s="295" t="n"/>
      <c r="Q313" s="295" t="n"/>
      <c r="R313" s="290" t="n"/>
      <c r="S313" s="295" t="n"/>
      <c r="T313" s="295" t="n"/>
      <c r="U313" s="293" t="n"/>
      <c r="V313" s="295" t="n"/>
      <c r="W313" s="290" t="n"/>
      <c r="X313" s="295" t="n"/>
      <c r="Y313" s="295" t="n"/>
      <c r="Z313" s="295" t="n"/>
      <c r="AA313" s="295" t="n"/>
      <c r="AB313" s="293" t="n"/>
      <c r="AC313" s="295" t="n"/>
      <c r="AD313" s="295" t="n"/>
      <c r="AE313" s="294" t="n"/>
    </row>
    <row r="314">
      <c r="B314" s="279" t="n"/>
      <c r="C314" s="280" t="n"/>
      <c r="D314" s="295" t="n"/>
      <c r="E314" s="295" t="n"/>
      <c r="F314" s="295" t="n"/>
      <c r="G314" s="282" t="n"/>
      <c r="H314" s="295" t="n"/>
      <c r="I314" s="295" t="n"/>
      <c r="J314" s="282" t="n"/>
      <c r="K314" s="345" t="n"/>
      <c r="L314" s="295" t="n"/>
      <c r="M314" s="346" t="n"/>
      <c r="N314" s="295" t="n"/>
      <c r="O314" s="285" t="n"/>
      <c r="P314" s="295" t="n"/>
      <c r="Q314" s="295" t="n"/>
      <c r="R314" s="282" t="n"/>
      <c r="S314" s="295" t="n"/>
      <c r="T314" s="295" t="n"/>
      <c r="U314" s="285" t="n"/>
      <c r="V314" s="295" t="n"/>
      <c r="W314" s="282" t="n"/>
      <c r="X314" s="295" t="n"/>
      <c r="Y314" s="295" t="n"/>
      <c r="Z314" s="295" t="n"/>
      <c r="AA314" s="295" t="n"/>
      <c r="AB314" s="285" t="n"/>
      <c r="AC314" s="295" t="n"/>
      <c r="AD314" s="295" t="n"/>
      <c r="AE314" s="286" t="n"/>
    </row>
    <row r="315">
      <c r="B315" s="287" t="n"/>
      <c r="C315" s="288" t="n"/>
      <c r="D315" s="295" t="n"/>
      <c r="E315" s="295" t="n"/>
      <c r="F315" s="295" t="n"/>
      <c r="G315" s="290" t="n"/>
      <c r="H315" s="295" t="n"/>
      <c r="I315" s="295" t="n"/>
      <c r="J315" s="290" t="n"/>
      <c r="K315" s="347" t="n"/>
      <c r="L315" s="295" t="n"/>
      <c r="M315" s="348" t="n"/>
      <c r="N315" s="295" t="n"/>
      <c r="O315" s="293" t="n"/>
      <c r="P315" s="295" t="n"/>
      <c r="Q315" s="295" t="n"/>
      <c r="R315" s="290" t="n"/>
      <c r="S315" s="295" t="n"/>
      <c r="T315" s="295" t="n"/>
      <c r="U315" s="293" t="n"/>
      <c r="V315" s="295" t="n"/>
      <c r="W315" s="290" t="n"/>
      <c r="X315" s="295" t="n"/>
      <c r="Y315" s="295" t="n"/>
      <c r="Z315" s="295" t="n"/>
      <c r="AA315" s="295" t="n"/>
      <c r="AB315" s="293" t="n"/>
      <c r="AC315" s="295" t="n"/>
      <c r="AD315" s="295" t="n"/>
      <c r="AE315" s="294" t="n"/>
    </row>
    <row r="316">
      <c r="B316" s="279" t="n"/>
      <c r="C316" s="280" t="n"/>
      <c r="D316" s="295" t="n"/>
      <c r="E316" s="295" t="n"/>
      <c r="F316" s="295" t="n"/>
      <c r="G316" s="282" t="n"/>
      <c r="H316" s="295" t="n"/>
      <c r="I316" s="295" t="n"/>
      <c r="J316" s="282" t="n"/>
      <c r="K316" s="345" t="n"/>
      <c r="L316" s="295" t="n"/>
      <c r="M316" s="346" t="n"/>
      <c r="N316" s="295" t="n"/>
      <c r="O316" s="285" t="n"/>
      <c r="P316" s="295" t="n"/>
      <c r="Q316" s="295" t="n"/>
      <c r="R316" s="282" t="n"/>
      <c r="S316" s="295" t="n"/>
      <c r="T316" s="295" t="n"/>
      <c r="U316" s="285" t="n"/>
      <c r="V316" s="295" t="n"/>
      <c r="W316" s="282" t="n"/>
      <c r="X316" s="295" t="n"/>
      <c r="Y316" s="295" t="n"/>
      <c r="Z316" s="295" t="n"/>
      <c r="AA316" s="295" t="n"/>
      <c r="AB316" s="285" t="n"/>
      <c r="AC316" s="295" t="n"/>
      <c r="AD316" s="295" t="n"/>
      <c r="AE316" s="286" t="n"/>
    </row>
    <row r="317">
      <c r="B317" s="287" t="n"/>
      <c r="C317" s="288" t="n"/>
      <c r="D317" s="295" t="n"/>
      <c r="E317" s="295" t="n"/>
      <c r="F317" s="295" t="n"/>
      <c r="G317" s="290" t="n"/>
      <c r="H317" s="295" t="n"/>
      <c r="I317" s="295" t="n"/>
      <c r="J317" s="290" t="n"/>
      <c r="K317" s="347" t="n"/>
      <c r="L317" s="295" t="n"/>
      <c r="M317" s="348" t="n"/>
      <c r="N317" s="295" t="n"/>
      <c r="O317" s="293" t="n"/>
      <c r="P317" s="295" t="n"/>
      <c r="Q317" s="295" t="n"/>
      <c r="R317" s="290" t="n"/>
      <c r="S317" s="295" t="n"/>
      <c r="T317" s="295" t="n"/>
      <c r="U317" s="293" t="n"/>
      <c r="V317" s="295" t="n"/>
      <c r="W317" s="290" t="n"/>
      <c r="X317" s="295" t="n"/>
      <c r="Y317" s="295" t="n"/>
      <c r="Z317" s="295" t="n"/>
      <c r="AA317" s="295" t="n"/>
      <c r="AB317" s="293" t="n"/>
      <c r="AC317" s="295" t="n"/>
      <c r="AD317" s="295" t="n"/>
      <c r="AE317" s="294" t="n"/>
    </row>
    <row r="318">
      <c r="B318" s="279" t="n"/>
      <c r="C318" s="280" t="n"/>
      <c r="D318" s="295" t="n"/>
      <c r="E318" s="295" t="n"/>
      <c r="F318" s="295" t="n"/>
      <c r="G318" s="282" t="n"/>
      <c r="H318" s="295" t="n"/>
      <c r="I318" s="295" t="n"/>
      <c r="J318" s="282" t="n"/>
      <c r="K318" s="345" t="n"/>
      <c r="L318" s="295" t="n"/>
      <c r="M318" s="346" t="n"/>
      <c r="N318" s="295" t="n"/>
      <c r="O318" s="285" t="n"/>
      <c r="P318" s="295" t="n"/>
      <c r="Q318" s="295" t="n"/>
      <c r="R318" s="282" t="n"/>
      <c r="S318" s="295" t="n"/>
      <c r="T318" s="295" t="n"/>
      <c r="U318" s="285" t="n"/>
      <c r="V318" s="295" t="n"/>
      <c r="W318" s="282" t="n"/>
      <c r="X318" s="295" t="n"/>
      <c r="Y318" s="295" t="n"/>
      <c r="Z318" s="295" t="n"/>
      <c r="AA318" s="295" t="n"/>
      <c r="AB318" s="285" t="n"/>
      <c r="AC318" s="295" t="n"/>
      <c r="AD318" s="295" t="n"/>
      <c r="AE318" s="286" t="n"/>
    </row>
    <row r="319">
      <c r="B319" s="287" t="n"/>
      <c r="C319" s="288" t="n"/>
      <c r="D319" s="295" t="n"/>
      <c r="E319" s="295" t="n"/>
      <c r="F319" s="295" t="n"/>
      <c r="G319" s="290" t="n"/>
      <c r="H319" s="295" t="n"/>
      <c r="I319" s="295" t="n"/>
      <c r="J319" s="290" t="n"/>
      <c r="K319" s="347" t="n"/>
      <c r="L319" s="295" t="n"/>
      <c r="M319" s="348" t="n"/>
      <c r="N319" s="295" t="n"/>
      <c r="O319" s="293" t="n"/>
      <c r="P319" s="295" t="n"/>
      <c r="Q319" s="295" t="n"/>
      <c r="R319" s="290" t="n"/>
      <c r="S319" s="295" t="n"/>
      <c r="T319" s="295" t="n"/>
      <c r="U319" s="293" t="n"/>
      <c r="V319" s="295" t="n"/>
      <c r="W319" s="290" t="n"/>
      <c r="X319" s="295" t="n"/>
      <c r="Y319" s="295" t="n"/>
      <c r="Z319" s="295" t="n"/>
      <c r="AA319" s="295" t="n"/>
      <c r="AB319" s="293" t="n"/>
      <c r="AC319" s="295" t="n"/>
      <c r="AD319" s="295" t="n"/>
      <c r="AE319" s="294" t="n"/>
    </row>
    <row r="320">
      <c r="B320" s="279" t="n"/>
      <c r="C320" s="280" t="n"/>
      <c r="D320" s="295" t="n"/>
      <c r="E320" s="295" t="n"/>
      <c r="F320" s="295" t="n"/>
      <c r="G320" s="282" t="n"/>
      <c r="H320" s="295" t="n"/>
      <c r="I320" s="295" t="n"/>
      <c r="J320" s="282" t="n"/>
      <c r="K320" s="345" t="n"/>
      <c r="L320" s="295" t="n"/>
      <c r="M320" s="346" t="n"/>
      <c r="N320" s="295" t="n"/>
      <c r="O320" s="285" t="n"/>
      <c r="P320" s="295" t="n"/>
      <c r="Q320" s="295" t="n"/>
      <c r="R320" s="282" t="n"/>
      <c r="S320" s="295" t="n"/>
      <c r="T320" s="295" t="n"/>
      <c r="U320" s="285" t="n"/>
      <c r="V320" s="295" t="n"/>
      <c r="W320" s="282" t="n"/>
      <c r="X320" s="295" t="n"/>
      <c r="Y320" s="295" t="n"/>
      <c r="Z320" s="295" t="n"/>
      <c r="AA320" s="295" t="n"/>
      <c r="AB320" s="285" t="n"/>
      <c r="AC320" s="295" t="n"/>
      <c r="AD320" s="295" t="n"/>
      <c r="AE320" s="286" t="n"/>
    </row>
    <row r="321">
      <c r="B321" s="287" t="n"/>
      <c r="C321" s="288" t="n"/>
      <c r="D321" s="295" t="n"/>
      <c r="E321" s="295" t="n"/>
      <c r="F321" s="295" t="n"/>
      <c r="G321" s="290" t="n"/>
      <c r="H321" s="295" t="n"/>
      <c r="I321" s="295" t="n"/>
      <c r="J321" s="290" t="n"/>
      <c r="K321" s="347" t="n"/>
      <c r="L321" s="295" t="n"/>
      <c r="M321" s="348" t="n"/>
      <c r="N321" s="295" t="n"/>
      <c r="O321" s="293" t="n"/>
      <c r="P321" s="295" t="n"/>
      <c r="Q321" s="295" t="n"/>
      <c r="R321" s="290" t="n"/>
      <c r="S321" s="295" t="n"/>
      <c r="T321" s="295" t="n"/>
      <c r="U321" s="293" t="n"/>
      <c r="V321" s="295" t="n"/>
      <c r="W321" s="290" t="n"/>
      <c r="X321" s="295" t="n"/>
      <c r="Y321" s="295" t="n"/>
      <c r="Z321" s="295" t="n"/>
      <c r="AA321" s="295" t="n"/>
      <c r="AB321" s="293" t="n"/>
      <c r="AC321" s="295" t="n"/>
      <c r="AD321" s="295" t="n"/>
      <c r="AE321" s="294" t="n"/>
    </row>
    <row r="322">
      <c r="B322" s="279" t="n"/>
      <c r="C322" s="280" t="n"/>
      <c r="D322" s="295" t="n"/>
      <c r="E322" s="295" t="n"/>
      <c r="F322" s="295" t="n"/>
      <c r="G322" s="282" t="n"/>
      <c r="H322" s="295" t="n"/>
      <c r="I322" s="295" t="n"/>
      <c r="J322" s="282" t="n"/>
      <c r="K322" s="345" t="n"/>
      <c r="L322" s="295" t="n"/>
      <c r="M322" s="346" t="n"/>
      <c r="N322" s="295" t="n"/>
      <c r="O322" s="285" t="n"/>
      <c r="P322" s="295" t="n"/>
      <c r="Q322" s="295" t="n"/>
      <c r="R322" s="282" t="n"/>
      <c r="S322" s="295" t="n"/>
      <c r="T322" s="295" t="n"/>
      <c r="U322" s="285" t="n"/>
      <c r="V322" s="295" t="n"/>
      <c r="W322" s="282" t="n"/>
      <c r="X322" s="295" t="n"/>
      <c r="Y322" s="295" t="n"/>
      <c r="Z322" s="295" t="n"/>
      <c r="AA322" s="295" t="n"/>
      <c r="AB322" s="285" t="n"/>
      <c r="AC322" s="295" t="n"/>
      <c r="AD322" s="295" t="n"/>
      <c r="AE322" s="286" t="n"/>
    </row>
    <row r="323">
      <c r="B323" s="287" t="n"/>
      <c r="C323" s="288" t="n"/>
      <c r="D323" s="295" t="n"/>
      <c r="E323" s="295" t="n"/>
      <c r="F323" s="295" t="n"/>
      <c r="G323" s="290" t="n"/>
      <c r="H323" s="295" t="n"/>
      <c r="I323" s="295" t="n"/>
      <c r="J323" s="290" t="n"/>
      <c r="K323" s="347" t="n"/>
      <c r="L323" s="295" t="n"/>
      <c r="M323" s="348" t="n"/>
      <c r="N323" s="295" t="n"/>
      <c r="O323" s="293" t="n"/>
      <c r="P323" s="295" t="n"/>
      <c r="Q323" s="295" t="n"/>
      <c r="R323" s="290" t="n"/>
      <c r="S323" s="295" t="n"/>
      <c r="T323" s="295" t="n"/>
      <c r="U323" s="293" t="n"/>
      <c r="V323" s="295" t="n"/>
      <c r="W323" s="290" t="n"/>
      <c r="X323" s="295" t="n"/>
      <c r="Y323" s="295" t="n"/>
      <c r="Z323" s="295" t="n"/>
      <c r="AA323" s="295" t="n"/>
      <c r="AB323" s="293" t="n"/>
      <c r="AC323" s="295" t="n"/>
      <c r="AD323" s="295" t="n"/>
      <c r="AE323" s="294" t="n"/>
    </row>
    <row r="324">
      <c r="B324" s="279" t="n"/>
      <c r="C324" s="280" t="n"/>
      <c r="D324" s="295" t="n"/>
      <c r="E324" s="295" t="n"/>
      <c r="F324" s="295" t="n"/>
      <c r="G324" s="282" t="n"/>
      <c r="H324" s="295" t="n"/>
      <c r="I324" s="295" t="n"/>
      <c r="J324" s="282" t="n"/>
      <c r="K324" s="345" t="n"/>
      <c r="L324" s="295" t="n"/>
      <c r="M324" s="346" t="n"/>
      <c r="N324" s="295" t="n"/>
      <c r="O324" s="285" t="n"/>
      <c r="P324" s="295" t="n"/>
      <c r="Q324" s="295" t="n"/>
      <c r="R324" s="282" t="n"/>
      <c r="S324" s="295" t="n"/>
      <c r="T324" s="295" t="n"/>
      <c r="U324" s="285" t="n"/>
      <c r="V324" s="295" t="n"/>
      <c r="W324" s="282" t="n"/>
      <c r="X324" s="295" t="n"/>
      <c r="Y324" s="295" t="n"/>
      <c r="Z324" s="295" t="n"/>
      <c r="AA324" s="295" t="n"/>
      <c r="AB324" s="285" t="n"/>
      <c r="AC324" s="295" t="n"/>
      <c r="AD324" s="295" t="n"/>
      <c r="AE324" s="286" t="n"/>
    </row>
    <row r="325">
      <c r="B325" s="287" t="n"/>
      <c r="C325" s="288" t="n"/>
      <c r="D325" s="295" t="n"/>
      <c r="E325" s="295" t="n"/>
      <c r="F325" s="295" t="n"/>
      <c r="G325" s="290" t="n"/>
      <c r="H325" s="295" t="n"/>
      <c r="I325" s="295" t="n"/>
      <c r="J325" s="290" t="n"/>
      <c r="K325" s="347" t="n"/>
      <c r="L325" s="295" t="n"/>
      <c r="M325" s="348" t="n"/>
      <c r="N325" s="295" t="n"/>
      <c r="O325" s="293" t="n"/>
      <c r="P325" s="295" t="n"/>
      <c r="Q325" s="295" t="n"/>
      <c r="R325" s="290" t="n"/>
      <c r="S325" s="295" t="n"/>
      <c r="T325" s="295" t="n"/>
      <c r="U325" s="293" t="n"/>
      <c r="V325" s="295" t="n"/>
      <c r="W325" s="290" t="n"/>
      <c r="X325" s="295" t="n"/>
      <c r="Y325" s="295" t="n"/>
      <c r="Z325" s="295" t="n"/>
      <c r="AA325" s="295" t="n"/>
      <c r="AB325" s="293" t="n"/>
      <c r="AC325" s="295" t="n"/>
      <c r="AD325" s="295" t="n"/>
      <c r="AE325" s="294" t="n"/>
    </row>
    <row r="326">
      <c r="B326" s="279" t="n"/>
      <c r="C326" s="280" t="n"/>
      <c r="D326" s="295" t="n"/>
      <c r="E326" s="295" t="n"/>
      <c r="F326" s="295" t="n"/>
      <c r="G326" s="282" t="n"/>
      <c r="H326" s="295" t="n"/>
      <c r="I326" s="295" t="n"/>
      <c r="J326" s="282" t="n"/>
      <c r="K326" s="345" t="n"/>
      <c r="L326" s="295" t="n"/>
      <c r="M326" s="346" t="n"/>
      <c r="N326" s="295" t="n"/>
      <c r="O326" s="285" t="n"/>
      <c r="P326" s="295" t="n"/>
      <c r="Q326" s="295" t="n"/>
      <c r="R326" s="282" t="n"/>
      <c r="S326" s="295" t="n"/>
      <c r="T326" s="295" t="n"/>
      <c r="U326" s="285" t="n"/>
      <c r="V326" s="295" t="n"/>
      <c r="W326" s="282" t="n"/>
      <c r="X326" s="295" t="n"/>
      <c r="Y326" s="295" t="n"/>
      <c r="Z326" s="295" t="n"/>
      <c r="AA326" s="295" t="n"/>
      <c r="AB326" s="285" t="n"/>
      <c r="AC326" s="295" t="n"/>
      <c r="AD326" s="295" t="n"/>
      <c r="AE326" s="286" t="n"/>
    </row>
    <row r="327">
      <c r="B327" s="287" t="n"/>
      <c r="C327" s="288" t="n"/>
      <c r="D327" s="295" t="n"/>
      <c r="E327" s="295" t="n"/>
      <c r="F327" s="295" t="n"/>
      <c r="G327" s="290" t="n"/>
      <c r="H327" s="295" t="n"/>
      <c r="I327" s="295" t="n"/>
      <c r="J327" s="290" t="n"/>
      <c r="K327" s="347" t="n"/>
      <c r="L327" s="295" t="n"/>
      <c r="M327" s="348" t="n"/>
      <c r="N327" s="295" t="n"/>
      <c r="O327" s="293" t="n"/>
      <c r="P327" s="295" t="n"/>
      <c r="Q327" s="295" t="n"/>
      <c r="R327" s="290" t="n"/>
      <c r="S327" s="295" t="n"/>
      <c r="T327" s="295" t="n"/>
      <c r="U327" s="293" t="n"/>
      <c r="V327" s="295" t="n"/>
      <c r="W327" s="290" t="n"/>
      <c r="X327" s="295" t="n"/>
      <c r="Y327" s="295" t="n"/>
      <c r="Z327" s="295" t="n"/>
      <c r="AA327" s="295" t="n"/>
      <c r="AB327" s="293" t="n"/>
      <c r="AC327" s="295" t="n"/>
      <c r="AD327" s="295" t="n"/>
      <c r="AE327" s="294" t="n"/>
    </row>
    <row r="328">
      <c r="B328" s="279" t="n"/>
      <c r="C328" s="280" t="n"/>
      <c r="D328" s="295" t="n"/>
      <c r="E328" s="295" t="n"/>
      <c r="F328" s="295" t="n"/>
      <c r="G328" s="282" t="n"/>
      <c r="H328" s="295" t="n"/>
      <c r="I328" s="295" t="n"/>
      <c r="J328" s="282" t="n"/>
      <c r="K328" s="345" t="n"/>
      <c r="L328" s="295" t="n"/>
      <c r="M328" s="346" t="n"/>
      <c r="N328" s="295" t="n"/>
      <c r="O328" s="285" t="n"/>
      <c r="P328" s="295" t="n"/>
      <c r="Q328" s="295" t="n"/>
      <c r="R328" s="282" t="n"/>
      <c r="S328" s="295" t="n"/>
      <c r="T328" s="295" t="n"/>
      <c r="U328" s="285" t="n"/>
      <c r="V328" s="295" t="n"/>
      <c r="W328" s="282" t="n"/>
      <c r="X328" s="295" t="n"/>
      <c r="Y328" s="295" t="n"/>
      <c r="Z328" s="295" t="n"/>
      <c r="AA328" s="295" t="n"/>
      <c r="AB328" s="285" t="n"/>
      <c r="AC328" s="295" t="n"/>
      <c r="AD328" s="295" t="n"/>
      <c r="AE328" s="286" t="n"/>
    </row>
    <row r="329">
      <c r="B329" s="287" t="n"/>
      <c r="C329" s="288" t="n"/>
      <c r="D329" s="295" t="n"/>
      <c r="E329" s="295" t="n"/>
      <c r="F329" s="295" t="n"/>
      <c r="G329" s="290" t="n"/>
      <c r="H329" s="295" t="n"/>
      <c r="I329" s="295" t="n"/>
      <c r="J329" s="290" t="n"/>
      <c r="K329" s="347" t="n"/>
      <c r="L329" s="295" t="n"/>
      <c r="M329" s="348" t="n"/>
      <c r="N329" s="295" t="n"/>
      <c r="O329" s="293" t="n"/>
      <c r="P329" s="295" t="n"/>
      <c r="Q329" s="295" t="n"/>
      <c r="R329" s="290" t="n"/>
      <c r="S329" s="295" t="n"/>
      <c r="T329" s="295" t="n"/>
      <c r="U329" s="293" t="n"/>
      <c r="V329" s="295" t="n"/>
      <c r="W329" s="290" t="n"/>
      <c r="X329" s="295" t="n"/>
      <c r="Y329" s="295" t="n"/>
      <c r="Z329" s="295" t="n"/>
      <c r="AA329" s="295" t="n"/>
      <c r="AB329" s="293" t="n"/>
      <c r="AC329" s="295" t="n"/>
      <c r="AD329" s="295" t="n"/>
      <c r="AE329" s="294" t="n"/>
    </row>
    <row r="330">
      <c r="B330" s="279" t="n"/>
      <c r="C330" s="280" t="n"/>
      <c r="D330" s="295" t="n"/>
      <c r="E330" s="295" t="n"/>
      <c r="F330" s="295" t="n"/>
      <c r="G330" s="282" t="n"/>
      <c r="H330" s="295" t="n"/>
      <c r="I330" s="295" t="n"/>
      <c r="J330" s="282" t="n"/>
      <c r="K330" s="345" t="n"/>
      <c r="L330" s="295" t="n"/>
      <c r="M330" s="346" t="n"/>
      <c r="N330" s="295" t="n"/>
      <c r="O330" s="285" t="n"/>
      <c r="P330" s="295" t="n"/>
      <c r="Q330" s="295" t="n"/>
      <c r="R330" s="282" t="n"/>
      <c r="S330" s="295" t="n"/>
      <c r="T330" s="295" t="n"/>
      <c r="U330" s="285" t="n"/>
      <c r="V330" s="295" t="n"/>
      <c r="W330" s="282" t="n"/>
      <c r="X330" s="295" t="n"/>
      <c r="Y330" s="295" t="n"/>
      <c r="Z330" s="295" t="n"/>
      <c r="AA330" s="295" t="n"/>
      <c r="AB330" s="285" t="n"/>
      <c r="AC330" s="295" t="n"/>
      <c r="AD330" s="295" t="n"/>
      <c r="AE330" s="286" t="n"/>
    </row>
    <row r="331">
      <c r="B331" s="287" t="n"/>
      <c r="C331" s="288" t="n"/>
      <c r="D331" s="295" t="n"/>
      <c r="E331" s="295" t="n"/>
      <c r="F331" s="295" t="n"/>
      <c r="G331" s="290" t="n"/>
      <c r="H331" s="295" t="n"/>
      <c r="I331" s="295" t="n"/>
      <c r="J331" s="290" t="n"/>
      <c r="K331" s="347" t="n"/>
      <c r="L331" s="295" t="n"/>
      <c r="M331" s="348" t="n"/>
      <c r="N331" s="295" t="n"/>
      <c r="O331" s="293" t="n"/>
      <c r="P331" s="295" t="n"/>
      <c r="Q331" s="295" t="n"/>
      <c r="R331" s="290" t="n"/>
      <c r="S331" s="295" t="n"/>
      <c r="T331" s="295" t="n"/>
      <c r="U331" s="293" t="n"/>
      <c r="V331" s="295" t="n"/>
      <c r="W331" s="290" t="n"/>
      <c r="X331" s="295" t="n"/>
      <c r="Y331" s="295" t="n"/>
      <c r="Z331" s="295" t="n"/>
      <c r="AA331" s="295" t="n"/>
      <c r="AB331" s="293" t="n"/>
      <c r="AC331" s="295" t="n"/>
      <c r="AD331" s="295" t="n"/>
      <c r="AE331" s="294" t="n"/>
    </row>
    <row r="332">
      <c r="B332" s="279" t="n"/>
      <c r="C332" s="280" t="n"/>
      <c r="D332" s="295" t="n"/>
      <c r="E332" s="295" t="n"/>
      <c r="F332" s="295" t="n"/>
      <c r="G332" s="282" t="n"/>
      <c r="H332" s="295" t="n"/>
      <c r="I332" s="295" t="n"/>
      <c r="J332" s="282" t="n"/>
      <c r="K332" s="345" t="n"/>
      <c r="L332" s="295" t="n"/>
      <c r="M332" s="346" t="n"/>
      <c r="N332" s="295" t="n"/>
      <c r="O332" s="285" t="n"/>
      <c r="P332" s="295" t="n"/>
      <c r="Q332" s="295" t="n"/>
      <c r="R332" s="282" t="n"/>
      <c r="S332" s="295" t="n"/>
      <c r="T332" s="295" t="n"/>
      <c r="U332" s="285" t="n"/>
      <c r="V332" s="295" t="n"/>
      <c r="W332" s="282" t="n"/>
      <c r="X332" s="295" t="n"/>
      <c r="Y332" s="295" t="n"/>
      <c r="Z332" s="295" t="n"/>
      <c r="AA332" s="295" t="n"/>
      <c r="AB332" s="285" t="n"/>
      <c r="AC332" s="295" t="n"/>
      <c r="AD332" s="295" t="n"/>
      <c r="AE332" s="286" t="n"/>
    </row>
    <row r="333">
      <c r="B333" s="287" t="n"/>
      <c r="C333" s="288" t="n"/>
      <c r="D333" s="295" t="n"/>
      <c r="E333" s="295" t="n"/>
      <c r="F333" s="295" t="n"/>
      <c r="G333" s="290" t="n"/>
      <c r="H333" s="295" t="n"/>
      <c r="I333" s="295" t="n"/>
      <c r="J333" s="290" t="n"/>
      <c r="K333" s="347" t="n"/>
      <c r="L333" s="295" t="n"/>
      <c r="M333" s="348" t="n"/>
      <c r="N333" s="295" t="n"/>
      <c r="O333" s="293" t="n"/>
      <c r="P333" s="295" t="n"/>
      <c r="Q333" s="295" t="n"/>
      <c r="R333" s="290" t="n"/>
      <c r="S333" s="295" t="n"/>
      <c r="T333" s="295" t="n"/>
      <c r="U333" s="293" t="n"/>
      <c r="V333" s="295" t="n"/>
      <c r="W333" s="290" t="n"/>
      <c r="X333" s="295" t="n"/>
      <c r="Y333" s="295" t="n"/>
      <c r="Z333" s="295" t="n"/>
      <c r="AA333" s="295" t="n"/>
      <c r="AB333" s="293" t="n"/>
      <c r="AC333" s="295" t="n"/>
      <c r="AD333" s="295" t="n"/>
      <c r="AE333" s="294" t="n"/>
    </row>
    <row r="334">
      <c r="B334" s="279" t="n"/>
      <c r="C334" s="280" t="n"/>
      <c r="D334" s="295" t="n"/>
      <c r="E334" s="295" t="n"/>
      <c r="F334" s="295" t="n"/>
      <c r="G334" s="282" t="n"/>
      <c r="H334" s="295" t="n"/>
      <c r="I334" s="295" t="n"/>
      <c r="J334" s="282" t="n"/>
      <c r="K334" s="345" t="n"/>
      <c r="L334" s="295" t="n"/>
      <c r="M334" s="346" t="n"/>
      <c r="N334" s="295" t="n"/>
      <c r="O334" s="285" t="n"/>
      <c r="P334" s="295" t="n"/>
      <c r="Q334" s="295" t="n"/>
      <c r="R334" s="282" t="n"/>
      <c r="S334" s="295" t="n"/>
      <c r="T334" s="295" t="n"/>
      <c r="U334" s="285" t="n"/>
      <c r="V334" s="295" t="n"/>
      <c r="W334" s="282" t="n"/>
      <c r="X334" s="295" t="n"/>
      <c r="Y334" s="295" t="n"/>
      <c r="Z334" s="295" t="n"/>
      <c r="AA334" s="295" t="n"/>
      <c r="AB334" s="285" t="n"/>
      <c r="AC334" s="295" t="n"/>
      <c r="AD334" s="295" t="n"/>
      <c r="AE334" s="286" t="n"/>
    </row>
    <row r="335">
      <c r="B335" s="287" t="n"/>
      <c r="C335" s="288" t="n"/>
      <c r="D335" s="295" t="n"/>
      <c r="E335" s="295" t="n"/>
      <c r="F335" s="295" t="n"/>
      <c r="G335" s="290" t="n"/>
      <c r="H335" s="295" t="n"/>
      <c r="I335" s="295" t="n"/>
      <c r="J335" s="290" t="n"/>
      <c r="K335" s="347" t="n"/>
      <c r="L335" s="295" t="n"/>
      <c r="M335" s="348" t="n"/>
      <c r="N335" s="295" t="n"/>
      <c r="O335" s="293" t="n"/>
      <c r="P335" s="295" t="n"/>
      <c r="Q335" s="295" t="n"/>
      <c r="R335" s="290" t="n"/>
      <c r="S335" s="295" t="n"/>
      <c r="T335" s="295" t="n"/>
      <c r="U335" s="293" t="n"/>
      <c r="V335" s="295" t="n"/>
      <c r="W335" s="290" t="n"/>
      <c r="X335" s="295" t="n"/>
      <c r="Y335" s="295" t="n"/>
      <c r="Z335" s="295" t="n"/>
      <c r="AA335" s="295" t="n"/>
      <c r="AB335" s="293" t="n"/>
      <c r="AC335" s="295" t="n"/>
      <c r="AD335" s="295" t="n"/>
      <c r="AE335" s="294" t="n"/>
    </row>
    <row r="336">
      <c r="B336" s="279" t="n"/>
      <c r="C336" s="280" t="n"/>
      <c r="D336" s="295" t="n"/>
      <c r="E336" s="295" t="n"/>
      <c r="F336" s="295" t="n"/>
      <c r="G336" s="282" t="n"/>
      <c r="H336" s="295" t="n"/>
      <c r="I336" s="295" t="n"/>
      <c r="J336" s="282" t="n"/>
      <c r="K336" s="345" t="n"/>
      <c r="L336" s="295" t="n"/>
      <c r="M336" s="346" t="n"/>
      <c r="N336" s="295" t="n"/>
      <c r="O336" s="285" t="n"/>
      <c r="P336" s="295" t="n"/>
      <c r="Q336" s="295" t="n"/>
      <c r="R336" s="282" t="n"/>
      <c r="S336" s="295" t="n"/>
      <c r="T336" s="295" t="n"/>
      <c r="U336" s="285" t="n"/>
      <c r="V336" s="295" t="n"/>
      <c r="W336" s="282" t="n"/>
      <c r="X336" s="295" t="n"/>
      <c r="Y336" s="295" t="n"/>
      <c r="Z336" s="295" t="n"/>
      <c r="AA336" s="295" t="n"/>
      <c r="AB336" s="285" t="n"/>
      <c r="AC336" s="295" t="n"/>
      <c r="AD336" s="295" t="n"/>
      <c r="AE336" s="286" t="n"/>
    </row>
    <row r="337">
      <c r="B337" s="287" t="n"/>
      <c r="C337" s="288" t="n"/>
      <c r="D337" s="295" t="n"/>
      <c r="E337" s="295" t="n"/>
      <c r="F337" s="295" t="n"/>
      <c r="G337" s="290" t="n"/>
      <c r="H337" s="295" t="n"/>
      <c r="I337" s="295" t="n"/>
      <c r="J337" s="290" t="n"/>
      <c r="K337" s="347" t="n"/>
      <c r="L337" s="295" t="n"/>
      <c r="M337" s="348" t="n"/>
      <c r="N337" s="295" t="n"/>
      <c r="O337" s="293" t="n"/>
      <c r="P337" s="295" t="n"/>
      <c r="Q337" s="295" t="n"/>
      <c r="R337" s="290" t="n"/>
      <c r="S337" s="295" t="n"/>
      <c r="T337" s="295" t="n"/>
      <c r="U337" s="293" t="n"/>
      <c r="V337" s="295" t="n"/>
      <c r="W337" s="290" t="n"/>
      <c r="X337" s="295" t="n"/>
      <c r="Y337" s="295" t="n"/>
      <c r="Z337" s="295" t="n"/>
      <c r="AA337" s="295" t="n"/>
      <c r="AB337" s="293" t="n"/>
      <c r="AC337" s="295" t="n"/>
      <c r="AD337" s="295" t="n"/>
      <c r="AE337" s="294" t="n"/>
    </row>
    <row r="338">
      <c r="B338" s="279" t="n"/>
      <c r="C338" s="280" t="n"/>
      <c r="D338" s="295" t="n"/>
      <c r="E338" s="295" t="n"/>
      <c r="F338" s="295" t="n"/>
      <c r="G338" s="282" t="n"/>
      <c r="H338" s="295" t="n"/>
      <c r="I338" s="295" t="n"/>
      <c r="J338" s="282" t="n"/>
      <c r="K338" s="345" t="n"/>
      <c r="L338" s="295" t="n"/>
      <c r="M338" s="346" t="n"/>
      <c r="N338" s="295" t="n"/>
      <c r="O338" s="285" t="n"/>
      <c r="P338" s="295" t="n"/>
      <c r="Q338" s="295" t="n"/>
      <c r="R338" s="282" t="n"/>
      <c r="S338" s="295" t="n"/>
      <c r="T338" s="295" t="n"/>
      <c r="U338" s="285" t="n"/>
      <c r="V338" s="295" t="n"/>
      <c r="W338" s="282" t="n"/>
      <c r="X338" s="295" t="n"/>
      <c r="Y338" s="295" t="n"/>
      <c r="Z338" s="295" t="n"/>
      <c r="AA338" s="295" t="n"/>
      <c r="AB338" s="285" t="n"/>
      <c r="AC338" s="295" t="n"/>
      <c r="AD338" s="295" t="n"/>
      <c r="AE338" s="286" t="n"/>
    </row>
    <row r="339">
      <c r="B339" s="287" t="n"/>
      <c r="C339" s="288" t="n"/>
      <c r="D339" s="295" t="n"/>
      <c r="E339" s="295" t="n"/>
      <c r="F339" s="295" t="n"/>
      <c r="G339" s="290" t="n"/>
      <c r="H339" s="295" t="n"/>
      <c r="I339" s="295" t="n"/>
      <c r="J339" s="290" t="n"/>
      <c r="K339" s="347" t="n"/>
      <c r="L339" s="295" t="n"/>
      <c r="M339" s="348" t="n"/>
      <c r="N339" s="295" t="n"/>
      <c r="O339" s="293" t="n"/>
      <c r="P339" s="295" t="n"/>
      <c r="Q339" s="295" t="n"/>
      <c r="R339" s="290" t="n"/>
      <c r="S339" s="295" t="n"/>
      <c r="T339" s="295" t="n"/>
      <c r="U339" s="293" t="n"/>
      <c r="V339" s="295" t="n"/>
      <c r="W339" s="290" t="n"/>
      <c r="X339" s="295" t="n"/>
      <c r="Y339" s="295" t="n"/>
      <c r="Z339" s="295" t="n"/>
      <c r="AA339" s="295" t="n"/>
      <c r="AB339" s="293" t="n"/>
      <c r="AC339" s="295" t="n"/>
      <c r="AD339" s="295" t="n"/>
      <c r="AE339" s="294" t="n"/>
    </row>
    <row r="340">
      <c r="B340" s="279" t="n"/>
      <c r="C340" s="280" t="n"/>
      <c r="D340" s="295" t="n"/>
      <c r="E340" s="295" t="n"/>
      <c r="F340" s="295" t="n"/>
      <c r="G340" s="282" t="n"/>
      <c r="H340" s="295" t="n"/>
      <c r="I340" s="295" t="n"/>
      <c r="J340" s="282" t="n"/>
      <c r="K340" s="345" t="n"/>
      <c r="L340" s="295" t="n"/>
      <c r="M340" s="346" t="n"/>
      <c r="N340" s="295" t="n"/>
      <c r="O340" s="285" t="n"/>
      <c r="P340" s="295" t="n"/>
      <c r="Q340" s="295" t="n"/>
      <c r="R340" s="282" t="n"/>
      <c r="S340" s="295" t="n"/>
      <c r="T340" s="295" t="n"/>
      <c r="U340" s="285" t="n"/>
      <c r="V340" s="295" t="n"/>
      <c r="W340" s="282" t="n"/>
      <c r="X340" s="295" t="n"/>
      <c r="Y340" s="295" t="n"/>
      <c r="Z340" s="295" t="n"/>
      <c r="AA340" s="295" t="n"/>
      <c r="AB340" s="285" t="n"/>
      <c r="AC340" s="295" t="n"/>
      <c r="AD340" s="295" t="n"/>
      <c r="AE340" s="286" t="n"/>
    </row>
    <row r="341">
      <c r="B341" s="287" t="n"/>
      <c r="C341" s="288" t="n"/>
      <c r="D341" s="295" t="n"/>
      <c r="E341" s="295" t="n"/>
      <c r="F341" s="295" t="n"/>
      <c r="G341" s="290" t="n"/>
      <c r="H341" s="295" t="n"/>
      <c r="I341" s="295" t="n"/>
      <c r="J341" s="290" t="n"/>
      <c r="K341" s="347" t="n"/>
      <c r="L341" s="295" t="n"/>
      <c r="M341" s="348" t="n"/>
      <c r="N341" s="295" t="n"/>
      <c r="O341" s="293" t="n"/>
      <c r="P341" s="295" t="n"/>
      <c r="Q341" s="295" t="n"/>
      <c r="R341" s="290" t="n"/>
      <c r="S341" s="295" t="n"/>
      <c r="T341" s="295" t="n"/>
      <c r="U341" s="293" t="n"/>
      <c r="V341" s="295" t="n"/>
      <c r="W341" s="290" t="n"/>
      <c r="X341" s="295" t="n"/>
      <c r="Y341" s="295" t="n"/>
      <c r="Z341" s="295" t="n"/>
      <c r="AA341" s="295" t="n"/>
      <c r="AB341" s="293" t="n"/>
      <c r="AC341" s="295" t="n"/>
      <c r="AD341" s="295" t="n"/>
      <c r="AE341" s="294" t="n"/>
    </row>
    <row r="342">
      <c r="B342" s="279" t="n"/>
      <c r="C342" s="280" t="n"/>
      <c r="D342" s="295" t="n"/>
      <c r="E342" s="295" t="n"/>
      <c r="F342" s="295" t="n"/>
      <c r="G342" s="282" t="n"/>
      <c r="H342" s="295" t="n"/>
      <c r="I342" s="295" t="n"/>
      <c r="J342" s="282" t="n"/>
      <c r="K342" s="345" t="n"/>
      <c r="L342" s="295" t="n"/>
      <c r="M342" s="346" t="n"/>
      <c r="N342" s="295" t="n"/>
      <c r="O342" s="285" t="n"/>
      <c r="P342" s="295" t="n"/>
      <c r="Q342" s="295" t="n"/>
      <c r="R342" s="282" t="n"/>
      <c r="S342" s="295" t="n"/>
      <c r="T342" s="295" t="n"/>
      <c r="U342" s="285" t="n"/>
      <c r="V342" s="295" t="n"/>
      <c r="W342" s="282" t="n"/>
      <c r="X342" s="295" t="n"/>
      <c r="Y342" s="295" t="n"/>
      <c r="Z342" s="295" t="n"/>
      <c r="AA342" s="295" t="n"/>
      <c r="AB342" s="285" t="n"/>
      <c r="AC342" s="295" t="n"/>
      <c r="AD342" s="295" t="n"/>
      <c r="AE342" s="286" t="n"/>
    </row>
    <row r="343">
      <c r="B343" s="287" t="n"/>
      <c r="C343" s="288" t="n"/>
      <c r="D343" s="295" t="n"/>
      <c r="E343" s="295" t="n"/>
      <c r="F343" s="295" t="n"/>
      <c r="G343" s="290" t="n"/>
      <c r="H343" s="295" t="n"/>
      <c r="I343" s="295" t="n"/>
      <c r="J343" s="290" t="n"/>
      <c r="K343" s="347" t="n"/>
      <c r="L343" s="295" t="n"/>
      <c r="M343" s="348" t="n"/>
      <c r="N343" s="295" t="n"/>
      <c r="O343" s="293" t="n"/>
      <c r="P343" s="295" t="n"/>
      <c r="Q343" s="295" t="n"/>
      <c r="R343" s="290" t="n"/>
      <c r="S343" s="295" t="n"/>
      <c r="T343" s="295" t="n"/>
      <c r="U343" s="293" t="n"/>
      <c r="V343" s="295" t="n"/>
      <c r="W343" s="290" t="n"/>
      <c r="X343" s="295" t="n"/>
      <c r="Y343" s="295" t="n"/>
      <c r="Z343" s="295" t="n"/>
      <c r="AA343" s="295" t="n"/>
      <c r="AB343" s="293" t="n"/>
      <c r="AC343" s="295" t="n"/>
      <c r="AD343" s="295" t="n"/>
      <c r="AE343" s="294" t="n"/>
    </row>
    <row r="344">
      <c r="B344" s="279" t="n"/>
      <c r="C344" s="280" t="n"/>
      <c r="D344" s="295" t="n"/>
      <c r="E344" s="295" t="n"/>
      <c r="F344" s="295" t="n"/>
      <c r="G344" s="282" t="n"/>
      <c r="H344" s="295" t="n"/>
      <c r="I344" s="295" t="n"/>
      <c r="J344" s="282" t="n"/>
      <c r="K344" s="345" t="n"/>
      <c r="L344" s="295" t="n"/>
      <c r="M344" s="346" t="n"/>
      <c r="N344" s="295" t="n"/>
      <c r="O344" s="285" t="n"/>
      <c r="P344" s="295" t="n"/>
      <c r="Q344" s="295" t="n"/>
      <c r="R344" s="282" t="n"/>
      <c r="S344" s="295" t="n"/>
      <c r="T344" s="295" t="n"/>
      <c r="U344" s="285" t="n"/>
      <c r="V344" s="295" t="n"/>
      <c r="W344" s="282" t="n"/>
      <c r="X344" s="295" t="n"/>
      <c r="Y344" s="295" t="n"/>
      <c r="Z344" s="295" t="n"/>
      <c r="AA344" s="295" t="n"/>
      <c r="AB344" s="285" t="n"/>
      <c r="AC344" s="295" t="n"/>
      <c r="AD344" s="295" t="n"/>
      <c r="AE344" s="286" t="n"/>
    </row>
    <row r="345">
      <c r="B345" s="287" t="n"/>
      <c r="C345" s="288" t="n"/>
      <c r="D345" s="295" t="n"/>
      <c r="E345" s="295" t="n"/>
      <c r="F345" s="295" t="n"/>
      <c r="G345" s="290" t="n"/>
      <c r="H345" s="295" t="n"/>
      <c r="I345" s="295" t="n"/>
      <c r="J345" s="290" t="n"/>
      <c r="K345" s="347" t="n"/>
      <c r="L345" s="295" t="n"/>
      <c r="M345" s="348" t="n"/>
      <c r="N345" s="295" t="n"/>
      <c r="O345" s="293" t="n"/>
      <c r="P345" s="295" t="n"/>
      <c r="Q345" s="295" t="n"/>
      <c r="R345" s="290" t="n"/>
      <c r="S345" s="295" t="n"/>
      <c r="T345" s="295" t="n"/>
      <c r="U345" s="293" t="n"/>
      <c r="V345" s="295" t="n"/>
      <c r="W345" s="290" t="n"/>
      <c r="X345" s="295" t="n"/>
      <c r="Y345" s="295" t="n"/>
      <c r="Z345" s="295" t="n"/>
      <c r="AA345" s="295" t="n"/>
      <c r="AB345" s="293" t="n"/>
      <c r="AC345" s="295" t="n"/>
      <c r="AD345" s="295" t="n"/>
      <c r="AE345" s="294" t="n"/>
    </row>
    <row r="346">
      <c r="B346" s="279" t="n"/>
      <c r="C346" s="280" t="n"/>
      <c r="D346" s="295" t="n"/>
      <c r="E346" s="295" t="n"/>
      <c r="F346" s="295" t="n"/>
      <c r="G346" s="282" t="n"/>
      <c r="H346" s="295" t="n"/>
      <c r="I346" s="295" t="n"/>
      <c r="J346" s="282" t="n"/>
      <c r="K346" s="345" t="n"/>
      <c r="L346" s="295" t="n"/>
      <c r="M346" s="346" t="n"/>
      <c r="N346" s="295" t="n"/>
      <c r="O346" s="285" t="n"/>
      <c r="P346" s="295" t="n"/>
      <c r="Q346" s="295" t="n"/>
      <c r="R346" s="282" t="n"/>
      <c r="S346" s="295" t="n"/>
      <c r="T346" s="295" t="n"/>
      <c r="U346" s="285" t="n"/>
      <c r="V346" s="295" t="n"/>
      <c r="W346" s="282" t="n"/>
      <c r="X346" s="295" t="n"/>
      <c r="Y346" s="295" t="n"/>
      <c r="Z346" s="295" t="n"/>
      <c r="AA346" s="295" t="n"/>
      <c r="AB346" s="285" t="n"/>
      <c r="AC346" s="295" t="n"/>
      <c r="AD346" s="295" t="n"/>
      <c r="AE346" s="286" t="n"/>
    </row>
    <row r="347">
      <c r="B347" s="287" t="n"/>
      <c r="C347" s="288" t="n"/>
      <c r="D347" s="295" t="n"/>
      <c r="E347" s="295" t="n"/>
      <c r="F347" s="295" t="n"/>
      <c r="G347" s="290" t="n"/>
      <c r="H347" s="295" t="n"/>
      <c r="I347" s="295" t="n"/>
      <c r="J347" s="290" t="n"/>
      <c r="K347" s="347" t="n"/>
      <c r="L347" s="295" t="n"/>
      <c r="M347" s="348" t="n"/>
      <c r="N347" s="295" t="n"/>
      <c r="O347" s="293" t="n"/>
      <c r="P347" s="295" t="n"/>
      <c r="Q347" s="295" t="n"/>
      <c r="R347" s="290" t="n"/>
      <c r="S347" s="295" t="n"/>
      <c r="T347" s="295" t="n"/>
      <c r="U347" s="293" t="n"/>
      <c r="V347" s="295" t="n"/>
      <c r="W347" s="290" t="n"/>
      <c r="X347" s="295" t="n"/>
      <c r="Y347" s="295" t="n"/>
      <c r="Z347" s="295" t="n"/>
      <c r="AA347" s="295" t="n"/>
      <c r="AB347" s="293" t="n"/>
      <c r="AC347" s="295" t="n"/>
      <c r="AD347" s="295" t="n"/>
      <c r="AE347" s="294" t="n"/>
    </row>
    <row r="348">
      <c r="B348" s="279" t="n"/>
      <c r="C348" s="280" t="n"/>
      <c r="D348" s="295" t="n"/>
      <c r="E348" s="295" t="n"/>
      <c r="F348" s="295" t="n"/>
      <c r="G348" s="282" t="n"/>
      <c r="H348" s="295" t="n"/>
      <c r="I348" s="295" t="n"/>
      <c r="J348" s="282" t="n"/>
      <c r="K348" s="345" t="n"/>
      <c r="L348" s="295" t="n"/>
      <c r="M348" s="346" t="n"/>
      <c r="N348" s="295" t="n"/>
      <c r="O348" s="285" t="n"/>
      <c r="P348" s="295" t="n"/>
      <c r="Q348" s="295" t="n"/>
      <c r="R348" s="282" t="n"/>
      <c r="S348" s="295" t="n"/>
      <c r="T348" s="295" t="n"/>
      <c r="U348" s="285" t="n"/>
      <c r="V348" s="295" t="n"/>
      <c r="W348" s="282" t="n"/>
      <c r="X348" s="295" t="n"/>
      <c r="Y348" s="295" t="n"/>
      <c r="Z348" s="295" t="n"/>
      <c r="AA348" s="295" t="n"/>
      <c r="AB348" s="285" t="n"/>
      <c r="AC348" s="295" t="n"/>
      <c r="AD348" s="295" t="n"/>
      <c r="AE348" s="286" t="n"/>
    </row>
    <row r="349">
      <c r="B349" s="287" t="n"/>
      <c r="C349" s="288" t="n"/>
      <c r="D349" s="295" t="n"/>
      <c r="E349" s="295" t="n"/>
      <c r="F349" s="295" t="n"/>
      <c r="G349" s="290" t="n"/>
      <c r="H349" s="295" t="n"/>
      <c r="I349" s="295" t="n"/>
      <c r="J349" s="290" t="n"/>
      <c r="K349" s="347" t="n"/>
      <c r="L349" s="295" t="n"/>
      <c r="M349" s="348" t="n"/>
      <c r="N349" s="295" t="n"/>
      <c r="O349" s="293" t="n"/>
      <c r="P349" s="295" t="n"/>
      <c r="Q349" s="295" t="n"/>
      <c r="R349" s="290" t="n"/>
      <c r="S349" s="295" t="n"/>
      <c r="T349" s="295" t="n"/>
      <c r="U349" s="293" t="n"/>
      <c r="V349" s="295" t="n"/>
      <c r="W349" s="290" t="n"/>
      <c r="X349" s="295" t="n"/>
      <c r="Y349" s="295" t="n"/>
      <c r="Z349" s="295" t="n"/>
      <c r="AA349" s="295" t="n"/>
      <c r="AB349" s="293" t="n"/>
      <c r="AC349" s="295" t="n"/>
      <c r="AD349" s="295" t="n"/>
      <c r="AE349" s="294" t="n"/>
    </row>
    <row r="350">
      <c r="B350" s="279" t="n"/>
      <c r="C350" s="280" t="n"/>
      <c r="D350" s="295" t="n"/>
      <c r="E350" s="295" t="n"/>
      <c r="F350" s="295" t="n"/>
      <c r="G350" s="282" t="n"/>
      <c r="H350" s="295" t="n"/>
      <c r="I350" s="295" t="n"/>
      <c r="J350" s="282" t="n"/>
      <c r="K350" s="345" t="n"/>
      <c r="L350" s="295" t="n"/>
      <c r="M350" s="346" t="n"/>
      <c r="N350" s="295" t="n"/>
      <c r="O350" s="285" t="n"/>
      <c r="P350" s="295" t="n"/>
      <c r="Q350" s="295" t="n"/>
      <c r="R350" s="282" t="n"/>
      <c r="S350" s="295" t="n"/>
      <c r="T350" s="295" t="n"/>
      <c r="U350" s="285" t="n"/>
      <c r="V350" s="295" t="n"/>
      <c r="W350" s="282" t="n"/>
      <c r="X350" s="295" t="n"/>
      <c r="Y350" s="295" t="n"/>
      <c r="Z350" s="295" t="n"/>
      <c r="AA350" s="295" t="n"/>
      <c r="AB350" s="285" t="n"/>
      <c r="AC350" s="295" t="n"/>
      <c r="AD350" s="295" t="n"/>
      <c r="AE350" s="286" t="n"/>
    </row>
    <row r="351">
      <c r="B351" s="287" t="n"/>
      <c r="C351" s="288" t="n"/>
      <c r="D351" s="295" t="n"/>
      <c r="E351" s="295" t="n"/>
      <c r="F351" s="295" t="n"/>
      <c r="G351" s="290" t="n"/>
      <c r="H351" s="295" t="n"/>
      <c r="I351" s="295" t="n"/>
      <c r="J351" s="290" t="n"/>
      <c r="K351" s="347" t="n"/>
      <c r="L351" s="295" t="n"/>
      <c r="M351" s="348" t="n"/>
      <c r="N351" s="295" t="n"/>
      <c r="O351" s="293" t="n"/>
      <c r="P351" s="295" t="n"/>
      <c r="Q351" s="295" t="n"/>
      <c r="R351" s="290" t="n"/>
      <c r="S351" s="295" t="n"/>
      <c r="T351" s="295" t="n"/>
      <c r="U351" s="293" t="n"/>
      <c r="V351" s="295" t="n"/>
      <c r="W351" s="290" t="n"/>
      <c r="X351" s="295" t="n"/>
      <c r="Y351" s="295" t="n"/>
      <c r="Z351" s="295" t="n"/>
      <c r="AA351" s="295" t="n"/>
      <c r="AB351" s="293" t="n"/>
      <c r="AC351" s="295" t="n"/>
      <c r="AD351" s="295" t="n"/>
      <c r="AE351" s="294" t="n"/>
    </row>
    <row r="352">
      <c r="B352" s="279" t="n"/>
      <c r="C352" s="280" t="n"/>
      <c r="D352" s="295" t="n"/>
      <c r="E352" s="295" t="n"/>
      <c r="F352" s="295" t="n"/>
      <c r="G352" s="282" t="n"/>
      <c r="H352" s="295" t="n"/>
      <c r="I352" s="295" t="n"/>
      <c r="J352" s="282" t="n"/>
      <c r="K352" s="345" t="n"/>
      <c r="L352" s="295" t="n"/>
      <c r="M352" s="346" t="n"/>
      <c r="N352" s="295" t="n"/>
      <c r="O352" s="285" t="n"/>
      <c r="P352" s="295" t="n"/>
      <c r="Q352" s="295" t="n"/>
      <c r="R352" s="282" t="n"/>
      <c r="S352" s="295" t="n"/>
      <c r="T352" s="295" t="n"/>
      <c r="U352" s="285" t="n"/>
      <c r="V352" s="295" t="n"/>
      <c r="W352" s="282" t="n"/>
      <c r="X352" s="295" t="n"/>
      <c r="Y352" s="295" t="n"/>
      <c r="Z352" s="295" t="n"/>
      <c r="AA352" s="295" t="n"/>
      <c r="AB352" s="285" t="n"/>
      <c r="AC352" s="295" t="n"/>
      <c r="AD352" s="295" t="n"/>
      <c r="AE352" s="286" t="n"/>
    </row>
    <row r="353">
      <c r="B353" s="287" t="n"/>
      <c r="C353" s="288" t="n"/>
      <c r="D353" s="295" t="n"/>
      <c r="E353" s="295" t="n"/>
      <c r="F353" s="295" t="n"/>
      <c r="G353" s="290" t="n"/>
      <c r="H353" s="295" t="n"/>
      <c r="I353" s="295" t="n"/>
      <c r="J353" s="290" t="n"/>
      <c r="K353" s="347" t="n"/>
      <c r="L353" s="295" t="n"/>
      <c r="M353" s="348" t="n"/>
      <c r="N353" s="295" t="n"/>
      <c r="O353" s="293" t="n"/>
      <c r="P353" s="295" t="n"/>
      <c r="Q353" s="295" t="n"/>
      <c r="R353" s="290" t="n"/>
      <c r="S353" s="295" t="n"/>
      <c r="T353" s="295" t="n"/>
      <c r="U353" s="293" t="n"/>
      <c r="V353" s="295" t="n"/>
      <c r="W353" s="290" t="n"/>
      <c r="X353" s="295" t="n"/>
      <c r="Y353" s="295" t="n"/>
      <c r="Z353" s="295" t="n"/>
      <c r="AA353" s="295" t="n"/>
      <c r="AB353" s="293" t="n"/>
      <c r="AC353" s="295" t="n"/>
      <c r="AD353" s="295" t="n"/>
      <c r="AE353" s="294" t="n"/>
    </row>
    <row r="354">
      <c r="B354" s="279" t="n"/>
      <c r="C354" s="280" t="n"/>
      <c r="D354" s="295" t="n"/>
      <c r="E354" s="295" t="n"/>
      <c r="F354" s="295" t="n"/>
      <c r="G354" s="282" t="n"/>
      <c r="H354" s="295" t="n"/>
      <c r="I354" s="295" t="n"/>
      <c r="J354" s="282" t="n"/>
      <c r="K354" s="345" t="n"/>
      <c r="L354" s="295" t="n"/>
      <c r="M354" s="346" t="n"/>
      <c r="N354" s="295" t="n"/>
      <c r="O354" s="285" t="n"/>
      <c r="P354" s="295" t="n"/>
      <c r="Q354" s="295" t="n"/>
      <c r="R354" s="282" t="n"/>
      <c r="S354" s="295" t="n"/>
      <c r="T354" s="295" t="n"/>
      <c r="U354" s="285" t="n"/>
      <c r="V354" s="295" t="n"/>
      <c r="W354" s="282" t="n"/>
      <c r="X354" s="295" t="n"/>
      <c r="Y354" s="295" t="n"/>
      <c r="Z354" s="295" t="n"/>
      <c r="AA354" s="295" t="n"/>
      <c r="AB354" s="285" t="n"/>
      <c r="AC354" s="295" t="n"/>
      <c r="AD354" s="295" t="n"/>
      <c r="AE354" s="286" t="n"/>
    </row>
    <row r="355">
      <c r="B355" s="287" t="n"/>
      <c r="C355" s="288" t="n"/>
      <c r="D355" s="295" t="n"/>
      <c r="E355" s="295" t="n"/>
      <c r="F355" s="295" t="n"/>
      <c r="G355" s="290" t="n"/>
      <c r="H355" s="295" t="n"/>
      <c r="I355" s="295" t="n"/>
      <c r="J355" s="290" t="n"/>
      <c r="K355" s="347" t="n"/>
      <c r="L355" s="295" t="n"/>
      <c r="M355" s="348" t="n"/>
      <c r="N355" s="295" t="n"/>
      <c r="O355" s="293" t="n"/>
      <c r="P355" s="295" t="n"/>
      <c r="Q355" s="295" t="n"/>
      <c r="R355" s="290" t="n"/>
      <c r="S355" s="295" t="n"/>
      <c r="T355" s="295" t="n"/>
      <c r="U355" s="293" t="n"/>
      <c r="V355" s="295" t="n"/>
      <c r="W355" s="290" t="n"/>
      <c r="X355" s="295" t="n"/>
      <c r="Y355" s="295" t="n"/>
      <c r="Z355" s="295" t="n"/>
      <c r="AA355" s="295" t="n"/>
      <c r="AB355" s="293" t="n"/>
      <c r="AC355" s="295" t="n"/>
      <c r="AD355" s="295" t="n"/>
      <c r="AE355" s="294" t="n"/>
    </row>
    <row r="356">
      <c r="B356" s="279" t="n"/>
      <c r="C356" s="280" t="n"/>
      <c r="D356" s="295" t="n"/>
      <c r="E356" s="295" t="n"/>
      <c r="F356" s="295" t="n"/>
      <c r="G356" s="282" t="n"/>
      <c r="H356" s="295" t="n"/>
      <c r="I356" s="295" t="n"/>
      <c r="J356" s="282" t="n"/>
      <c r="K356" s="345" t="n"/>
      <c r="L356" s="295" t="n"/>
      <c r="M356" s="346" t="n"/>
      <c r="N356" s="295" t="n"/>
      <c r="O356" s="285" t="n"/>
      <c r="P356" s="295" t="n"/>
      <c r="Q356" s="295" t="n"/>
      <c r="R356" s="282" t="n"/>
      <c r="S356" s="295" t="n"/>
      <c r="T356" s="295" t="n"/>
      <c r="U356" s="285" t="n"/>
      <c r="V356" s="295" t="n"/>
      <c r="W356" s="282" t="n"/>
      <c r="X356" s="295" t="n"/>
      <c r="Y356" s="295" t="n"/>
      <c r="Z356" s="295" t="n"/>
      <c r="AA356" s="295" t="n"/>
      <c r="AB356" s="285" t="n"/>
      <c r="AC356" s="295" t="n"/>
      <c r="AD356" s="295" t="n"/>
      <c r="AE356" s="286" t="n"/>
    </row>
    <row r="357">
      <c r="B357" s="287" t="n"/>
      <c r="C357" s="288" t="n"/>
      <c r="D357" s="295" t="n"/>
      <c r="E357" s="295" t="n"/>
      <c r="F357" s="295" t="n"/>
      <c r="G357" s="290" t="n"/>
      <c r="H357" s="295" t="n"/>
      <c r="I357" s="295" t="n"/>
      <c r="J357" s="290" t="n"/>
      <c r="K357" s="347" t="n"/>
      <c r="L357" s="295" t="n"/>
      <c r="M357" s="348" t="n"/>
      <c r="N357" s="295" t="n"/>
      <c r="O357" s="293" t="n"/>
      <c r="P357" s="295" t="n"/>
      <c r="Q357" s="295" t="n"/>
      <c r="R357" s="290" t="n"/>
      <c r="S357" s="295" t="n"/>
      <c r="T357" s="295" t="n"/>
      <c r="U357" s="293" t="n"/>
      <c r="V357" s="295" t="n"/>
      <c r="W357" s="290" t="n"/>
      <c r="X357" s="295" t="n"/>
      <c r="Y357" s="295" t="n"/>
      <c r="Z357" s="295" t="n"/>
      <c r="AA357" s="295" t="n"/>
      <c r="AB357" s="293" t="n"/>
      <c r="AC357" s="295" t="n"/>
      <c r="AD357" s="295" t="n"/>
      <c r="AE357" s="294" t="n"/>
    </row>
    <row r="358">
      <c r="B358" s="279" t="n"/>
      <c r="C358" s="280" t="n"/>
      <c r="D358" s="295" t="n"/>
      <c r="E358" s="295" t="n"/>
      <c r="F358" s="295" t="n"/>
      <c r="G358" s="282" t="n"/>
      <c r="H358" s="295" t="n"/>
      <c r="I358" s="295" t="n"/>
      <c r="J358" s="282" t="n"/>
      <c r="K358" s="345" t="n"/>
      <c r="L358" s="295" t="n"/>
      <c r="M358" s="346" t="n"/>
      <c r="N358" s="295" t="n"/>
      <c r="O358" s="285" t="n"/>
      <c r="P358" s="295" t="n"/>
      <c r="Q358" s="295" t="n"/>
      <c r="R358" s="282" t="n"/>
      <c r="S358" s="295" t="n"/>
      <c r="T358" s="295" t="n"/>
      <c r="U358" s="285" t="n"/>
      <c r="V358" s="295" t="n"/>
      <c r="W358" s="282" t="n"/>
      <c r="X358" s="295" t="n"/>
      <c r="Y358" s="295" t="n"/>
      <c r="Z358" s="295" t="n"/>
      <c r="AA358" s="295" t="n"/>
      <c r="AB358" s="285" t="n"/>
      <c r="AC358" s="295" t="n"/>
      <c r="AD358" s="295" t="n"/>
      <c r="AE358" s="286" t="n"/>
    </row>
    <row r="359">
      <c r="B359" s="287" t="n"/>
      <c r="C359" s="288" t="n"/>
      <c r="D359" s="295" t="n"/>
      <c r="E359" s="295" t="n"/>
      <c r="F359" s="295" t="n"/>
      <c r="G359" s="290" t="n"/>
      <c r="H359" s="295" t="n"/>
      <c r="I359" s="295" t="n"/>
      <c r="J359" s="290" t="n"/>
      <c r="K359" s="347" t="n"/>
      <c r="L359" s="295" t="n"/>
      <c r="M359" s="348" t="n"/>
      <c r="N359" s="295" t="n"/>
      <c r="O359" s="293" t="n"/>
      <c r="P359" s="295" t="n"/>
      <c r="Q359" s="295" t="n"/>
      <c r="R359" s="290" t="n"/>
      <c r="S359" s="295" t="n"/>
      <c r="T359" s="295" t="n"/>
      <c r="U359" s="293" t="n"/>
      <c r="V359" s="295" t="n"/>
      <c r="W359" s="290" t="n"/>
      <c r="X359" s="295" t="n"/>
      <c r="Y359" s="295" t="n"/>
      <c r="Z359" s="295" t="n"/>
      <c r="AA359" s="295" t="n"/>
      <c r="AB359" s="293" t="n"/>
      <c r="AC359" s="295" t="n"/>
      <c r="AD359" s="295" t="n"/>
      <c r="AE359" s="294" t="n"/>
    </row>
    <row r="360">
      <c r="B360" s="279" t="n"/>
      <c r="C360" s="280" t="n"/>
      <c r="D360" s="295" t="n"/>
      <c r="E360" s="295" t="n"/>
      <c r="F360" s="295" t="n"/>
      <c r="G360" s="282" t="n"/>
      <c r="H360" s="295" t="n"/>
      <c r="I360" s="295" t="n"/>
      <c r="J360" s="282" t="n"/>
      <c r="K360" s="345" t="n"/>
      <c r="L360" s="295" t="n"/>
      <c r="M360" s="346" t="n"/>
      <c r="N360" s="295" t="n"/>
      <c r="O360" s="285" t="n"/>
      <c r="P360" s="295" t="n"/>
      <c r="Q360" s="295" t="n"/>
      <c r="R360" s="282" t="n"/>
      <c r="S360" s="295" t="n"/>
      <c r="T360" s="295" t="n"/>
      <c r="U360" s="285" t="n"/>
      <c r="V360" s="295" t="n"/>
      <c r="W360" s="282" t="n"/>
      <c r="X360" s="295" t="n"/>
      <c r="Y360" s="295" t="n"/>
      <c r="Z360" s="295" t="n"/>
      <c r="AA360" s="295" t="n"/>
      <c r="AB360" s="285" t="n"/>
      <c r="AC360" s="295" t="n"/>
      <c r="AD360" s="295" t="n"/>
      <c r="AE360" s="286" t="n"/>
    </row>
    <row r="361">
      <c r="B361" s="287" t="n"/>
      <c r="C361" s="288" t="n"/>
      <c r="D361" s="295" t="n"/>
      <c r="E361" s="295" t="n"/>
      <c r="F361" s="295" t="n"/>
      <c r="G361" s="290" t="n"/>
      <c r="H361" s="295" t="n"/>
      <c r="I361" s="295" t="n"/>
      <c r="J361" s="290" t="n"/>
      <c r="K361" s="347" t="n"/>
      <c r="L361" s="295" t="n"/>
      <c r="M361" s="348" t="n"/>
      <c r="N361" s="295" t="n"/>
      <c r="O361" s="293" t="n"/>
      <c r="P361" s="295" t="n"/>
      <c r="Q361" s="295" t="n"/>
      <c r="R361" s="290" t="n"/>
      <c r="S361" s="295" t="n"/>
      <c r="T361" s="295" t="n"/>
      <c r="U361" s="293" t="n"/>
      <c r="V361" s="295" t="n"/>
      <c r="W361" s="290" t="n"/>
      <c r="X361" s="295" t="n"/>
      <c r="Y361" s="295" t="n"/>
      <c r="Z361" s="295" t="n"/>
      <c r="AA361" s="295" t="n"/>
      <c r="AB361" s="293" t="n"/>
      <c r="AC361" s="295" t="n"/>
      <c r="AD361" s="295" t="n"/>
      <c r="AE361" s="294" t="n"/>
    </row>
    <row r="362">
      <c r="B362" s="279" t="n"/>
      <c r="C362" s="280" t="n"/>
      <c r="D362" s="295" t="n"/>
      <c r="E362" s="295" t="n"/>
      <c r="F362" s="295" t="n"/>
      <c r="G362" s="282" t="n"/>
      <c r="H362" s="295" t="n"/>
      <c r="I362" s="295" t="n"/>
      <c r="J362" s="282" t="n"/>
      <c r="K362" s="345" t="n"/>
      <c r="L362" s="295" t="n"/>
      <c r="M362" s="346" t="n"/>
      <c r="N362" s="295" t="n"/>
      <c r="O362" s="285" t="n"/>
      <c r="P362" s="295" t="n"/>
      <c r="Q362" s="295" t="n"/>
      <c r="R362" s="282" t="n"/>
      <c r="S362" s="295" t="n"/>
      <c r="T362" s="295" t="n"/>
      <c r="U362" s="285" t="n"/>
      <c r="V362" s="295" t="n"/>
      <c r="W362" s="282" t="n"/>
      <c r="X362" s="295" t="n"/>
      <c r="Y362" s="295" t="n"/>
      <c r="Z362" s="295" t="n"/>
      <c r="AA362" s="295" t="n"/>
      <c r="AB362" s="285" t="n"/>
      <c r="AC362" s="295" t="n"/>
      <c r="AD362" s="295" t="n"/>
      <c r="AE362" s="286" t="n"/>
    </row>
    <row r="363">
      <c r="B363" s="287" t="n"/>
      <c r="C363" s="288" t="n"/>
      <c r="D363" s="295" t="n"/>
      <c r="E363" s="295" t="n"/>
      <c r="F363" s="295" t="n"/>
      <c r="G363" s="290" t="n"/>
      <c r="H363" s="295" t="n"/>
      <c r="I363" s="295" t="n"/>
      <c r="J363" s="290" t="n"/>
      <c r="K363" s="347" t="n"/>
      <c r="L363" s="295" t="n"/>
      <c r="M363" s="348" t="n"/>
      <c r="N363" s="295" t="n"/>
      <c r="O363" s="293" t="n"/>
      <c r="P363" s="295" t="n"/>
      <c r="Q363" s="295" t="n"/>
      <c r="R363" s="290" t="n"/>
      <c r="S363" s="295" t="n"/>
      <c r="T363" s="295" t="n"/>
      <c r="U363" s="293" t="n"/>
      <c r="V363" s="295" t="n"/>
      <c r="W363" s="290" t="n"/>
      <c r="X363" s="295" t="n"/>
      <c r="Y363" s="295" t="n"/>
      <c r="Z363" s="295" t="n"/>
      <c r="AA363" s="295" t="n"/>
      <c r="AB363" s="293" t="n"/>
      <c r="AC363" s="295" t="n"/>
      <c r="AD363" s="295" t="n"/>
      <c r="AE363" s="294" t="n"/>
    </row>
    <row r="364">
      <c r="B364" s="279" t="n"/>
      <c r="C364" s="280" t="n"/>
      <c r="D364" s="295" t="n"/>
      <c r="E364" s="295" t="n"/>
      <c r="F364" s="295" t="n"/>
      <c r="G364" s="282" t="n"/>
      <c r="H364" s="295" t="n"/>
      <c r="I364" s="295" t="n"/>
      <c r="J364" s="282" t="n"/>
      <c r="K364" s="345" t="n"/>
      <c r="L364" s="295" t="n"/>
      <c r="M364" s="346" t="n"/>
      <c r="N364" s="295" t="n"/>
      <c r="O364" s="285" t="n"/>
      <c r="P364" s="295" t="n"/>
      <c r="Q364" s="295" t="n"/>
      <c r="R364" s="282" t="n"/>
      <c r="S364" s="295" t="n"/>
      <c r="T364" s="295" t="n"/>
      <c r="U364" s="285" t="n"/>
      <c r="V364" s="295" t="n"/>
      <c r="W364" s="282" t="n"/>
      <c r="X364" s="295" t="n"/>
      <c r="Y364" s="295" t="n"/>
      <c r="Z364" s="295" t="n"/>
      <c r="AA364" s="295" t="n"/>
      <c r="AB364" s="285" t="n"/>
      <c r="AC364" s="295" t="n"/>
      <c r="AD364" s="295" t="n"/>
      <c r="AE364" s="286" t="n"/>
    </row>
    <row r="365">
      <c r="B365" s="287" t="n"/>
      <c r="C365" s="288" t="n"/>
      <c r="D365" s="295" t="n"/>
      <c r="E365" s="295" t="n"/>
      <c r="F365" s="295" t="n"/>
      <c r="G365" s="290" t="n"/>
      <c r="H365" s="295" t="n"/>
      <c r="I365" s="295" t="n"/>
      <c r="J365" s="290" t="n"/>
      <c r="K365" s="347" t="n"/>
      <c r="L365" s="295" t="n"/>
      <c r="M365" s="348" t="n"/>
      <c r="N365" s="295" t="n"/>
      <c r="O365" s="293" t="n"/>
      <c r="P365" s="295" t="n"/>
      <c r="Q365" s="295" t="n"/>
      <c r="R365" s="290" t="n"/>
      <c r="S365" s="295" t="n"/>
      <c r="T365" s="295" t="n"/>
      <c r="U365" s="293" t="n"/>
      <c r="V365" s="295" t="n"/>
      <c r="W365" s="290" t="n"/>
      <c r="X365" s="295" t="n"/>
      <c r="Y365" s="295" t="n"/>
      <c r="Z365" s="295" t="n"/>
      <c r="AA365" s="295" t="n"/>
      <c r="AB365" s="293" t="n"/>
      <c r="AC365" s="295" t="n"/>
      <c r="AD365" s="295" t="n"/>
      <c r="AE365" s="294" t="n"/>
    </row>
    <row r="366">
      <c r="B366" s="279" t="n"/>
      <c r="C366" s="280" t="n"/>
      <c r="D366" s="295" t="n"/>
      <c r="E366" s="295" t="n"/>
      <c r="F366" s="295" t="n"/>
      <c r="G366" s="282" t="n"/>
      <c r="H366" s="295" t="n"/>
      <c r="I366" s="295" t="n"/>
      <c r="J366" s="282" t="n"/>
      <c r="K366" s="345" t="n"/>
      <c r="L366" s="295" t="n"/>
      <c r="M366" s="346" t="n"/>
      <c r="N366" s="295" t="n"/>
      <c r="O366" s="285" t="n"/>
      <c r="P366" s="295" t="n"/>
      <c r="Q366" s="295" t="n"/>
      <c r="R366" s="282" t="n"/>
      <c r="S366" s="295" t="n"/>
      <c r="T366" s="295" t="n"/>
      <c r="U366" s="285" t="n"/>
      <c r="V366" s="295" t="n"/>
      <c r="W366" s="282" t="n"/>
      <c r="X366" s="295" t="n"/>
      <c r="Y366" s="295" t="n"/>
      <c r="Z366" s="295" t="n"/>
      <c r="AA366" s="295" t="n"/>
      <c r="AB366" s="285" t="n"/>
      <c r="AC366" s="295" t="n"/>
      <c r="AD366" s="295" t="n"/>
      <c r="AE366" s="286" t="n"/>
    </row>
    <row r="367">
      <c r="B367" s="287" t="n"/>
      <c r="C367" s="288" t="n"/>
      <c r="D367" s="295" t="n"/>
      <c r="E367" s="295" t="n"/>
      <c r="F367" s="295" t="n"/>
      <c r="G367" s="290" t="n"/>
      <c r="H367" s="295" t="n"/>
      <c r="I367" s="295" t="n"/>
      <c r="J367" s="290" t="n"/>
      <c r="K367" s="347" t="n"/>
      <c r="L367" s="295" t="n"/>
      <c r="M367" s="348" t="n"/>
      <c r="N367" s="295" t="n"/>
      <c r="O367" s="293" t="n"/>
      <c r="P367" s="295" t="n"/>
      <c r="Q367" s="295" t="n"/>
      <c r="R367" s="290" t="n"/>
      <c r="S367" s="295" t="n"/>
      <c r="T367" s="295" t="n"/>
      <c r="U367" s="293" t="n"/>
      <c r="V367" s="295" t="n"/>
      <c r="W367" s="290" t="n"/>
      <c r="X367" s="295" t="n"/>
      <c r="Y367" s="295" t="n"/>
      <c r="Z367" s="295" t="n"/>
      <c r="AA367" s="295" t="n"/>
      <c r="AB367" s="293" t="n"/>
      <c r="AC367" s="295" t="n"/>
      <c r="AD367" s="295" t="n"/>
      <c r="AE367" s="294" t="n"/>
    </row>
    <row r="368">
      <c r="B368" s="279" t="n"/>
      <c r="C368" s="280" t="n"/>
      <c r="D368" s="295" t="n"/>
      <c r="E368" s="295" t="n"/>
      <c r="F368" s="295" t="n"/>
      <c r="G368" s="282" t="n"/>
      <c r="H368" s="295" t="n"/>
      <c r="I368" s="295" t="n"/>
      <c r="J368" s="282" t="n"/>
      <c r="K368" s="345" t="n"/>
      <c r="L368" s="295" t="n"/>
      <c r="M368" s="346" t="n"/>
      <c r="N368" s="295" t="n"/>
      <c r="O368" s="285" t="n"/>
      <c r="P368" s="295" t="n"/>
      <c r="Q368" s="295" t="n"/>
      <c r="R368" s="282" t="n"/>
      <c r="S368" s="295" t="n"/>
      <c r="T368" s="295" t="n"/>
      <c r="U368" s="285" t="n"/>
      <c r="V368" s="295" t="n"/>
      <c r="W368" s="282" t="n"/>
      <c r="X368" s="295" t="n"/>
      <c r="Y368" s="295" t="n"/>
      <c r="Z368" s="295" t="n"/>
      <c r="AA368" s="295" t="n"/>
      <c r="AB368" s="285" t="n"/>
      <c r="AC368" s="295" t="n"/>
      <c r="AD368" s="295" t="n"/>
      <c r="AE368" s="286" t="n"/>
    </row>
    <row r="369">
      <c r="B369" s="287" t="n"/>
      <c r="C369" s="288" t="n"/>
      <c r="D369" s="295" t="n"/>
      <c r="E369" s="295" t="n"/>
      <c r="F369" s="295" t="n"/>
      <c r="G369" s="290" t="n"/>
      <c r="H369" s="295" t="n"/>
      <c r="I369" s="295" t="n"/>
      <c r="J369" s="290" t="n"/>
      <c r="K369" s="347" t="n"/>
      <c r="L369" s="295" t="n"/>
      <c r="M369" s="348" t="n"/>
      <c r="N369" s="295" t="n"/>
      <c r="O369" s="293" t="n"/>
      <c r="P369" s="295" t="n"/>
      <c r="Q369" s="295" t="n"/>
      <c r="R369" s="290" t="n"/>
      <c r="S369" s="295" t="n"/>
      <c r="T369" s="295" t="n"/>
      <c r="U369" s="293" t="n"/>
      <c r="V369" s="295" t="n"/>
      <c r="W369" s="290" t="n"/>
      <c r="X369" s="295" t="n"/>
      <c r="Y369" s="295" t="n"/>
      <c r="Z369" s="295" t="n"/>
      <c r="AA369" s="295" t="n"/>
      <c r="AB369" s="293" t="n"/>
      <c r="AC369" s="295" t="n"/>
      <c r="AD369" s="295" t="n"/>
      <c r="AE369" s="294" t="n"/>
    </row>
    <row r="370">
      <c r="B370" s="279" t="n"/>
      <c r="C370" s="280" t="n"/>
      <c r="D370" s="295" t="n"/>
      <c r="E370" s="295" t="n"/>
      <c r="F370" s="295" t="n"/>
      <c r="G370" s="282" t="n"/>
      <c r="H370" s="295" t="n"/>
      <c r="I370" s="295" t="n"/>
      <c r="J370" s="282" t="n"/>
      <c r="K370" s="345" t="n"/>
      <c r="L370" s="295" t="n"/>
      <c r="M370" s="346" t="n"/>
      <c r="N370" s="295" t="n"/>
      <c r="O370" s="285" t="n"/>
      <c r="P370" s="295" t="n"/>
      <c r="Q370" s="295" t="n"/>
      <c r="R370" s="282" t="n"/>
      <c r="S370" s="295" t="n"/>
      <c r="T370" s="295" t="n"/>
      <c r="U370" s="285" t="n"/>
      <c r="V370" s="295" t="n"/>
      <c r="W370" s="282" t="n"/>
      <c r="X370" s="295" t="n"/>
      <c r="Y370" s="295" t="n"/>
      <c r="Z370" s="295" t="n"/>
      <c r="AA370" s="295" t="n"/>
      <c r="AB370" s="285" t="n"/>
      <c r="AC370" s="295" t="n"/>
      <c r="AD370" s="295" t="n"/>
      <c r="AE370" s="286" t="n"/>
    </row>
    <row r="371">
      <c r="B371" s="287" t="n"/>
      <c r="C371" s="288" t="n"/>
      <c r="D371" s="295" t="n"/>
      <c r="E371" s="295" t="n"/>
      <c r="F371" s="295" t="n"/>
      <c r="G371" s="290" t="n"/>
      <c r="H371" s="295" t="n"/>
      <c r="I371" s="295" t="n"/>
      <c r="J371" s="290" t="n"/>
      <c r="K371" s="347" t="n"/>
      <c r="L371" s="295" t="n"/>
      <c r="M371" s="348" t="n"/>
      <c r="N371" s="295" t="n"/>
      <c r="O371" s="293" t="n"/>
      <c r="P371" s="295" t="n"/>
      <c r="Q371" s="295" t="n"/>
      <c r="R371" s="290" t="n"/>
      <c r="S371" s="295" t="n"/>
      <c r="T371" s="295" t="n"/>
      <c r="U371" s="293" t="n"/>
      <c r="V371" s="295" t="n"/>
      <c r="W371" s="290" t="n"/>
      <c r="X371" s="295" t="n"/>
      <c r="Y371" s="295" t="n"/>
      <c r="Z371" s="295" t="n"/>
      <c r="AA371" s="295" t="n"/>
      <c r="AB371" s="293" t="n"/>
      <c r="AC371" s="295" t="n"/>
      <c r="AD371" s="295" t="n"/>
      <c r="AE371" s="294" t="n"/>
    </row>
    <row r="372">
      <c r="B372" s="279" t="n"/>
      <c r="C372" s="280" t="n"/>
      <c r="D372" s="295" t="n"/>
      <c r="E372" s="295" t="n"/>
      <c r="F372" s="295" t="n"/>
      <c r="G372" s="282" t="n"/>
      <c r="H372" s="295" t="n"/>
      <c r="I372" s="295" t="n"/>
      <c r="J372" s="282" t="n"/>
      <c r="K372" s="345" t="n"/>
      <c r="L372" s="295" t="n"/>
      <c r="M372" s="346" t="n"/>
      <c r="N372" s="295" t="n"/>
      <c r="O372" s="285" t="n"/>
      <c r="P372" s="295" t="n"/>
      <c r="Q372" s="295" t="n"/>
      <c r="R372" s="282" t="n"/>
      <c r="S372" s="295" t="n"/>
      <c r="T372" s="295" t="n"/>
      <c r="U372" s="285" t="n"/>
      <c r="V372" s="295" t="n"/>
      <c r="W372" s="282" t="n"/>
      <c r="X372" s="295" t="n"/>
      <c r="Y372" s="295" t="n"/>
      <c r="Z372" s="295" t="n"/>
      <c r="AA372" s="295" t="n"/>
      <c r="AB372" s="285" t="n"/>
      <c r="AC372" s="295" t="n"/>
      <c r="AD372" s="295" t="n"/>
      <c r="AE372" s="286" t="n"/>
    </row>
    <row r="373">
      <c r="B373" s="287" t="n"/>
      <c r="C373" s="288" t="n"/>
      <c r="D373" s="295" t="n"/>
      <c r="E373" s="295" t="n"/>
      <c r="F373" s="295" t="n"/>
      <c r="G373" s="290" t="n"/>
      <c r="H373" s="295" t="n"/>
      <c r="I373" s="295" t="n"/>
      <c r="J373" s="290" t="n"/>
      <c r="K373" s="347" t="n"/>
      <c r="L373" s="295" t="n"/>
      <c r="M373" s="348" t="n"/>
      <c r="N373" s="295" t="n"/>
      <c r="O373" s="293" t="n"/>
      <c r="P373" s="295" t="n"/>
      <c r="Q373" s="295" t="n"/>
      <c r="R373" s="290" t="n"/>
      <c r="S373" s="295" t="n"/>
      <c r="T373" s="295" t="n"/>
      <c r="U373" s="293" t="n"/>
      <c r="V373" s="295" t="n"/>
      <c r="W373" s="290" t="n"/>
      <c r="X373" s="295" t="n"/>
      <c r="Y373" s="295" t="n"/>
      <c r="Z373" s="295" t="n"/>
      <c r="AA373" s="295" t="n"/>
      <c r="AB373" s="293" t="n"/>
      <c r="AC373" s="295" t="n"/>
      <c r="AD373" s="295" t="n"/>
      <c r="AE373" s="294" t="n"/>
    </row>
    <row r="374">
      <c r="B374" s="279" t="n"/>
      <c r="C374" s="280" t="n"/>
      <c r="D374" s="295" t="n"/>
      <c r="E374" s="295" t="n"/>
      <c r="F374" s="295" t="n"/>
      <c r="G374" s="282" t="n"/>
      <c r="H374" s="295" t="n"/>
      <c r="I374" s="295" t="n"/>
      <c r="J374" s="282" t="n"/>
      <c r="K374" s="345" t="n"/>
      <c r="L374" s="295" t="n"/>
      <c r="M374" s="346" t="n"/>
      <c r="N374" s="295" t="n"/>
      <c r="O374" s="285" t="n"/>
      <c r="P374" s="295" t="n"/>
      <c r="Q374" s="295" t="n"/>
      <c r="R374" s="282" t="n"/>
      <c r="S374" s="295" t="n"/>
      <c r="T374" s="295" t="n"/>
      <c r="U374" s="285" t="n"/>
      <c r="V374" s="295" t="n"/>
      <c r="W374" s="282" t="n"/>
      <c r="X374" s="295" t="n"/>
      <c r="Y374" s="295" t="n"/>
      <c r="Z374" s="295" t="n"/>
      <c r="AA374" s="295" t="n"/>
      <c r="AB374" s="285" t="n"/>
      <c r="AC374" s="295" t="n"/>
      <c r="AD374" s="295" t="n"/>
      <c r="AE374" s="286" t="n"/>
    </row>
    <row r="375">
      <c r="B375" s="287" t="n"/>
      <c r="C375" s="288" t="n"/>
      <c r="D375" s="295" t="n"/>
      <c r="E375" s="295" t="n"/>
      <c r="F375" s="295" t="n"/>
      <c r="G375" s="290" t="n"/>
      <c r="H375" s="295" t="n"/>
      <c r="I375" s="295" t="n"/>
      <c r="J375" s="290" t="n"/>
      <c r="K375" s="347" t="n"/>
      <c r="L375" s="295" t="n"/>
      <c r="M375" s="348" t="n"/>
      <c r="N375" s="295" t="n"/>
      <c r="O375" s="293" t="n"/>
      <c r="P375" s="295" t="n"/>
      <c r="Q375" s="295" t="n"/>
      <c r="R375" s="290" t="n"/>
      <c r="S375" s="295" t="n"/>
      <c r="T375" s="295" t="n"/>
      <c r="U375" s="293" t="n"/>
      <c r="V375" s="295" t="n"/>
      <c r="W375" s="290" t="n"/>
      <c r="X375" s="295" t="n"/>
      <c r="Y375" s="295" t="n"/>
      <c r="Z375" s="295" t="n"/>
      <c r="AA375" s="295" t="n"/>
      <c r="AB375" s="293" t="n"/>
      <c r="AC375" s="295" t="n"/>
      <c r="AD375" s="295" t="n"/>
      <c r="AE375" s="294" t="n"/>
    </row>
    <row r="376">
      <c r="B376" s="279" t="n"/>
      <c r="C376" s="280" t="n"/>
      <c r="D376" s="295" t="n"/>
      <c r="E376" s="295" t="n"/>
      <c r="F376" s="295" t="n"/>
      <c r="G376" s="282" t="n"/>
      <c r="H376" s="295" t="n"/>
      <c r="I376" s="295" t="n"/>
      <c r="J376" s="282" t="n"/>
      <c r="K376" s="345" t="n"/>
      <c r="L376" s="295" t="n"/>
      <c r="M376" s="346" t="n"/>
      <c r="N376" s="295" t="n"/>
      <c r="O376" s="285" t="n"/>
      <c r="P376" s="295" t="n"/>
      <c r="Q376" s="295" t="n"/>
      <c r="R376" s="282" t="n"/>
      <c r="S376" s="295" t="n"/>
      <c r="T376" s="295" t="n"/>
      <c r="U376" s="285" t="n"/>
      <c r="V376" s="295" t="n"/>
      <c r="W376" s="282" t="n"/>
      <c r="X376" s="295" t="n"/>
      <c r="Y376" s="295" t="n"/>
      <c r="Z376" s="295" t="n"/>
      <c r="AA376" s="295" t="n"/>
      <c r="AB376" s="285" t="n"/>
      <c r="AC376" s="295" t="n"/>
      <c r="AD376" s="295" t="n"/>
      <c r="AE376" s="286" t="n"/>
    </row>
    <row r="377">
      <c r="B377" s="287" t="n"/>
      <c r="C377" s="288" t="n"/>
      <c r="D377" s="295" t="n"/>
      <c r="E377" s="295" t="n"/>
      <c r="F377" s="295" t="n"/>
      <c r="G377" s="290" t="n"/>
      <c r="H377" s="295" t="n"/>
      <c r="I377" s="295" t="n"/>
      <c r="J377" s="290" t="n"/>
      <c r="K377" s="347" t="n"/>
      <c r="L377" s="295" t="n"/>
      <c r="M377" s="348" t="n"/>
      <c r="N377" s="295" t="n"/>
      <c r="O377" s="293" t="n"/>
      <c r="P377" s="295" t="n"/>
      <c r="Q377" s="295" t="n"/>
      <c r="R377" s="290" t="n"/>
      <c r="S377" s="295" t="n"/>
      <c r="T377" s="295" t="n"/>
      <c r="U377" s="293" t="n"/>
      <c r="V377" s="295" t="n"/>
      <c r="W377" s="290" t="n"/>
      <c r="X377" s="295" t="n"/>
      <c r="Y377" s="295" t="n"/>
      <c r="Z377" s="295" t="n"/>
      <c r="AA377" s="295" t="n"/>
      <c r="AB377" s="293" t="n"/>
      <c r="AC377" s="295" t="n"/>
      <c r="AD377" s="295" t="n"/>
      <c r="AE377" s="294" t="n"/>
    </row>
    <row r="378">
      <c r="B378" s="279" t="n"/>
      <c r="C378" s="280" t="n"/>
      <c r="D378" s="295" t="n"/>
      <c r="E378" s="295" t="n"/>
      <c r="F378" s="295" t="n"/>
      <c r="G378" s="282" t="n"/>
      <c r="H378" s="295" t="n"/>
      <c r="I378" s="295" t="n"/>
      <c r="J378" s="282" t="n"/>
      <c r="K378" s="345" t="n"/>
      <c r="L378" s="295" t="n"/>
      <c r="M378" s="346" t="n"/>
      <c r="N378" s="295" t="n"/>
      <c r="O378" s="285" t="n"/>
      <c r="P378" s="295" t="n"/>
      <c r="Q378" s="295" t="n"/>
      <c r="R378" s="282" t="n"/>
      <c r="S378" s="295" t="n"/>
      <c r="T378" s="295" t="n"/>
      <c r="U378" s="285" t="n"/>
      <c r="V378" s="295" t="n"/>
      <c r="W378" s="282" t="n"/>
      <c r="X378" s="295" t="n"/>
      <c r="Y378" s="295" t="n"/>
      <c r="Z378" s="295" t="n"/>
      <c r="AA378" s="295" t="n"/>
      <c r="AB378" s="285" t="n"/>
      <c r="AC378" s="295" t="n"/>
      <c r="AD378" s="295" t="n"/>
      <c r="AE378" s="286" t="n"/>
    </row>
    <row r="379">
      <c r="B379" s="287" t="n"/>
      <c r="C379" s="288" t="n"/>
      <c r="D379" s="295" t="n"/>
      <c r="E379" s="295" t="n"/>
      <c r="F379" s="295" t="n"/>
      <c r="G379" s="290" t="n"/>
      <c r="H379" s="295" t="n"/>
      <c r="I379" s="295" t="n"/>
      <c r="J379" s="290" t="n"/>
      <c r="K379" s="347" t="n"/>
      <c r="L379" s="295" t="n"/>
      <c r="M379" s="348" t="n"/>
      <c r="N379" s="295" t="n"/>
      <c r="O379" s="293" t="n"/>
      <c r="P379" s="295" t="n"/>
      <c r="Q379" s="295" t="n"/>
      <c r="R379" s="290" t="n"/>
      <c r="S379" s="295" t="n"/>
      <c r="T379" s="295" t="n"/>
      <c r="U379" s="293" t="n"/>
      <c r="V379" s="295" t="n"/>
      <c r="W379" s="290" t="n"/>
      <c r="X379" s="295" t="n"/>
      <c r="Y379" s="295" t="n"/>
      <c r="Z379" s="295" t="n"/>
      <c r="AA379" s="295" t="n"/>
      <c r="AB379" s="293" t="n"/>
      <c r="AC379" s="295" t="n"/>
      <c r="AD379" s="295" t="n"/>
      <c r="AE379" s="294" t="n"/>
    </row>
    <row r="380">
      <c r="B380" s="279" t="n"/>
      <c r="C380" s="280" t="n"/>
      <c r="D380" s="295" t="n"/>
      <c r="E380" s="295" t="n"/>
      <c r="F380" s="295" t="n"/>
      <c r="G380" s="282" t="n"/>
      <c r="H380" s="295" t="n"/>
      <c r="I380" s="295" t="n"/>
      <c r="J380" s="282" t="n"/>
      <c r="K380" s="345" t="n"/>
      <c r="L380" s="295" t="n"/>
      <c r="M380" s="346" t="n"/>
      <c r="N380" s="295" t="n"/>
      <c r="O380" s="285" t="n"/>
      <c r="P380" s="295" t="n"/>
      <c r="Q380" s="295" t="n"/>
      <c r="R380" s="282" t="n"/>
      <c r="S380" s="295" t="n"/>
      <c r="T380" s="295" t="n"/>
      <c r="U380" s="285" t="n"/>
      <c r="V380" s="295" t="n"/>
      <c r="W380" s="282" t="n"/>
      <c r="X380" s="295" t="n"/>
      <c r="Y380" s="295" t="n"/>
      <c r="Z380" s="295" t="n"/>
      <c r="AA380" s="295" t="n"/>
      <c r="AB380" s="285" t="n"/>
      <c r="AC380" s="295" t="n"/>
      <c r="AD380" s="295" t="n"/>
      <c r="AE380" s="286" t="n"/>
    </row>
    <row r="381">
      <c r="B381" s="287" t="n"/>
      <c r="C381" s="288" t="n"/>
      <c r="D381" s="295" t="n"/>
      <c r="E381" s="295" t="n"/>
      <c r="F381" s="295" t="n"/>
      <c r="G381" s="290" t="n"/>
      <c r="H381" s="295" t="n"/>
      <c r="I381" s="295" t="n"/>
      <c r="J381" s="290" t="n"/>
      <c r="K381" s="347" t="n"/>
      <c r="L381" s="295" t="n"/>
      <c r="M381" s="348" t="n"/>
      <c r="N381" s="295" t="n"/>
      <c r="O381" s="293" t="n"/>
      <c r="P381" s="295" t="n"/>
      <c r="Q381" s="295" t="n"/>
      <c r="R381" s="290" t="n"/>
      <c r="S381" s="295" t="n"/>
      <c r="T381" s="295" t="n"/>
      <c r="U381" s="293" t="n"/>
      <c r="V381" s="295" t="n"/>
      <c r="W381" s="290" t="n"/>
      <c r="X381" s="295" t="n"/>
      <c r="Y381" s="295" t="n"/>
      <c r="Z381" s="295" t="n"/>
      <c r="AA381" s="295" t="n"/>
      <c r="AB381" s="293" t="n"/>
      <c r="AC381" s="295" t="n"/>
      <c r="AD381" s="295" t="n"/>
      <c r="AE381" s="294" t="n"/>
    </row>
    <row r="382">
      <c r="B382" s="279" t="n"/>
      <c r="C382" s="280" t="n"/>
      <c r="D382" s="295" t="n"/>
      <c r="E382" s="295" t="n"/>
      <c r="F382" s="295" t="n"/>
      <c r="G382" s="282" t="n"/>
      <c r="H382" s="295" t="n"/>
      <c r="I382" s="295" t="n"/>
      <c r="J382" s="282" t="n"/>
      <c r="K382" s="345" t="n"/>
      <c r="L382" s="295" t="n"/>
      <c r="M382" s="346" t="n"/>
      <c r="N382" s="295" t="n"/>
      <c r="O382" s="285" t="n"/>
      <c r="P382" s="295" t="n"/>
      <c r="Q382" s="295" t="n"/>
      <c r="R382" s="282" t="n"/>
      <c r="S382" s="295" t="n"/>
      <c r="T382" s="295" t="n"/>
      <c r="U382" s="285" t="n"/>
      <c r="V382" s="295" t="n"/>
      <c r="W382" s="282" t="n"/>
      <c r="X382" s="295" t="n"/>
      <c r="Y382" s="295" t="n"/>
      <c r="Z382" s="295" t="n"/>
      <c r="AA382" s="295" t="n"/>
      <c r="AB382" s="285" t="n"/>
      <c r="AC382" s="295" t="n"/>
      <c r="AD382" s="295" t="n"/>
      <c r="AE382" s="286" t="n"/>
    </row>
    <row r="383">
      <c r="B383" s="287" t="n"/>
      <c r="C383" s="288" t="n"/>
      <c r="D383" s="295" t="n"/>
      <c r="E383" s="295" t="n"/>
      <c r="F383" s="295" t="n"/>
      <c r="G383" s="290" t="n"/>
      <c r="H383" s="295" t="n"/>
      <c r="I383" s="295" t="n"/>
      <c r="J383" s="290" t="n"/>
      <c r="K383" s="347" t="n"/>
      <c r="L383" s="295" t="n"/>
      <c r="M383" s="348" t="n"/>
      <c r="N383" s="295" t="n"/>
      <c r="O383" s="293" t="n"/>
      <c r="P383" s="295" t="n"/>
      <c r="Q383" s="295" t="n"/>
      <c r="R383" s="290" t="n"/>
      <c r="S383" s="295" t="n"/>
      <c r="T383" s="295" t="n"/>
      <c r="U383" s="293" t="n"/>
      <c r="V383" s="295" t="n"/>
      <c r="W383" s="290" t="n"/>
      <c r="X383" s="295" t="n"/>
      <c r="Y383" s="295" t="n"/>
      <c r="Z383" s="295" t="n"/>
      <c r="AA383" s="295" t="n"/>
      <c r="AB383" s="293" t="n"/>
      <c r="AC383" s="295" t="n"/>
      <c r="AD383" s="295" t="n"/>
      <c r="AE383" s="294" t="n"/>
    </row>
    <row r="384">
      <c r="B384" s="279" t="n"/>
      <c r="C384" s="280" t="n"/>
      <c r="D384" s="295" t="n"/>
      <c r="E384" s="295" t="n"/>
      <c r="F384" s="295" t="n"/>
      <c r="G384" s="282" t="n"/>
      <c r="H384" s="295" t="n"/>
      <c r="I384" s="295" t="n"/>
      <c r="J384" s="282" t="n"/>
      <c r="K384" s="345" t="n"/>
      <c r="L384" s="295" t="n"/>
      <c r="M384" s="346" t="n"/>
      <c r="N384" s="295" t="n"/>
      <c r="O384" s="285" t="n"/>
      <c r="P384" s="295" t="n"/>
      <c r="Q384" s="295" t="n"/>
      <c r="R384" s="282" t="n"/>
      <c r="S384" s="295" t="n"/>
      <c r="T384" s="295" t="n"/>
      <c r="U384" s="285" t="n"/>
      <c r="V384" s="295" t="n"/>
      <c r="W384" s="282" t="n"/>
      <c r="X384" s="295" t="n"/>
      <c r="Y384" s="295" t="n"/>
      <c r="Z384" s="295" t="n"/>
      <c r="AA384" s="295" t="n"/>
      <c r="AB384" s="285" t="n"/>
      <c r="AC384" s="295" t="n"/>
      <c r="AD384" s="295" t="n"/>
      <c r="AE384" s="286" t="n"/>
    </row>
    <row r="385">
      <c r="B385" s="287" t="n"/>
      <c r="C385" s="288" t="n"/>
      <c r="D385" s="295" t="n"/>
      <c r="E385" s="295" t="n"/>
      <c r="F385" s="295" t="n"/>
      <c r="G385" s="290" t="n"/>
      <c r="H385" s="295" t="n"/>
      <c r="I385" s="295" t="n"/>
      <c r="J385" s="290" t="n"/>
      <c r="K385" s="347" t="n"/>
      <c r="L385" s="295" t="n"/>
      <c r="M385" s="348" t="n"/>
      <c r="N385" s="295" t="n"/>
      <c r="O385" s="293" t="n"/>
      <c r="P385" s="295" t="n"/>
      <c r="Q385" s="295" t="n"/>
      <c r="R385" s="290" t="n"/>
      <c r="S385" s="295" t="n"/>
      <c r="T385" s="295" t="n"/>
      <c r="U385" s="293" t="n"/>
      <c r="V385" s="295" t="n"/>
      <c r="W385" s="290" t="n"/>
      <c r="X385" s="295" t="n"/>
      <c r="Y385" s="295" t="n"/>
      <c r="Z385" s="295" t="n"/>
      <c r="AA385" s="295" t="n"/>
      <c r="AB385" s="293" t="n"/>
      <c r="AC385" s="295" t="n"/>
      <c r="AD385" s="295" t="n"/>
      <c r="AE385" s="294" t="n"/>
    </row>
    <row r="386">
      <c r="B386" s="279" t="n"/>
      <c r="C386" s="280" t="n"/>
      <c r="D386" s="295" t="n"/>
      <c r="E386" s="295" t="n"/>
      <c r="F386" s="295" t="n"/>
      <c r="G386" s="282" t="n"/>
      <c r="H386" s="295" t="n"/>
      <c r="I386" s="295" t="n"/>
      <c r="J386" s="282" t="n"/>
      <c r="K386" s="345" t="n"/>
      <c r="L386" s="295" t="n"/>
      <c r="M386" s="346" t="n"/>
      <c r="N386" s="295" t="n"/>
      <c r="O386" s="285" t="n"/>
      <c r="P386" s="295" t="n"/>
      <c r="Q386" s="295" t="n"/>
      <c r="R386" s="282" t="n"/>
      <c r="S386" s="295" t="n"/>
      <c r="T386" s="295" t="n"/>
      <c r="U386" s="285" t="n"/>
      <c r="V386" s="295" t="n"/>
      <c r="W386" s="282" t="n"/>
      <c r="X386" s="295" t="n"/>
      <c r="Y386" s="295" t="n"/>
      <c r="Z386" s="295" t="n"/>
      <c r="AA386" s="295" t="n"/>
      <c r="AB386" s="285" t="n"/>
      <c r="AC386" s="295" t="n"/>
      <c r="AD386" s="295" t="n"/>
      <c r="AE386" s="286" t="n"/>
    </row>
    <row r="387">
      <c r="B387" s="287" t="n"/>
      <c r="C387" s="288" t="n"/>
      <c r="D387" s="295" t="n"/>
      <c r="E387" s="295" t="n"/>
      <c r="F387" s="295" t="n"/>
      <c r="G387" s="290" t="n"/>
      <c r="H387" s="295" t="n"/>
      <c r="I387" s="295" t="n"/>
      <c r="J387" s="290" t="n"/>
      <c r="K387" s="347" t="n"/>
      <c r="L387" s="295" t="n"/>
      <c r="M387" s="348" t="n"/>
      <c r="N387" s="295" t="n"/>
      <c r="O387" s="293" t="n"/>
      <c r="P387" s="295" t="n"/>
      <c r="Q387" s="295" t="n"/>
      <c r="R387" s="290" t="n"/>
      <c r="S387" s="295" t="n"/>
      <c r="T387" s="295" t="n"/>
      <c r="U387" s="293" t="n"/>
      <c r="V387" s="295" t="n"/>
      <c r="W387" s="290" t="n"/>
      <c r="X387" s="295" t="n"/>
      <c r="Y387" s="295" t="n"/>
      <c r="Z387" s="295" t="n"/>
      <c r="AA387" s="295" t="n"/>
      <c r="AB387" s="293" t="n"/>
      <c r="AC387" s="295" t="n"/>
      <c r="AD387" s="295" t="n"/>
      <c r="AE387" s="294" t="n"/>
    </row>
    <row r="388">
      <c r="B388" s="279" t="n"/>
      <c r="C388" s="280" t="n"/>
      <c r="D388" s="295" t="n"/>
      <c r="E388" s="295" t="n"/>
      <c r="F388" s="295" t="n"/>
      <c r="G388" s="282" t="n"/>
      <c r="H388" s="295" t="n"/>
      <c r="I388" s="295" t="n"/>
      <c r="J388" s="282" t="n"/>
      <c r="K388" s="345" t="n"/>
      <c r="L388" s="295" t="n"/>
      <c r="M388" s="346" t="n"/>
      <c r="N388" s="295" t="n"/>
      <c r="O388" s="285" t="n"/>
      <c r="P388" s="295" t="n"/>
      <c r="Q388" s="295" t="n"/>
      <c r="R388" s="282" t="n"/>
      <c r="S388" s="295" t="n"/>
      <c r="T388" s="295" t="n"/>
      <c r="U388" s="285" t="n"/>
      <c r="V388" s="295" t="n"/>
      <c r="W388" s="282" t="n"/>
      <c r="X388" s="295" t="n"/>
      <c r="Y388" s="295" t="n"/>
      <c r="Z388" s="295" t="n"/>
      <c r="AA388" s="295" t="n"/>
      <c r="AB388" s="285" t="n"/>
      <c r="AC388" s="295" t="n"/>
      <c r="AD388" s="295" t="n"/>
      <c r="AE388" s="286" t="n"/>
    </row>
    <row r="389">
      <c r="B389" s="287" t="n"/>
      <c r="C389" s="288" t="n"/>
      <c r="D389" s="295" t="n"/>
      <c r="E389" s="295" t="n"/>
      <c r="F389" s="295" t="n"/>
      <c r="G389" s="290" t="n"/>
      <c r="H389" s="295" t="n"/>
      <c r="I389" s="295" t="n"/>
      <c r="J389" s="290" t="n"/>
      <c r="K389" s="347" t="n"/>
      <c r="L389" s="295" t="n"/>
      <c r="M389" s="348" t="n"/>
      <c r="N389" s="295" t="n"/>
      <c r="O389" s="293" t="n"/>
      <c r="P389" s="295" t="n"/>
      <c r="Q389" s="295" t="n"/>
      <c r="R389" s="290" t="n"/>
      <c r="S389" s="295" t="n"/>
      <c r="T389" s="295" t="n"/>
      <c r="U389" s="293" t="n"/>
      <c r="V389" s="295" t="n"/>
      <c r="W389" s="290" t="n"/>
      <c r="X389" s="295" t="n"/>
      <c r="Y389" s="295" t="n"/>
      <c r="Z389" s="295" t="n"/>
      <c r="AA389" s="295" t="n"/>
      <c r="AB389" s="293" t="n"/>
      <c r="AC389" s="295" t="n"/>
      <c r="AD389" s="295" t="n"/>
      <c r="AE389" s="294" t="n"/>
    </row>
    <row r="390">
      <c r="B390" s="279" t="n"/>
      <c r="C390" s="280" t="n"/>
      <c r="D390" s="295" t="n"/>
      <c r="E390" s="295" t="n"/>
      <c r="F390" s="295" t="n"/>
      <c r="G390" s="282" t="n"/>
      <c r="H390" s="295" t="n"/>
      <c r="I390" s="295" t="n"/>
      <c r="J390" s="282" t="n"/>
      <c r="K390" s="345" t="n"/>
      <c r="L390" s="295" t="n"/>
      <c r="M390" s="346" t="n"/>
      <c r="N390" s="295" t="n"/>
      <c r="O390" s="285" t="n"/>
      <c r="P390" s="295" t="n"/>
      <c r="Q390" s="295" t="n"/>
      <c r="R390" s="282" t="n"/>
      <c r="S390" s="295" t="n"/>
      <c r="T390" s="295" t="n"/>
      <c r="U390" s="285" t="n"/>
      <c r="V390" s="295" t="n"/>
      <c r="W390" s="282" t="n"/>
      <c r="X390" s="295" t="n"/>
      <c r="Y390" s="295" t="n"/>
      <c r="Z390" s="295" t="n"/>
      <c r="AA390" s="295" t="n"/>
      <c r="AB390" s="285" t="n"/>
      <c r="AC390" s="295" t="n"/>
      <c r="AD390" s="295" t="n"/>
      <c r="AE390" s="286" t="n"/>
    </row>
    <row r="391">
      <c r="B391" s="287" t="n"/>
      <c r="C391" s="288" t="n"/>
      <c r="D391" s="295" t="n"/>
      <c r="E391" s="295" t="n"/>
      <c r="F391" s="295" t="n"/>
      <c r="G391" s="290" t="n"/>
      <c r="H391" s="295" t="n"/>
      <c r="I391" s="295" t="n"/>
      <c r="J391" s="290" t="n"/>
      <c r="K391" s="347" t="n"/>
      <c r="L391" s="295" t="n"/>
      <c r="M391" s="348" t="n"/>
      <c r="N391" s="295" t="n"/>
      <c r="O391" s="293" t="n"/>
      <c r="P391" s="295" t="n"/>
      <c r="Q391" s="295" t="n"/>
      <c r="R391" s="290" t="n"/>
      <c r="S391" s="295" t="n"/>
      <c r="T391" s="295" t="n"/>
      <c r="U391" s="293" t="n"/>
      <c r="V391" s="295" t="n"/>
      <c r="W391" s="290" t="n"/>
      <c r="X391" s="295" t="n"/>
      <c r="Y391" s="295" t="n"/>
      <c r="Z391" s="295" t="n"/>
      <c r="AA391" s="295" t="n"/>
      <c r="AB391" s="293" t="n"/>
      <c r="AC391" s="295" t="n"/>
      <c r="AD391" s="295" t="n"/>
      <c r="AE391" s="294" t="n"/>
    </row>
    <row r="392">
      <c r="B392" s="279" t="n"/>
      <c r="C392" s="280" t="n"/>
      <c r="D392" s="295" t="n"/>
      <c r="E392" s="295" t="n"/>
      <c r="F392" s="295" t="n"/>
      <c r="G392" s="282" t="n"/>
      <c r="H392" s="295" t="n"/>
      <c r="I392" s="295" t="n"/>
      <c r="J392" s="282" t="n"/>
      <c r="K392" s="345" t="n"/>
      <c r="L392" s="295" t="n"/>
      <c r="M392" s="346" t="n"/>
      <c r="N392" s="295" t="n"/>
      <c r="O392" s="285" t="n"/>
      <c r="P392" s="295" t="n"/>
      <c r="Q392" s="295" t="n"/>
      <c r="R392" s="282" t="n"/>
      <c r="S392" s="295" t="n"/>
      <c r="T392" s="295" t="n"/>
      <c r="U392" s="285" t="n"/>
      <c r="V392" s="295" t="n"/>
      <c r="W392" s="282" t="n"/>
      <c r="X392" s="295" t="n"/>
      <c r="Y392" s="295" t="n"/>
      <c r="Z392" s="295" t="n"/>
      <c r="AA392" s="295" t="n"/>
      <c r="AB392" s="285" t="n"/>
      <c r="AC392" s="295" t="n"/>
      <c r="AD392" s="295" t="n"/>
      <c r="AE392" s="286" t="n"/>
    </row>
    <row r="393">
      <c r="B393" s="287" t="n"/>
      <c r="C393" s="288" t="n"/>
      <c r="D393" s="295" t="n"/>
      <c r="E393" s="295" t="n"/>
      <c r="F393" s="295" t="n"/>
      <c r="G393" s="290" t="n"/>
      <c r="H393" s="295" t="n"/>
      <c r="I393" s="295" t="n"/>
      <c r="J393" s="290" t="n"/>
      <c r="K393" s="347" t="n"/>
      <c r="L393" s="295" t="n"/>
      <c r="M393" s="348" t="n"/>
      <c r="N393" s="295" t="n"/>
      <c r="O393" s="293" t="n"/>
      <c r="P393" s="295" t="n"/>
      <c r="Q393" s="295" t="n"/>
      <c r="R393" s="290" t="n"/>
      <c r="S393" s="295" t="n"/>
      <c r="T393" s="295" t="n"/>
      <c r="U393" s="293" t="n"/>
      <c r="V393" s="295" t="n"/>
      <c r="W393" s="290" t="n"/>
      <c r="X393" s="295" t="n"/>
      <c r="Y393" s="295" t="n"/>
      <c r="Z393" s="295" t="n"/>
      <c r="AA393" s="295" t="n"/>
      <c r="AB393" s="293" t="n"/>
      <c r="AC393" s="295" t="n"/>
      <c r="AD393" s="295" t="n"/>
      <c r="AE393" s="294" t="n"/>
    </row>
    <row r="394">
      <c r="B394" s="279" t="n"/>
      <c r="C394" s="280" t="n"/>
      <c r="D394" s="295" t="n"/>
      <c r="E394" s="295" t="n"/>
      <c r="F394" s="295" t="n"/>
      <c r="G394" s="282" t="n"/>
      <c r="H394" s="295" t="n"/>
      <c r="I394" s="295" t="n"/>
      <c r="J394" s="282" t="n"/>
      <c r="K394" s="345" t="n"/>
      <c r="L394" s="295" t="n"/>
      <c r="M394" s="346" t="n"/>
      <c r="N394" s="295" t="n"/>
      <c r="O394" s="285" t="n"/>
      <c r="P394" s="295" t="n"/>
      <c r="Q394" s="295" t="n"/>
      <c r="R394" s="282" t="n"/>
      <c r="S394" s="295" t="n"/>
      <c r="T394" s="295" t="n"/>
      <c r="U394" s="285" t="n"/>
      <c r="V394" s="295" t="n"/>
      <c r="W394" s="282" t="n"/>
      <c r="X394" s="295" t="n"/>
      <c r="Y394" s="295" t="n"/>
      <c r="Z394" s="295" t="n"/>
      <c r="AA394" s="295" t="n"/>
      <c r="AB394" s="285" t="n"/>
      <c r="AC394" s="295" t="n"/>
      <c r="AD394" s="295" t="n"/>
      <c r="AE394" s="286" t="n"/>
    </row>
    <row r="395">
      <c r="B395" s="287" t="n"/>
      <c r="C395" s="288" t="n"/>
      <c r="D395" s="295" t="n"/>
      <c r="E395" s="295" t="n"/>
      <c r="F395" s="295" t="n"/>
      <c r="G395" s="290" t="n"/>
      <c r="H395" s="295" t="n"/>
      <c r="I395" s="295" t="n"/>
      <c r="J395" s="290" t="n"/>
      <c r="K395" s="347" t="n"/>
      <c r="L395" s="295" t="n"/>
      <c r="M395" s="348" t="n"/>
      <c r="N395" s="295" t="n"/>
      <c r="O395" s="293" t="n"/>
      <c r="P395" s="295" t="n"/>
      <c r="Q395" s="295" t="n"/>
      <c r="R395" s="290" t="n"/>
      <c r="S395" s="295" t="n"/>
      <c r="T395" s="295" t="n"/>
      <c r="U395" s="293" t="n"/>
      <c r="V395" s="295" t="n"/>
      <c r="W395" s="290" t="n"/>
      <c r="X395" s="295" t="n"/>
      <c r="Y395" s="295" t="n"/>
      <c r="Z395" s="295" t="n"/>
      <c r="AA395" s="295" t="n"/>
      <c r="AB395" s="293" t="n"/>
      <c r="AC395" s="295" t="n"/>
      <c r="AD395" s="295" t="n"/>
      <c r="AE395" s="294" t="n"/>
    </row>
    <row r="396">
      <c r="B396" s="279" t="n"/>
      <c r="C396" s="280" t="n"/>
      <c r="D396" s="295" t="n"/>
      <c r="E396" s="295" t="n"/>
      <c r="F396" s="295" t="n"/>
      <c r="G396" s="282" t="n"/>
      <c r="H396" s="295" t="n"/>
      <c r="I396" s="295" t="n"/>
      <c r="J396" s="282" t="n"/>
      <c r="K396" s="345" t="n"/>
      <c r="L396" s="295" t="n"/>
      <c r="M396" s="346" t="n"/>
      <c r="N396" s="295" t="n"/>
      <c r="O396" s="285" t="n"/>
      <c r="P396" s="295" t="n"/>
      <c r="Q396" s="295" t="n"/>
      <c r="R396" s="282" t="n"/>
      <c r="S396" s="295" t="n"/>
      <c r="T396" s="295" t="n"/>
      <c r="U396" s="285" t="n"/>
      <c r="V396" s="295" t="n"/>
      <c r="W396" s="282" t="n"/>
      <c r="X396" s="295" t="n"/>
      <c r="Y396" s="295" t="n"/>
      <c r="Z396" s="295" t="n"/>
      <c r="AA396" s="295" t="n"/>
      <c r="AB396" s="285" t="n"/>
      <c r="AC396" s="295" t="n"/>
      <c r="AD396" s="295" t="n"/>
      <c r="AE396" s="286" t="n"/>
    </row>
    <row r="397">
      <c r="B397" s="287" t="n"/>
      <c r="C397" s="288" t="n"/>
      <c r="D397" s="295" t="n"/>
      <c r="E397" s="295" t="n"/>
      <c r="F397" s="295" t="n"/>
      <c r="G397" s="290" t="n"/>
      <c r="H397" s="295" t="n"/>
      <c r="I397" s="295" t="n"/>
      <c r="J397" s="290" t="n"/>
      <c r="K397" s="347" t="n"/>
      <c r="L397" s="295" t="n"/>
      <c r="M397" s="348" t="n"/>
      <c r="N397" s="295" t="n"/>
      <c r="O397" s="293" t="n"/>
      <c r="P397" s="295" t="n"/>
      <c r="Q397" s="295" t="n"/>
      <c r="R397" s="290" t="n"/>
      <c r="S397" s="295" t="n"/>
      <c r="T397" s="295" t="n"/>
      <c r="U397" s="293" t="n"/>
      <c r="V397" s="295" t="n"/>
      <c r="W397" s="290" t="n"/>
      <c r="X397" s="295" t="n"/>
      <c r="Y397" s="295" t="n"/>
      <c r="Z397" s="295" t="n"/>
      <c r="AA397" s="295" t="n"/>
      <c r="AB397" s="293" t="n"/>
      <c r="AC397" s="295" t="n"/>
      <c r="AD397" s="295" t="n"/>
      <c r="AE397" s="294" t="n"/>
    </row>
    <row r="398">
      <c r="B398" s="279" t="n"/>
      <c r="C398" s="280" t="n"/>
      <c r="D398" s="295" t="n"/>
      <c r="E398" s="295" t="n"/>
      <c r="F398" s="295" t="n"/>
      <c r="G398" s="282" t="n"/>
      <c r="H398" s="295" t="n"/>
      <c r="I398" s="295" t="n"/>
      <c r="J398" s="282" t="n"/>
      <c r="K398" s="345" t="n"/>
      <c r="L398" s="295" t="n"/>
      <c r="M398" s="346" t="n"/>
      <c r="N398" s="295" t="n"/>
      <c r="O398" s="285" t="n"/>
      <c r="P398" s="295" t="n"/>
      <c r="Q398" s="295" t="n"/>
      <c r="R398" s="282" t="n"/>
      <c r="S398" s="295" t="n"/>
      <c r="T398" s="295" t="n"/>
      <c r="U398" s="285" t="n"/>
      <c r="V398" s="295" t="n"/>
      <c r="W398" s="282" t="n"/>
      <c r="X398" s="295" t="n"/>
      <c r="Y398" s="295" t="n"/>
      <c r="Z398" s="295" t="n"/>
      <c r="AA398" s="295" t="n"/>
      <c r="AB398" s="285" t="n"/>
      <c r="AC398" s="295" t="n"/>
      <c r="AD398" s="295" t="n"/>
      <c r="AE398" s="286" t="n"/>
    </row>
    <row r="399">
      <c r="B399" s="287" t="n"/>
      <c r="C399" s="288" t="n"/>
      <c r="D399" s="295" t="n"/>
      <c r="E399" s="295" t="n"/>
      <c r="F399" s="295" t="n"/>
      <c r="G399" s="290" t="n"/>
      <c r="H399" s="295" t="n"/>
      <c r="I399" s="295" t="n"/>
      <c r="J399" s="290" t="n"/>
      <c r="K399" s="347" t="n"/>
      <c r="L399" s="295" t="n"/>
      <c r="M399" s="348" t="n"/>
      <c r="N399" s="295" t="n"/>
      <c r="O399" s="293" t="n"/>
      <c r="P399" s="295" t="n"/>
      <c r="Q399" s="295" t="n"/>
      <c r="R399" s="290" t="n"/>
      <c r="S399" s="295" t="n"/>
      <c r="T399" s="295" t="n"/>
      <c r="U399" s="293" t="n"/>
      <c r="V399" s="295" t="n"/>
      <c r="W399" s="290" t="n"/>
      <c r="X399" s="295" t="n"/>
      <c r="Y399" s="295" t="n"/>
      <c r="Z399" s="295" t="n"/>
      <c r="AA399" s="295" t="n"/>
      <c r="AB399" s="293" t="n"/>
      <c r="AC399" s="295" t="n"/>
      <c r="AD399" s="295" t="n"/>
      <c r="AE399" s="294" t="n"/>
    </row>
    <row r="400">
      <c r="B400" s="279" t="n"/>
      <c r="C400" s="280" t="n"/>
      <c r="D400" s="295" t="n"/>
      <c r="E400" s="295" t="n"/>
      <c r="F400" s="295" t="n"/>
      <c r="G400" s="282" t="n"/>
      <c r="H400" s="295" t="n"/>
      <c r="I400" s="295" t="n"/>
      <c r="J400" s="282" t="n"/>
      <c r="K400" s="345" t="n"/>
      <c r="L400" s="295" t="n"/>
      <c r="M400" s="346" t="n"/>
      <c r="N400" s="295" t="n"/>
      <c r="O400" s="285" t="n"/>
      <c r="P400" s="295" t="n"/>
      <c r="Q400" s="295" t="n"/>
      <c r="R400" s="282" t="n"/>
      <c r="S400" s="295" t="n"/>
      <c r="T400" s="295" t="n"/>
      <c r="U400" s="285" t="n"/>
      <c r="V400" s="295" t="n"/>
      <c r="W400" s="282" t="n"/>
      <c r="X400" s="295" t="n"/>
      <c r="Y400" s="295" t="n"/>
      <c r="Z400" s="295" t="n"/>
      <c r="AA400" s="295" t="n"/>
      <c r="AB400" s="285" t="n"/>
      <c r="AC400" s="295" t="n"/>
      <c r="AD400" s="295" t="n"/>
      <c r="AE400" s="286" t="n"/>
    </row>
    <row r="401">
      <c r="B401" s="287" t="n"/>
      <c r="C401" s="288" t="n"/>
      <c r="D401" s="295" t="n"/>
      <c r="E401" s="295" t="n"/>
      <c r="F401" s="295" t="n"/>
      <c r="G401" s="290" t="n"/>
      <c r="H401" s="295" t="n"/>
      <c r="I401" s="295" t="n"/>
      <c r="J401" s="290" t="n"/>
      <c r="K401" s="347" t="n"/>
      <c r="L401" s="295" t="n"/>
      <c r="M401" s="348" t="n"/>
      <c r="N401" s="295" t="n"/>
      <c r="O401" s="293" t="n"/>
      <c r="P401" s="295" t="n"/>
      <c r="Q401" s="295" t="n"/>
      <c r="R401" s="290" t="n"/>
      <c r="S401" s="295" t="n"/>
      <c r="T401" s="295" t="n"/>
      <c r="U401" s="293" t="n"/>
      <c r="V401" s="295" t="n"/>
      <c r="W401" s="290" t="n"/>
      <c r="X401" s="295" t="n"/>
      <c r="Y401" s="295" t="n"/>
      <c r="Z401" s="295" t="n"/>
      <c r="AA401" s="295" t="n"/>
      <c r="AB401" s="293" t="n"/>
      <c r="AC401" s="295" t="n"/>
      <c r="AD401" s="295" t="n"/>
      <c r="AE401" s="294" t="n"/>
    </row>
    <row r="402">
      <c r="B402" s="279" t="n"/>
      <c r="C402" s="280" t="n"/>
      <c r="D402" s="295" t="n"/>
      <c r="E402" s="295" t="n"/>
      <c r="F402" s="295" t="n"/>
      <c r="G402" s="282" t="n"/>
      <c r="H402" s="295" t="n"/>
      <c r="I402" s="295" t="n"/>
      <c r="J402" s="282" t="n"/>
      <c r="K402" s="345" t="n"/>
      <c r="L402" s="295" t="n"/>
      <c r="M402" s="346" t="n"/>
      <c r="N402" s="295" t="n"/>
      <c r="O402" s="285" t="n"/>
      <c r="P402" s="295" t="n"/>
      <c r="Q402" s="295" t="n"/>
      <c r="R402" s="282" t="n"/>
      <c r="S402" s="295" t="n"/>
      <c r="T402" s="295" t="n"/>
      <c r="U402" s="285" t="n"/>
      <c r="V402" s="295" t="n"/>
      <c r="W402" s="282" t="n"/>
      <c r="X402" s="295" t="n"/>
      <c r="Y402" s="295" t="n"/>
      <c r="Z402" s="295" t="n"/>
      <c r="AA402" s="295" t="n"/>
      <c r="AB402" s="285" t="n"/>
      <c r="AC402" s="295" t="n"/>
      <c r="AD402" s="295" t="n"/>
      <c r="AE402" s="286" t="n"/>
    </row>
    <row r="403">
      <c r="B403" s="287" t="n"/>
      <c r="C403" s="288" t="n"/>
      <c r="D403" s="295" t="n"/>
      <c r="E403" s="295" t="n"/>
      <c r="F403" s="295" t="n"/>
      <c r="G403" s="290" t="n"/>
      <c r="H403" s="295" t="n"/>
      <c r="I403" s="295" t="n"/>
      <c r="J403" s="290" t="n"/>
      <c r="K403" s="347" t="n"/>
      <c r="L403" s="295" t="n"/>
      <c r="M403" s="348" t="n"/>
      <c r="N403" s="295" t="n"/>
      <c r="O403" s="293" t="n"/>
      <c r="P403" s="295" t="n"/>
      <c r="Q403" s="295" t="n"/>
      <c r="R403" s="290" t="n"/>
      <c r="S403" s="295" t="n"/>
      <c r="T403" s="295" t="n"/>
      <c r="U403" s="293" t="n"/>
      <c r="V403" s="295" t="n"/>
      <c r="W403" s="290" t="n"/>
      <c r="X403" s="295" t="n"/>
      <c r="Y403" s="295" t="n"/>
      <c r="Z403" s="295" t="n"/>
      <c r="AA403" s="295" t="n"/>
      <c r="AB403" s="293" t="n"/>
      <c r="AC403" s="295" t="n"/>
      <c r="AD403" s="295" t="n"/>
      <c r="AE403" s="294" t="n"/>
    </row>
    <row r="404">
      <c r="B404" s="279" t="n"/>
      <c r="C404" s="280" t="n"/>
      <c r="D404" s="295" t="n"/>
      <c r="E404" s="295" t="n"/>
      <c r="F404" s="295" t="n"/>
      <c r="G404" s="282" t="n"/>
      <c r="H404" s="295" t="n"/>
      <c r="I404" s="295" t="n"/>
      <c r="J404" s="282" t="n"/>
      <c r="K404" s="345" t="n"/>
      <c r="L404" s="295" t="n"/>
      <c r="M404" s="346" t="n"/>
      <c r="N404" s="295" t="n"/>
      <c r="O404" s="285" t="n"/>
      <c r="P404" s="295" t="n"/>
      <c r="Q404" s="295" t="n"/>
      <c r="R404" s="282" t="n"/>
      <c r="S404" s="295" t="n"/>
      <c r="T404" s="295" t="n"/>
      <c r="U404" s="285" t="n"/>
      <c r="V404" s="295" t="n"/>
      <c r="W404" s="282" t="n"/>
      <c r="X404" s="295" t="n"/>
      <c r="Y404" s="295" t="n"/>
      <c r="Z404" s="295" t="n"/>
      <c r="AA404" s="295" t="n"/>
      <c r="AB404" s="285" t="n"/>
      <c r="AC404" s="295" t="n"/>
      <c r="AD404" s="295" t="n"/>
      <c r="AE404" s="286" t="n"/>
    </row>
    <row r="405">
      <c r="B405" s="287" t="n"/>
      <c r="C405" s="288" t="n"/>
      <c r="D405" s="295" t="n"/>
      <c r="E405" s="295" t="n"/>
      <c r="F405" s="295" t="n"/>
      <c r="G405" s="290" t="n"/>
      <c r="H405" s="295" t="n"/>
      <c r="I405" s="295" t="n"/>
      <c r="J405" s="290" t="n"/>
      <c r="K405" s="347" t="n"/>
      <c r="L405" s="295" t="n"/>
      <c r="M405" s="348" t="n"/>
      <c r="N405" s="295" t="n"/>
      <c r="O405" s="293" t="n"/>
      <c r="P405" s="295" t="n"/>
      <c r="Q405" s="295" t="n"/>
      <c r="R405" s="290" t="n"/>
      <c r="S405" s="295" t="n"/>
      <c r="T405" s="295" t="n"/>
      <c r="U405" s="293" t="n"/>
      <c r="V405" s="295" t="n"/>
      <c r="W405" s="290" t="n"/>
      <c r="X405" s="295" t="n"/>
      <c r="Y405" s="295" t="n"/>
      <c r="Z405" s="295" t="n"/>
      <c r="AA405" s="295" t="n"/>
      <c r="AB405" s="293" t="n"/>
      <c r="AC405" s="295" t="n"/>
      <c r="AD405" s="295" t="n"/>
      <c r="AE405" s="294" t="n"/>
    </row>
    <row r="406">
      <c r="B406" s="279" t="n"/>
      <c r="C406" s="280" t="n"/>
      <c r="D406" s="295" t="n"/>
      <c r="E406" s="295" t="n"/>
      <c r="F406" s="295" t="n"/>
      <c r="G406" s="282" t="n"/>
      <c r="H406" s="295" t="n"/>
      <c r="I406" s="295" t="n"/>
      <c r="J406" s="282" t="n"/>
      <c r="K406" s="345" t="n"/>
      <c r="L406" s="295" t="n"/>
      <c r="M406" s="346" t="n"/>
      <c r="N406" s="295" t="n"/>
      <c r="O406" s="285" t="n"/>
      <c r="P406" s="295" t="n"/>
      <c r="Q406" s="295" t="n"/>
      <c r="R406" s="282" t="n"/>
      <c r="S406" s="295" t="n"/>
      <c r="T406" s="295" t="n"/>
      <c r="U406" s="285" t="n"/>
      <c r="V406" s="295" t="n"/>
      <c r="W406" s="282" t="n"/>
      <c r="X406" s="295" t="n"/>
      <c r="Y406" s="295" t="n"/>
      <c r="Z406" s="295" t="n"/>
      <c r="AA406" s="295" t="n"/>
      <c r="AB406" s="285" t="n"/>
      <c r="AC406" s="295" t="n"/>
      <c r="AD406" s="295" t="n"/>
      <c r="AE406" s="286" t="n"/>
    </row>
    <row r="407">
      <c r="B407" s="287" t="n"/>
      <c r="C407" s="288" t="n"/>
      <c r="D407" s="295" t="n"/>
      <c r="E407" s="295" t="n"/>
      <c r="F407" s="295" t="n"/>
      <c r="G407" s="290" t="n"/>
      <c r="H407" s="295" t="n"/>
      <c r="I407" s="295" t="n"/>
      <c r="J407" s="290" t="n"/>
      <c r="K407" s="347" t="n"/>
      <c r="L407" s="295" t="n"/>
      <c r="M407" s="348" t="n"/>
      <c r="N407" s="295" t="n"/>
      <c r="O407" s="293" t="n"/>
      <c r="P407" s="295" t="n"/>
      <c r="Q407" s="295" t="n"/>
      <c r="R407" s="290" t="n"/>
      <c r="S407" s="295" t="n"/>
      <c r="T407" s="295" t="n"/>
      <c r="U407" s="293" t="n"/>
      <c r="V407" s="295" t="n"/>
      <c r="W407" s="290" t="n"/>
      <c r="X407" s="295" t="n"/>
      <c r="Y407" s="295" t="n"/>
      <c r="Z407" s="295" t="n"/>
      <c r="AA407" s="295" t="n"/>
      <c r="AB407" s="293" t="n"/>
      <c r="AC407" s="295" t="n"/>
      <c r="AD407" s="295" t="n"/>
      <c r="AE407" s="294" t="n"/>
    </row>
    <row r="408">
      <c r="B408" s="279" t="n"/>
      <c r="C408" s="280" t="n"/>
      <c r="D408" s="295" t="n"/>
      <c r="E408" s="295" t="n"/>
      <c r="F408" s="295" t="n"/>
      <c r="G408" s="282" t="n"/>
      <c r="H408" s="295" t="n"/>
      <c r="I408" s="295" t="n"/>
      <c r="J408" s="282" t="n"/>
      <c r="K408" s="345" t="n"/>
      <c r="L408" s="295" t="n"/>
      <c r="M408" s="346" t="n"/>
      <c r="N408" s="295" t="n"/>
      <c r="O408" s="285" t="n"/>
      <c r="P408" s="295" t="n"/>
      <c r="Q408" s="295" t="n"/>
      <c r="R408" s="282" t="n"/>
      <c r="S408" s="295" t="n"/>
      <c r="T408" s="295" t="n"/>
      <c r="U408" s="285" t="n"/>
      <c r="V408" s="295" t="n"/>
      <c r="W408" s="282" t="n"/>
      <c r="X408" s="295" t="n"/>
      <c r="Y408" s="295" t="n"/>
      <c r="Z408" s="295" t="n"/>
      <c r="AA408" s="295" t="n"/>
      <c r="AB408" s="285" t="n"/>
      <c r="AC408" s="295" t="n"/>
      <c r="AD408" s="295" t="n"/>
      <c r="AE408" s="286" t="n"/>
    </row>
    <row r="409">
      <c r="B409" s="287" t="n"/>
      <c r="C409" s="288" t="n"/>
      <c r="D409" s="295" t="n"/>
      <c r="E409" s="295" t="n"/>
      <c r="F409" s="295" t="n"/>
      <c r="G409" s="290" t="n"/>
      <c r="H409" s="295" t="n"/>
      <c r="I409" s="295" t="n"/>
      <c r="J409" s="290" t="n"/>
      <c r="K409" s="347" t="n"/>
      <c r="L409" s="295" t="n"/>
      <c r="M409" s="348" t="n"/>
      <c r="N409" s="295" t="n"/>
      <c r="O409" s="293" t="n"/>
      <c r="P409" s="295" t="n"/>
      <c r="Q409" s="295" t="n"/>
      <c r="R409" s="290" t="n"/>
      <c r="S409" s="295" t="n"/>
      <c r="T409" s="295" t="n"/>
      <c r="U409" s="293" t="n"/>
      <c r="V409" s="295" t="n"/>
      <c r="W409" s="290" t="n"/>
      <c r="X409" s="295" t="n"/>
      <c r="Y409" s="295" t="n"/>
      <c r="Z409" s="295" t="n"/>
      <c r="AA409" s="295" t="n"/>
      <c r="AB409" s="293" t="n"/>
      <c r="AC409" s="295" t="n"/>
      <c r="AD409" s="295" t="n"/>
      <c r="AE409" s="294" t="n"/>
    </row>
    <row r="410">
      <c r="B410" s="279" t="n"/>
      <c r="C410" s="280" t="n"/>
      <c r="D410" s="295" t="n"/>
      <c r="E410" s="295" t="n"/>
      <c r="F410" s="295" t="n"/>
      <c r="G410" s="282" t="n"/>
      <c r="H410" s="295" t="n"/>
      <c r="I410" s="295" t="n"/>
      <c r="J410" s="282" t="n"/>
      <c r="K410" s="345" t="n"/>
      <c r="L410" s="295" t="n"/>
      <c r="M410" s="346" t="n"/>
      <c r="N410" s="295" t="n"/>
      <c r="O410" s="285" t="n"/>
      <c r="P410" s="295" t="n"/>
      <c r="Q410" s="295" t="n"/>
      <c r="R410" s="282" t="n"/>
      <c r="S410" s="295" t="n"/>
      <c r="T410" s="295" t="n"/>
      <c r="U410" s="285" t="n"/>
      <c r="V410" s="295" t="n"/>
      <c r="W410" s="282" t="n"/>
      <c r="X410" s="295" t="n"/>
      <c r="Y410" s="295" t="n"/>
      <c r="Z410" s="295" t="n"/>
      <c r="AA410" s="295" t="n"/>
      <c r="AB410" s="285" t="n"/>
      <c r="AC410" s="295" t="n"/>
      <c r="AD410" s="295" t="n"/>
      <c r="AE410" s="286" t="n"/>
    </row>
    <row r="411">
      <c r="B411" s="287" t="n"/>
      <c r="C411" s="288" t="n"/>
      <c r="D411" s="295" t="n"/>
      <c r="E411" s="295" t="n"/>
      <c r="F411" s="295" t="n"/>
      <c r="G411" s="290" t="n"/>
      <c r="H411" s="295" t="n"/>
      <c r="I411" s="295" t="n"/>
      <c r="J411" s="290" t="n"/>
      <c r="K411" s="347" t="n"/>
      <c r="L411" s="295" t="n"/>
      <c r="M411" s="348" t="n"/>
      <c r="N411" s="295" t="n"/>
      <c r="O411" s="293" t="n"/>
      <c r="P411" s="295" t="n"/>
      <c r="Q411" s="295" t="n"/>
      <c r="R411" s="290" t="n"/>
      <c r="S411" s="295" t="n"/>
      <c r="T411" s="295" t="n"/>
      <c r="U411" s="293" t="n"/>
      <c r="V411" s="295" t="n"/>
      <c r="W411" s="290" t="n"/>
      <c r="X411" s="295" t="n"/>
      <c r="Y411" s="295" t="n"/>
      <c r="Z411" s="295" t="n"/>
      <c r="AA411" s="295" t="n"/>
      <c r="AB411" s="293" t="n"/>
      <c r="AC411" s="295" t="n"/>
      <c r="AD411" s="295" t="n"/>
      <c r="AE411" s="294" t="n"/>
    </row>
    <row r="412">
      <c r="B412" s="279" t="n"/>
      <c r="C412" s="280" t="n"/>
      <c r="D412" s="295" t="n"/>
      <c r="E412" s="295" t="n"/>
      <c r="F412" s="295" t="n"/>
      <c r="G412" s="282" t="n"/>
      <c r="H412" s="295" t="n"/>
      <c r="I412" s="295" t="n"/>
      <c r="J412" s="282" t="n"/>
      <c r="K412" s="345" t="n"/>
      <c r="L412" s="295" t="n"/>
      <c r="M412" s="346" t="n"/>
      <c r="N412" s="295" t="n"/>
      <c r="O412" s="285" t="n"/>
      <c r="P412" s="295" t="n"/>
      <c r="Q412" s="295" t="n"/>
      <c r="R412" s="282" t="n"/>
      <c r="S412" s="295" t="n"/>
      <c r="T412" s="295" t="n"/>
      <c r="U412" s="285" t="n"/>
      <c r="V412" s="295" t="n"/>
      <c r="W412" s="282" t="n"/>
      <c r="X412" s="295" t="n"/>
      <c r="Y412" s="295" t="n"/>
      <c r="Z412" s="295" t="n"/>
      <c r="AA412" s="295" t="n"/>
      <c r="AB412" s="285" t="n"/>
      <c r="AC412" s="295" t="n"/>
      <c r="AD412" s="295" t="n"/>
      <c r="AE412" s="286" t="n"/>
    </row>
    <row r="413">
      <c r="B413" s="287" t="n"/>
      <c r="C413" s="288" t="n"/>
      <c r="D413" s="295" t="n"/>
      <c r="E413" s="295" t="n"/>
      <c r="F413" s="295" t="n"/>
      <c r="G413" s="290" t="n"/>
      <c r="H413" s="295" t="n"/>
      <c r="I413" s="295" t="n"/>
      <c r="J413" s="290" t="n"/>
      <c r="K413" s="347" t="n"/>
      <c r="L413" s="295" t="n"/>
      <c r="M413" s="348" t="n"/>
      <c r="N413" s="295" t="n"/>
      <c r="O413" s="293" t="n"/>
      <c r="P413" s="295" t="n"/>
      <c r="Q413" s="295" t="n"/>
      <c r="R413" s="290" t="n"/>
      <c r="S413" s="295" t="n"/>
      <c r="T413" s="295" t="n"/>
      <c r="U413" s="293" t="n"/>
      <c r="V413" s="295" t="n"/>
      <c r="W413" s="290" t="n"/>
      <c r="X413" s="295" t="n"/>
      <c r="Y413" s="295" t="n"/>
      <c r="Z413" s="295" t="n"/>
      <c r="AA413" s="295" t="n"/>
      <c r="AB413" s="293" t="n"/>
      <c r="AC413" s="295" t="n"/>
      <c r="AD413" s="295" t="n"/>
      <c r="AE413" s="294" t="n"/>
    </row>
    <row r="414">
      <c r="B414" s="279" t="n"/>
      <c r="C414" s="280" t="n"/>
      <c r="D414" s="295" t="n"/>
      <c r="E414" s="295" t="n"/>
      <c r="F414" s="295" t="n"/>
      <c r="G414" s="282" t="n"/>
      <c r="H414" s="295" t="n"/>
      <c r="I414" s="295" t="n"/>
      <c r="J414" s="282" t="n"/>
      <c r="K414" s="345" t="n"/>
      <c r="L414" s="295" t="n"/>
      <c r="M414" s="346" t="n"/>
      <c r="N414" s="295" t="n"/>
      <c r="O414" s="285" t="n"/>
      <c r="P414" s="295" t="n"/>
      <c r="Q414" s="295" t="n"/>
      <c r="R414" s="282" t="n"/>
      <c r="S414" s="295" t="n"/>
      <c r="T414" s="295" t="n"/>
      <c r="U414" s="285" t="n"/>
      <c r="V414" s="295" t="n"/>
      <c r="W414" s="282" t="n"/>
      <c r="X414" s="295" t="n"/>
      <c r="Y414" s="295" t="n"/>
      <c r="Z414" s="295" t="n"/>
      <c r="AA414" s="295" t="n"/>
      <c r="AB414" s="285" t="n"/>
      <c r="AC414" s="295" t="n"/>
      <c r="AD414" s="295" t="n"/>
      <c r="AE414" s="286" t="n"/>
    </row>
    <row r="415">
      <c r="B415" s="287" t="n"/>
      <c r="C415" s="288" t="n"/>
      <c r="D415" s="295" t="n"/>
      <c r="E415" s="295" t="n"/>
      <c r="F415" s="295" t="n"/>
      <c r="G415" s="290" t="n"/>
      <c r="H415" s="295" t="n"/>
      <c r="I415" s="295" t="n"/>
      <c r="J415" s="290" t="n"/>
      <c r="K415" s="347" t="n"/>
      <c r="L415" s="295" t="n"/>
      <c r="M415" s="348" t="n"/>
      <c r="N415" s="295" t="n"/>
      <c r="O415" s="293" t="n"/>
      <c r="P415" s="295" t="n"/>
      <c r="Q415" s="295" t="n"/>
      <c r="R415" s="290" t="n"/>
      <c r="S415" s="295" t="n"/>
      <c r="T415" s="295" t="n"/>
      <c r="U415" s="293" t="n"/>
      <c r="V415" s="295" t="n"/>
      <c r="W415" s="290" t="n"/>
      <c r="X415" s="295" t="n"/>
      <c r="Y415" s="295" t="n"/>
      <c r="Z415" s="295" t="n"/>
      <c r="AA415" s="295" t="n"/>
      <c r="AB415" s="293" t="n"/>
      <c r="AC415" s="295" t="n"/>
      <c r="AD415" s="295" t="n"/>
      <c r="AE415" s="294" t="n"/>
    </row>
    <row r="416">
      <c r="B416" s="279" t="n"/>
      <c r="C416" s="280" t="n"/>
      <c r="D416" s="295" t="n"/>
      <c r="E416" s="295" t="n"/>
      <c r="F416" s="295" t="n"/>
      <c r="G416" s="282" t="n"/>
      <c r="H416" s="295" t="n"/>
      <c r="I416" s="295" t="n"/>
      <c r="J416" s="282" t="n"/>
      <c r="K416" s="345" t="n"/>
      <c r="L416" s="295" t="n"/>
      <c r="M416" s="346" t="n"/>
      <c r="N416" s="295" t="n"/>
      <c r="O416" s="285" t="n"/>
      <c r="P416" s="295" t="n"/>
      <c r="Q416" s="295" t="n"/>
      <c r="R416" s="282" t="n"/>
      <c r="S416" s="295" t="n"/>
      <c r="T416" s="295" t="n"/>
      <c r="U416" s="285" t="n"/>
      <c r="V416" s="295" t="n"/>
      <c r="W416" s="282" t="n"/>
      <c r="X416" s="295" t="n"/>
      <c r="Y416" s="295" t="n"/>
      <c r="Z416" s="295" t="n"/>
      <c r="AA416" s="295" t="n"/>
      <c r="AB416" s="285" t="n"/>
      <c r="AC416" s="295" t="n"/>
      <c r="AD416" s="295" t="n"/>
      <c r="AE416" s="286" t="n"/>
    </row>
    <row r="417">
      <c r="B417" s="287" t="n"/>
      <c r="C417" s="288" t="n"/>
      <c r="D417" s="295" t="n"/>
      <c r="E417" s="295" t="n"/>
      <c r="F417" s="295" t="n"/>
      <c r="G417" s="290" t="n"/>
      <c r="H417" s="295" t="n"/>
      <c r="I417" s="295" t="n"/>
      <c r="J417" s="290" t="n"/>
      <c r="K417" s="347" t="n"/>
      <c r="L417" s="295" t="n"/>
      <c r="M417" s="348" t="n"/>
      <c r="N417" s="295" t="n"/>
      <c r="O417" s="293" t="n"/>
      <c r="P417" s="295" t="n"/>
      <c r="Q417" s="295" t="n"/>
      <c r="R417" s="290" t="n"/>
      <c r="S417" s="295" t="n"/>
      <c r="T417" s="295" t="n"/>
      <c r="U417" s="293" t="n"/>
      <c r="V417" s="295" t="n"/>
      <c r="W417" s="290" t="n"/>
      <c r="X417" s="295" t="n"/>
      <c r="Y417" s="295" t="n"/>
      <c r="Z417" s="295" t="n"/>
      <c r="AA417" s="295" t="n"/>
      <c r="AB417" s="293" t="n"/>
      <c r="AC417" s="295" t="n"/>
      <c r="AD417" s="295" t="n"/>
      <c r="AE417" s="294" t="n"/>
    </row>
    <row r="418">
      <c r="B418" s="279" t="n"/>
      <c r="C418" s="280" t="n"/>
      <c r="D418" s="295" t="n"/>
      <c r="E418" s="295" t="n"/>
      <c r="F418" s="295" t="n"/>
      <c r="G418" s="282" t="n"/>
      <c r="H418" s="295" t="n"/>
      <c r="I418" s="295" t="n"/>
      <c r="J418" s="282" t="n"/>
      <c r="K418" s="345" t="n"/>
      <c r="L418" s="295" t="n"/>
      <c r="M418" s="346" t="n"/>
      <c r="N418" s="295" t="n"/>
      <c r="O418" s="285" t="n"/>
      <c r="P418" s="295" t="n"/>
      <c r="Q418" s="295" t="n"/>
      <c r="R418" s="282" t="n"/>
      <c r="S418" s="295" t="n"/>
      <c r="T418" s="295" t="n"/>
      <c r="U418" s="285" t="n"/>
      <c r="V418" s="295" t="n"/>
      <c r="W418" s="282" t="n"/>
      <c r="X418" s="295" t="n"/>
      <c r="Y418" s="295" t="n"/>
      <c r="Z418" s="295" t="n"/>
      <c r="AA418" s="295" t="n"/>
      <c r="AB418" s="285" t="n"/>
      <c r="AC418" s="295" t="n"/>
      <c r="AD418" s="295" t="n"/>
      <c r="AE418" s="286" t="n"/>
    </row>
    <row r="419">
      <c r="B419" s="287" t="n"/>
      <c r="C419" s="288" t="n"/>
      <c r="D419" s="295" t="n"/>
      <c r="E419" s="295" t="n"/>
      <c r="F419" s="295" t="n"/>
      <c r="G419" s="290" t="n"/>
      <c r="H419" s="295" t="n"/>
      <c r="I419" s="295" t="n"/>
      <c r="J419" s="290" t="n"/>
      <c r="K419" s="347" t="n"/>
      <c r="L419" s="295" t="n"/>
      <c r="M419" s="348" t="n"/>
      <c r="N419" s="295" t="n"/>
      <c r="O419" s="293" t="n"/>
      <c r="P419" s="295" t="n"/>
      <c r="Q419" s="295" t="n"/>
      <c r="R419" s="290" t="n"/>
      <c r="S419" s="295" t="n"/>
      <c r="T419" s="295" t="n"/>
      <c r="U419" s="293" t="n"/>
      <c r="V419" s="295" t="n"/>
      <c r="W419" s="290" t="n"/>
      <c r="X419" s="295" t="n"/>
      <c r="Y419" s="295" t="n"/>
      <c r="Z419" s="295" t="n"/>
      <c r="AA419" s="295" t="n"/>
      <c r="AB419" s="293" t="n"/>
      <c r="AC419" s="295" t="n"/>
      <c r="AD419" s="295" t="n"/>
      <c r="AE419" s="294" t="n"/>
    </row>
    <row r="420">
      <c r="B420" s="279" t="n"/>
      <c r="C420" s="280" t="n"/>
      <c r="D420" s="295" t="n"/>
      <c r="E420" s="295" t="n"/>
      <c r="F420" s="295" t="n"/>
      <c r="G420" s="282" t="n"/>
      <c r="H420" s="295" t="n"/>
      <c r="I420" s="295" t="n"/>
      <c r="J420" s="282" t="n"/>
      <c r="K420" s="345" t="n"/>
      <c r="L420" s="295" t="n"/>
      <c r="M420" s="346" t="n"/>
      <c r="N420" s="295" t="n"/>
      <c r="O420" s="285" t="n"/>
      <c r="P420" s="295" t="n"/>
      <c r="Q420" s="295" t="n"/>
      <c r="R420" s="282" t="n"/>
      <c r="S420" s="295" t="n"/>
      <c r="T420" s="295" t="n"/>
      <c r="U420" s="285" t="n"/>
      <c r="V420" s="295" t="n"/>
      <c r="W420" s="282" t="n"/>
      <c r="X420" s="295" t="n"/>
      <c r="Y420" s="295" t="n"/>
      <c r="Z420" s="295" t="n"/>
      <c r="AA420" s="295" t="n"/>
      <c r="AB420" s="285" t="n"/>
      <c r="AC420" s="295" t="n"/>
      <c r="AD420" s="295" t="n"/>
      <c r="AE420" s="286" t="n"/>
    </row>
    <row r="421">
      <c r="B421" s="287" t="n"/>
      <c r="C421" s="288" t="n"/>
      <c r="D421" s="295" t="n"/>
      <c r="E421" s="295" t="n"/>
      <c r="F421" s="295" t="n"/>
      <c r="G421" s="290" t="n"/>
      <c r="H421" s="295" t="n"/>
      <c r="I421" s="295" t="n"/>
      <c r="J421" s="290" t="n"/>
      <c r="K421" s="347" t="n"/>
      <c r="L421" s="295" t="n"/>
      <c r="M421" s="348" t="n"/>
      <c r="N421" s="295" t="n"/>
      <c r="O421" s="293" t="n"/>
      <c r="P421" s="295" t="n"/>
      <c r="Q421" s="295" t="n"/>
      <c r="R421" s="290" t="n"/>
      <c r="S421" s="295" t="n"/>
      <c r="T421" s="295" t="n"/>
      <c r="U421" s="293" t="n"/>
      <c r="V421" s="295" t="n"/>
      <c r="W421" s="290" t="n"/>
      <c r="X421" s="295" t="n"/>
      <c r="Y421" s="295" t="n"/>
      <c r="Z421" s="295" t="n"/>
      <c r="AA421" s="295" t="n"/>
      <c r="AB421" s="293" t="n"/>
      <c r="AC421" s="295" t="n"/>
      <c r="AD421" s="295" t="n"/>
      <c r="AE421" s="294" t="n"/>
    </row>
    <row r="422">
      <c r="B422" s="279" t="n"/>
      <c r="C422" s="280" t="n"/>
      <c r="D422" s="295" t="n"/>
      <c r="E422" s="295" t="n"/>
      <c r="F422" s="295" t="n"/>
      <c r="G422" s="282" t="n"/>
      <c r="H422" s="295" t="n"/>
      <c r="I422" s="295" t="n"/>
      <c r="J422" s="282" t="n"/>
      <c r="K422" s="345" t="n"/>
      <c r="L422" s="295" t="n"/>
      <c r="M422" s="346" t="n"/>
      <c r="N422" s="295" t="n"/>
      <c r="O422" s="285" t="n"/>
      <c r="P422" s="295" t="n"/>
      <c r="Q422" s="295" t="n"/>
      <c r="R422" s="282" t="n"/>
      <c r="S422" s="295" t="n"/>
      <c r="T422" s="295" t="n"/>
      <c r="U422" s="285" t="n"/>
      <c r="V422" s="295" t="n"/>
      <c r="W422" s="282" t="n"/>
      <c r="X422" s="295" t="n"/>
      <c r="Y422" s="295" t="n"/>
      <c r="Z422" s="295" t="n"/>
      <c r="AA422" s="295" t="n"/>
      <c r="AB422" s="285" t="n"/>
      <c r="AC422" s="295" t="n"/>
      <c r="AD422" s="295" t="n"/>
      <c r="AE422" s="286" t="n"/>
    </row>
    <row r="423">
      <c r="B423" s="287" t="n"/>
      <c r="C423" s="288" t="n"/>
      <c r="D423" s="295" t="n"/>
      <c r="E423" s="295" t="n"/>
      <c r="F423" s="295" t="n"/>
      <c r="G423" s="290" t="n"/>
      <c r="H423" s="295" t="n"/>
      <c r="I423" s="295" t="n"/>
      <c r="J423" s="290" t="n"/>
      <c r="K423" s="347" t="n"/>
      <c r="L423" s="295" t="n"/>
      <c r="M423" s="348" t="n"/>
      <c r="N423" s="295" t="n"/>
      <c r="O423" s="293" t="n"/>
      <c r="P423" s="295" t="n"/>
      <c r="Q423" s="295" t="n"/>
      <c r="R423" s="290" t="n"/>
      <c r="S423" s="295" t="n"/>
      <c r="T423" s="295" t="n"/>
      <c r="U423" s="293" t="n"/>
      <c r="V423" s="295" t="n"/>
      <c r="W423" s="290" t="n"/>
      <c r="X423" s="295" t="n"/>
      <c r="Y423" s="295" t="n"/>
      <c r="Z423" s="295" t="n"/>
      <c r="AA423" s="295" t="n"/>
      <c r="AB423" s="293" t="n"/>
      <c r="AC423" s="295" t="n"/>
      <c r="AD423" s="295" t="n"/>
      <c r="AE423" s="294" t="n"/>
    </row>
    <row r="424">
      <c r="B424" s="279" t="n"/>
      <c r="C424" s="280" t="n"/>
      <c r="D424" s="295" t="n"/>
      <c r="E424" s="295" t="n"/>
      <c r="F424" s="295" t="n"/>
      <c r="G424" s="282" t="n"/>
      <c r="H424" s="295" t="n"/>
      <c r="I424" s="295" t="n"/>
      <c r="J424" s="282" t="n"/>
      <c r="K424" s="345" t="n"/>
      <c r="L424" s="295" t="n"/>
      <c r="M424" s="346" t="n"/>
      <c r="N424" s="295" t="n"/>
      <c r="O424" s="285" t="n"/>
      <c r="P424" s="295" t="n"/>
      <c r="Q424" s="295" t="n"/>
      <c r="R424" s="282" t="n"/>
      <c r="S424" s="295" t="n"/>
      <c r="T424" s="295" t="n"/>
      <c r="U424" s="285" t="n"/>
      <c r="V424" s="295" t="n"/>
      <c r="W424" s="282" t="n"/>
      <c r="X424" s="295" t="n"/>
      <c r="Y424" s="295" t="n"/>
      <c r="Z424" s="295" t="n"/>
      <c r="AA424" s="295" t="n"/>
      <c r="AB424" s="285" t="n"/>
      <c r="AC424" s="295" t="n"/>
      <c r="AD424" s="295" t="n"/>
      <c r="AE424" s="286" t="n"/>
    </row>
    <row r="425">
      <c r="B425" s="287" t="n"/>
      <c r="C425" s="288" t="n"/>
      <c r="D425" s="295" t="n"/>
      <c r="E425" s="295" t="n"/>
      <c r="F425" s="295" t="n"/>
      <c r="G425" s="290" t="n"/>
      <c r="H425" s="295" t="n"/>
      <c r="I425" s="295" t="n"/>
      <c r="J425" s="290" t="n"/>
      <c r="K425" s="347" t="n"/>
      <c r="L425" s="295" t="n"/>
      <c r="M425" s="348" t="n"/>
      <c r="N425" s="295" t="n"/>
      <c r="O425" s="293" t="n"/>
      <c r="P425" s="295" t="n"/>
      <c r="Q425" s="295" t="n"/>
      <c r="R425" s="290" t="n"/>
      <c r="S425" s="295" t="n"/>
      <c r="T425" s="295" t="n"/>
      <c r="U425" s="293" t="n"/>
      <c r="V425" s="295" t="n"/>
      <c r="W425" s="290" t="n"/>
      <c r="X425" s="295" t="n"/>
      <c r="Y425" s="295" t="n"/>
      <c r="Z425" s="295" t="n"/>
      <c r="AA425" s="295" t="n"/>
      <c r="AB425" s="293" t="n"/>
      <c r="AC425" s="295" t="n"/>
      <c r="AD425" s="295" t="n"/>
      <c r="AE425" s="294" t="n"/>
    </row>
    <row r="426">
      <c r="B426" s="279" t="n"/>
      <c r="C426" s="280" t="n"/>
      <c r="D426" s="295" t="n"/>
      <c r="E426" s="295" t="n"/>
      <c r="F426" s="295" t="n"/>
      <c r="G426" s="282" t="n"/>
      <c r="H426" s="295" t="n"/>
      <c r="I426" s="295" t="n"/>
      <c r="J426" s="282" t="n"/>
      <c r="K426" s="345" t="n"/>
      <c r="L426" s="295" t="n"/>
      <c r="M426" s="346" t="n"/>
      <c r="N426" s="295" t="n"/>
      <c r="O426" s="285" t="n"/>
      <c r="P426" s="295" t="n"/>
      <c r="Q426" s="295" t="n"/>
      <c r="R426" s="282" t="n"/>
      <c r="S426" s="295" t="n"/>
      <c r="T426" s="295" t="n"/>
      <c r="U426" s="285" t="n"/>
      <c r="V426" s="295" t="n"/>
      <c r="W426" s="282" t="n"/>
      <c r="X426" s="295" t="n"/>
      <c r="Y426" s="295" t="n"/>
      <c r="Z426" s="295" t="n"/>
      <c r="AA426" s="295" t="n"/>
      <c r="AB426" s="285" t="n"/>
      <c r="AC426" s="295" t="n"/>
      <c r="AD426" s="295" t="n"/>
      <c r="AE426" s="286" t="n"/>
    </row>
    <row r="427">
      <c r="B427" s="287" t="n"/>
      <c r="C427" s="288" t="n"/>
      <c r="D427" s="295" t="n"/>
      <c r="E427" s="295" t="n"/>
      <c r="F427" s="295" t="n"/>
      <c r="G427" s="290" t="n"/>
      <c r="H427" s="295" t="n"/>
      <c r="I427" s="295" t="n"/>
      <c r="J427" s="290" t="n"/>
      <c r="K427" s="347" t="n"/>
      <c r="L427" s="295" t="n"/>
      <c r="M427" s="348" t="n"/>
      <c r="N427" s="295" t="n"/>
      <c r="O427" s="293" t="n"/>
      <c r="P427" s="295" t="n"/>
      <c r="Q427" s="295" t="n"/>
      <c r="R427" s="290" t="n"/>
      <c r="S427" s="295" t="n"/>
      <c r="T427" s="295" t="n"/>
      <c r="U427" s="293" t="n"/>
      <c r="V427" s="295" t="n"/>
      <c r="W427" s="290" t="n"/>
      <c r="X427" s="295" t="n"/>
      <c r="Y427" s="295" t="n"/>
      <c r="Z427" s="295" t="n"/>
      <c r="AA427" s="295" t="n"/>
      <c r="AB427" s="293" t="n"/>
      <c r="AC427" s="295" t="n"/>
      <c r="AD427" s="295" t="n"/>
      <c r="AE427" s="294" t="n"/>
    </row>
    <row r="428">
      <c r="B428" s="279" t="n"/>
      <c r="C428" s="280" t="n"/>
      <c r="D428" s="295" t="n"/>
      <c r="E428" s="295" t="n"/>
      <c r="F428" s="295" t="n"/>
      <c r="G428" s="282" t="n"/>
      <c r="H428" s="295" t="n"/>
      <c r="I428" s="295" t="n"/>
      <c r="J428" s="282" t="n"/>
      <c r="K428" s="345" t="n"/>
      <c r="L428" s="295" t="n"/>
      <c r="M428" s="346" t="n"/>
      <c r="N428" s="295" t="n"/>
      <c r="O428" s="285" t="n"/>
      <c r="P428" s="295" t="n"/>
      <c r="Q428" s="295" t="n"/>
      <c r="R428" s="282" t="n"/>
      <c r="S428" s="295" t="n"/>
      <c r="T428" s="295" t="n"/>
      <c r="U428" s="285" t="n"/>
      <c r="V428" s="295" t="n"/>
      <c r="W428" s="282" t="n"/>
      <c r="X428" s="295" t="n"/>
      <c r="Y428" s="295" t="n"/>
      <c r="Z428" s="295" t="n"/>
      <c r="AA428" s="295" t="n"/>
      <c r="AB428" s="285" t="n"/>
      <c r="AC428" s="295" t="n"/>
      <c r="AD428" s="295" t="n"/>
      <c r="AE428" s="286" t="n"/>
    </row>
    <row r="429">
      <c r="B429" s="287" t="n"/>
      <c r="C429" s="288" t="n"/>
      <c r="D429" s="295" t="n"/>
      <c r="E429" s="295" t="n"/>
      <c r="F429" s="295" t="n"/>
      <c r="G429" s="290" t="n"/>
      <c r="H429" s="295" t="n"/>
      <c r="I429" s="295" t="n"/>
      <c r="J429" s="290" t="n"/>
      <c r="K429" s="347" t="n"/>
      <c r="L429" s="295" t="n"/>
      <c r="M429" s="348" t="n"/>
      <c r="N429" s="295" t="n"/>
      <c r="O429" s="293" t="n"/>
      <c r="P429" s="295" t="n"/>
      <c r="Q429" s="295" t="n"/>
      <c r="R429" s="290" t="n"/>
      <c r="S429" s="295" t="n"/>
      <c r="T429" s="295" t="n"/>
      <c r="U429" s="293" t="n"/>
      <c r="V429" s="295" t="n"/>
      <c r="W429" s="290" t="n"/>
      <c r="X429" s="295" t="n"/>
      <c r="Y429" s="295" t="n"/>
      <c r="Z429" s="295" t="n"/>
      <c r="AA429" s="295" t="n"/>
      <c r="AB429" s="293" t="n"/>
      <c r="AC429" s="295" t="n"/>
      <c r="AD429" s="295" t="n"/>
      <c r="AE429" s="294" t="n"/>
    </row>
    <row r="430">
      <c r="B430" s="279" t="n"/>
      <c r="C430" s="280" t="n"/>
      <c r="D430" s="295" t="n"/>
      <c r="E430" s="295" t="n"/>
      <c r="F430" s="295" t="n"/>
      <c r="G430" s="282" t="n"/>
      <c r="H430" s="295" t="n"/>
      <c r="I430" s="295" t="n"/>
      <c r="J430" s="282" t="n"/>
      <c r="K430" s="345" t="n"/>
      <c r="L430" s="295" t="n"/>
      <c r="M430" s="346" t="n"/>
      <c r="N430" s="295" t="n"/>
      <c r="O430" s="285" t="n"/>
      <c r="P430" s="295" t="n"/>
      <c r="Q430" s="295" t="n"/>
      <c r="R430" s="282" t="n"/>
      <c r="S430" s="295" t="n"/>
      <c r="T430" s="295" t="n"/>
      <c r="U430" s="285" t="n"/>
      <c r="V430" s="295" t="n"/>
      <c r="W430" s="282" t="n"/>
      <c r="X430" s="295" t="n"/>
      <c r="Y430" s="295" t="n"/>
      <c r="Z430" s="295" t="n"/>
      <c r="AA430" s="295" t="n"/>
      <c r="AB430" s="285" t="n"/>
      <c r="AC430" s="295" t="n"/>
      <c r="AD430" s="295" t="n"/>
      <c r="AE430" s="286" t="n"/>
    </row>
    <row r="431">
      <c r="B431" s="287" t="n"/>
      <c r="C431" s="288" t="n"/>
      <c r="D431" s="295" t="n"/>
      <c r="E431" s="295" t="n"/>
      <c r="F431" s="295" t="n"/>
      <c r="G431" s="290" t="n"/>
      <c r="H431" s="295" t="n"/>
      <c r="I431" s="295" t="n"/>
      <c r="J431" s="290" t="n"/>
      <c r="K431" s="347" t="n"/>
      <c r="L431" s="295" t="n"/>
      <c r="M431" s="348" t="n"/>
      <c r="N431" s="295" t="n"/>
      <c r="O431" s="293" t="n"/>
      <c r="P431" s="295" t="n"/>
      <c r="Q431" s="295" t="n"/>
      <c r="R431" s="290" t="n"/>
      <c r="S431" s="295" t="n"/>
      <c r="T431" s="295" t="n"/>
      <c r="U431" s="293" t="n"/>
      <c r="V431" s="295" t="n"/>
      <c r="W431" s="290" t="n"/>
      <c r="X431" s="295" t="n"/>
      <c r="Y431" s="295" t="n"/>
      <c r="Z431" s="295" t="n"/>
      <c r="AA431" s="295" t="n"/>
      <c r="AB431" s="293" t="n"/>
      <c r="AC431" s="295" t="n"/>
      <c r="AD431" s="295" t="n"/>
      <c r="AE431" s="294" t="n"/>
    </row>
    <row r="432">
      <c r="B432" s="279" t="n"/>
      <c r="C432" s="280" t="n"/>
      <c r="D432" s="295" t="n"/>
      <c r="E432" s="295" t="n"/>
      <c r="F432" s="295" t="n"/>
      <c r="G432" s="282" t="n"/>
      <c r="H432" s="295" t="n"/>
      <c r="I432" s="295" t="n"/>
      <c r="J432" s="282" t="n"/>
      <c r="K432" s="345" t="n"/>
      <c r="L432" s="295" t="n"/>
      <c r="M432" s="346" t="n"/>
      <c r="N432" s="295" t="n"/>
      <c r="O432" s="285" t="n"/>
      <c r="P432" s="295" t="n"/>
      <c r="Q432" s="295" t="n"/>
      <c r="R432" s="282" t="n"/>
      <c r="S432" s="295" t="n"/>
      <c r="T432" s="295" t="n"/>
      <c r="U432" s="285" t="n"/>
      <c r="V432" s="295" t="n"/>
      <c r="W432" s="282" t="n"/>
      <c r="X432" s="295" t="n"/>
      <c r="Y432" s="295" t="n"/>
      <c r="Z432" s="295" t="n"/>
      <c r="AA432" s="295" t="n"/>
      <c r="AB432" s="285" t="n"/>
      <c r="AC432" s="295" t="n"/>
      <c r="AD432" s="295" t="n"/>
      <c r="AE432" s="286" t="n"/>
    </row>
    <row r="433">
      <c r="B433" s="287" t="n"/>
      <c r="C433" s="288" t="n"/>
      <c r="D433" s="295" t="n"/>
      <c r="E433" s="295" t="n"/>
      <c r="F433" s="295" t="n"/>
      <c r="G433" s="290" t="n"/>
      <c r="H433" s="295" t="n"/>
      <c r="I433" s="295" t="n"/>
      <c r="J433" s="290" t="n"/>
      <c r="K433" s="347" t="n"/>
      <c r="L433" s="295" t="n"/>
      <c r="M433" s="348" t="n"/>
      <c r="N433" s="295" t="n"/>
      <c r="O433" s="293" t="n"/>
      <c r="P433" s="295" t="n"/>
      <c r="Q433" s="295" t="n"/>
      <c r="R433" s="290" t="n"/>
      <c r="S433" s="295" t="n"/>
      <c r="T433" s="295" t="n"/>
      <c r="U433" s="293" t="n"/>
      <c r="V433" s="295" t="n"/>
      <c r="W433" s="290" t="n"/>
      <c r="X433" s="295" t="n"/>
      <c r="Y433" s="295" t="n"/>
      <c r="Z433" s="295" t="n"/>
      <c r="AA433" s="295" t="n"/>
      <c r="AB433" s="293" t="n"/>
      <c r="AC433" s="295" t="n"/>
      <c r="AD433" s="295" t="n"/>
      <c r="AE433" s="294" t="n"/>
    </row>
    <row r="434">
      <c r="B434" s="279" t="n"/>
      <c r="C434" s="280" t="n"/>
      <c r="D434" s="295" t="n"/>
      <c r="E434" s="295" t="n"/>
      <c r="F434" s="295" t="n"/>
      <c r="G434" s="282" t="n"/>
      <c r="H434" s="295" t="n"/>
      <c r="I434" s="295" t="n"/>
      <c r="J434" s="282" t="n"/>
      <c r="K434" s="345" t="n"/>
      <c r="L434" s="295" t="n"/>
      <c r="M434" s="346" t="n"/>
      <c r="N434" s="295" t="n"/>
      <c r="O434" s="285" t="n"/>
      <c r="P434" s="295" t="n"/>
      <c r="Q434" s="295" t="n"/>
      <c r="R434" s="282" t="n"/>
      <c r="S434" s="295" t="n"/>
      <c r="T434" s="295" t="n"/>
      <c r="U434" s="285" t="n"/>
      <c r="V434" s="295" t="n"/>
      <c r="W434" s="282" t="n"/>
      <c r="X434" s="295" t="n"/>
      <c r="Y434" s="295" t="n"/>
      <c r="Z434" s="295" t="n"/>
      <c r="AA434" s="295" t="n"/>
      <c r="AB434" s="285" t="n"/>
      <c r="AC434" s="295" t="n"/>
      <c r="AD434" s="295" t="n"/>
      <c r="AE434" s="286" t="n"/>
    </row>
    <row r="435">
      <c r="B435" s="287" t="n"/>
      <c r="C435" s="288" t="n"/>
      <c r="D435" s="295" t="n"/>
      <c r="E435" s="295" t="n"/>
      <c r="F435" s="295" t="n"/>
      <c r="G435" s="290" t="n"/>
      <c r="H435" s="295" t="n"/>
      <c r="I435" s="295" t="n"/>
      <c r="J435" s="290" t="n"/>
      <c r="K435" s="347" t="n"/>
      <c r="L435" s="295" t="n"/>
      <c r="M435" s="348" t="n"/>
      <c r="N435" s="295" t="n"/>
      <c r="O435" s="293" t="n"/>
      <c r="P435" s="295" t="n"/>
      <c r="Q435" s="295" t="n"/>
      <c r="R435" s="290" t="n"/>
      <c r="S435" s="295" t="n"/>
      <c r="T435" s="295" t="n"/>
      <c r="U435" s="293" t="n"/>
      <c r="V435" s="295" t="n"/>
      <c r="W435" s="290" t="n"/>
      <c r="X435" s="295" t="n"/>
      <c r="Y435" s="295" t="n"/>
      <c r="Z435" s="295" t="n"/>
      <c r="AA435" s="295" t="n"/>
      <c r="AB435" s="293" t="n"/>
      <c r="AC435" s="295" t="n"/>
      <c r="AD435" s="295" t="n"/>
      <c r="AE435" s="294" t="n"/>
    </row>
    <row r="436">
      <c r="B436" s="279" t="n"/>
      <c r="C436" s="280" t="n"/>
      <c r="D436" s="295" t="n"/>
      <c r="E436" s="295" t="n"/>
      <c r="F436" s="295" t="n"/>
      <c r="G436" s="282" t="n"/>
      <c r="H436" s="295" t="n"/>
      <c r="I436" s="295" t="n"/>
      <c r="J436" s="282" t="n"/>
      <c r="K436" s="345" t="n"/>
      <c r="L436" s="295" t="n"/>
      <c r="M436" s="346" t="n"/>
      <c r="N436" s="295" t="n"/>
      <c r="O436" s="285" t="n"/>
      <c r="P436" s="295" t="n"/>
      <c r="Q436" s="295" t="n"/>
      <c r="R436" s="282" t="n"/>
      <c r="S436" s="295" t="n"/>
      <c r="T436" s="295" t="n"/>
      <c r="U436" s="285" t="n"/>
      <c r="V436" s="295" t="n"/>
      <c r="W436" s="282" t="n"/>
      <c r="X436" s="295" t="n"/>
      <c r="Y436" s="295" t="n"/>
      <c r="Z436" s="295" t="n"/>
      <c r="AA436" s="295" t="n"/>
      <c r="AB436" s="285" t="n"/>
      <c r="AC436" s="295" t="n"/>
      <c r="AD436" s="295" t="n"/>
      <c r="AE436" s="286" t="n"/>
    </row>
    <row r="437">
      <c r="B437" s="287" t="n"/>
      <c r="C437" s="288" t="n"/>
      <c r="D437" s="295" t="n"/>
      <c r="E437" s="295" t="n"/>
      <c r="F437" s="295" t="n"/>
      <c r="G437" s="290" t="n"/>
      <c r="H437" s="295" t="n"/>
      <c r="I437" s="295" t="n"/>
      <c r="J437" s="290" t="n"/>
      <c r="K437" s="347" t="n"/>
      <c r="L437" s="295" t="n"/>
      <c r="M437" s="348" t="n"/>
      <c r="N437" s="295" t="n"/>
      <c r="O437" s="293" t="n"/>
      <c r="P437" s="295" t="n"/>
      <c r="Q437" s="295" t="n"/>
      <c r="R437" s="290" t="n"/>
      <c r="S437" s="295" t="n"/>
      <c r="T437" s="295" t="n"/>
      <c r="U437" s="293" t="n"/>
      <c r="V437" s="295" t="n"/>
      <c r="W437" s="290" t="n"/>
      <c r="X437" s="295" t="n"/>
      <c r="Y437" s="295" t="n"/>
      <c r="Z437" s="295" t="n"/>
      <c r="AA437" s="295" t="n"/>
      <c r="AB437" s="293" t="n"/>
      <c r="AC437" s="295" t="n"/>
      <c r="AD437" s="295" t="n"/>
      <c r="AE437" s="294" t="n"/>
    </row>
    <row r="438">
      <c r="B438" s="279" t="n"/>
      <c r="C438" s="280" t="n"/>
      <c r="D438" s="295" t="n"/>
      <c r="E438" s="295" t="n"/>
      <c r="F438" s="295" t="n"/>
      <c r="G438" s="282" t="n"/>
      <c r="H438" s="295" t="n"/>
      <c r="I438" s="295" t="n"/>
      <c r="J438" s="282" t="n"/>
      <c r="K438" s="345" t="n"/>
      <c r="L438" s="295" t="n"/>
      <c r="M438" s="346" t="n"/>
      <c r="N438" s="295" t="n"/>
      <c r="O438" s="285" t="n"/>
      <c r="P438" s="295" t="n"/>
      <c r="Q438" s="295" t="n"/>
      <c r="R438" s="282" t="n"/>
      <c r="S438" s="295" t="n"/>
      <c r="T438" s="295" t="n"/>
      <c r="U438" s="285" t="n"/>
      <c r="V438" s="295" t="n"/>
      <c r="W438" s="282" t="n"/>
      <c r="X438" s="295" t="n"/>
      <c r="Y438" s="295" t="n"/>
      <c r="Z438" s="295" t="n"/>
      <c r="AA438" s="295" t="n"/>
      <c r="AB438" s="285" t="n"/>
      <c r="AC438" s="295" t="n"/>
      <c r="AD438" s="295" t="n"/>
      <c r="AE438" s="286" t="n"/>
    </row>
    <row r="439">
      <c r="B439" s="287" t="n"/>
      <c r="C439" s="288" t="n"/>
      <c r="D439" s="295" t="n"/>
      <c r="E439" s="295" t="n"/>
      <c r="F439" s="295" t="n"/>
      <c r="G439" s="290" t="n"/>
      <c r="H439" s="295" t="n"/>
      <c r="I439" s="295" t="n"/>
      <c r="J439" s="290" t="n"/>
      <c r="K439" s="347" t="n"/>
      <c r="L439" s="295" t="n"/>
      <c r="M439" s="348" t="n"/>
      <c r="N439" s="295" t="n"/>
      <c r="O439" s="293" t="n"/>
      <c r="P439" s="295" t="n"/>
      <c r="Q439" s="295" t="n"/>
      <c r="R439" s="290" t="n"/>
      <c r="S439" s="295" t="n"/>
      <c r="T439" s="295" t="n"/>
      <c r="U439" s="293" t="n"/>
      <c r="V439" s="295" t="n"/>
      <c r="W439" s="290" t="n"/>
      <c r="X439" s="295" t="n"/>
      <c r="Y439" s="295" t="n"/>
      <c r="Z439" s="295" t="n"/>
      <c r="AA439" s="295" t="n"/>
      <c r="AB439" s="293" t="n"/>
      <c r="AC439" s="295" t="n"/>
      <c r="AD439" s="295" t="n"/>
      <c r="AE439" s="294" t="n"/>
    </row>
    <row r="440">
      <c r="B440" s="279" t="n"/>
      <c r="C440" s="280" t="n"/>
      <c r="D440" s="295" t="n"/>
      <c r="E440" s="295" t="n"/>
      <c r="F440" s="295" t="n"/>
      <c r="G440" s="282" t="n"/>
      <c r="H440" s="295" t="n"/>
      <c r="I440" s="295" t="n"/>
      <c r="J440" s="282" t="n"/>
      <c r="K440" s="345" t="n"/>
      <c r="L440" s="295" t="n"/>
      <c r="M440" s="346" t="n"/>
      <c r="N440" s="295" t="n"/>
      <c r="O440" s="285" t="n"/>
      <c r="P440" s="295" t="n"/>
      <c r="Q440" s="295" t="n"/>
      <c r="R440" s="282" t="n"/>
      <c r="S440" s="295" t="n"/>
      <c r="T440" s="295" t="n"/>
      <c r="U440" s="285" t="n"/>
      <c r="V440" s="295" t="n"/>
      <c r="W440" s="282" t="n"/>
      <c r="X440" s="295" t="n"/>
      <c r="Y440" s="295" t="n"/>
      <c r="Z440" s="295" t="n"/>
      <c r="AA440" s="295" t="n"/>
      <c r="AB440" s="285" t="n"/>
      <c r="AC440" s="295" t="n"/>
      <c r="AD440" s="295" t="n"/>
      <c r="AE440" s="286" t="n"/>
    </row>
    <row r="441">
      <c r="B441" s="287" t="n"/>
      <c r="C441" s="288" t="n"/>
      <c r="D441" s="295" t="n"/>
      <c r="E441" s="295" t="n"/>
      <c r="F441" s="295" t="n"/>
      <c r="G441" s="290" t="n"/>
      <c r="H441" s="295" t="n"/>
      <c r="I441" s="295" t="n"/>
      <c r="J441" s="290" t="n"/>
      <c r="K441" s="347" t="n"/>
      <c r="L441" s="295" t="n"/>
      <c r="M441" s="348" t="n"/>
      <c r="N441" s="295" t="n"/>
      <c r="O441" s="293" t="n"/>
      <c r="P441" s="295" t="n"/>
      <c r="Q441" s="295" t="n"/>
      <c r="R441" s="290" t="n"/>
      <c r="S441" s="295" t="n"/>
      <c r="T441" s="295" t="n"/>
      <c r="U441" s="293" t="n"/>
      <c r="V441" s="295" t="n"/>
      <c r="W441" s="290" t="n"/>
      <c r="X441" s="295" t="n"/>
      <c r="Y441" s="295" t="n"/>
      <c r="Z441" s="295" t="n"/>
      <c r="AA441" s="295" t="n"/>
      <c r="AB441" s="293" t="n"/>
      <c r="AC441" s="295" t="n"/>
      <c r="AD441" s="295" t="n"/>
      <c r="AE441" s="294" t="n"/>
    </row>
    <row r="442">
      <c r="B442" s="279" t="n"/>
      <c r="C442" s="280" t="n"/>
      <c r="D442" s="295" t="n"/>
      <c r="E442" s="295" t="n"/>
      <c r="F442" s="295" t="n"/>
      <c r="G442" s="282" t="n"/>
      <c r="H442" s="295" t="n"/>
      <c r="I442" s="295" t="n"/>
      <c r="J442" s="282" t="n"/>
      <c r="K442" s="345" t="n"/>
      <c r="L442" s="295" t="n"/>
      <c r="M442" s="346" t="n"/>
      <c r="N442" s="295" t="n"/>
      <c r="O442" s="285" t="n"/>
      <c r="P442" s="295" t="n"/>
      <c r="Q442" s="295" t="n"/>
      <c r="R442" s="282" t="n"/>
      <c r="S442" s="295" t="n"/>
      <c r="T442" s="295" t="n"/>
      <c r="U442" s="285" t="n"/>
      <c r="V442" s="295" t="n"/>
      <c r="W442" s="282" t="n"/>
      <c r="X442" s="295" t="n"/>
      <c r="Y442" s="295" t="n"/>
      <c r="Z442" s="295" t="n"/>
      <c r="AA442" s="295" t="n"/>
      <c r="AB442" s="285" t="n"/>
      <c r="AC442" s="295" t="n"/>
      <c r="AD442" s="295" t="n"/>
      <c r="AE442" s="286" t="n"/>
    </row>
    <row r="443">
      <c r="B443" s="287" t="n"/>
      <c r="C443" s="288" t="n"/>
      <c r="D443" s="295" t="n"/>
      <c r="E443" s="295" t="n"/>
      <c r="F443" s="295" t="n"/>
      <c r="G443" s="290" t="n"/>
      <c r="H443" s="295" t="n"/>
      <c r="I443" s="295" t="n"/>
      <c r="J443" s="290" t="n"/>
      <c r="K443" s="347" t="n"/>
      <c r="L443" s="295" t="n"/>
      <c r="M443" s="348" t="n"/>
      <c r="N443" s="295" t="n"/>
      <c r="O443" s="293" t="n"/>
      <c r="P443" s="295" t="n"/>
      <c r="Q443" s="295" t="n"/>
      <c r="R443" s="290" t="n"/>
      <c r="S443" s="295" t="n"/>
      <c r="T443" s="295" t="n"/>
      <c r="U443" s="293" t="n"/>
      <c r="V443" s="295" t="n"/>
      <c r="W443" s="290" t="n"/>
      <c r="X443" s="295" t="n"/>
      <c r="Y443" s="295" t="n"/>
      <c r="Z443" s="295" t="n"/>
      <c r="AA443" s="295" t="n"/>
      <c r="AB443" s="293" t="n"/>
      <c r="AC443" s="295" t="n"/>
      <c r="AD443" s="295" t="n"/>
      <c r="AE443" s="294" t="n"/>
    </row>
    <row r="444">
      <c r="B444" s="279" t="n"/>
      <c r="C444" s="280" t="n"/>
      <c r="D444" s="295" t="n"/>
      <c r="E444" s="295" t="n"/>
      <c r="F444" s="295" t="n"/>
      <c r="G444" s="282" t="n"/>
      <c r="H444" s="295" t="n"/>
      <c r="I444" s="295" t="n"/>
      <c r="J444" s="282" t="n"/>
      <c r="K444" s="345" t="n"/>
      <c r="L444" s="295" t="n"/>
      <c r="M444" s="346" t="n"/>
      <c r="N444" s="295" t="n"/>
      <c r="O444" s="285" t="n"/>
      <c r="P444" s="295" t="n"/>
      <c r="Q444" s="295" t="n"/>
      <c r="R444" s="282" t="n"/>
      <c r="S444" s="295" t="n"/>
      <c r="T444" s="295" t="n"/>
      <c r="U444" s="285" t="n"/>
      <c r="V444" s="295" t="n"/>
      <c r="W444" s="282" t="n"/>
      <c r="X444" s="295" t="n"/>
      <c r="Y444" s="295" t="n"/>
      <c r="Z444" s="295" t="n"/>
      <c r="AA444" s="295" t="n"/>
      <c r="AB444" s="285" t="n"/>
      <c r="AC444" s="295" t="n"/>
      <c r="AD444" s="295" t="n"/>
      <c r="AE444" s="286" t="n"/>
    </row>
    <row r="445">
      <c r="B445" s="279" t="n"/>
      <c r="C445" s="280" t="n"/>
      <c r="D445" s="295" t="n"/>
      <c r="E445" s="295" t="n"/>
      <c r="F445" s="295" t="n"/>
      <c r="G445" s="282" t="n"/>
      <c r="H445" s="295" t="n"/>
      <c r="I445" s="295" t="n"/>
      <c r="J445" s="282" t="n"/>
      <c r="K445" s="345" t="n"/>
      <c r="L445" s="295" t="n"/>
      <c r="M445" s="346" t="n"/>
      <c r="N445" s="295" t="n"/>
      <c r="O445" s="285" t="n"/>
      <c r="P445" s="295" t="n"/>
      <c r="Q445" s="295" t="n"/>
      <c r="R445" s="282" t="n"/>
      <c r="S445" s="295" t="n"/>
      <c r="T445" s="295" t="n"/>
      <c r="U445" s="285" t="n"/>
      <c r="V445" s="295" t="n"/>
      <c r="W445" s="282" t="n"/>
      <c r="X445" s="295" t="n"/>
      <c r="Y445" s="295" t="n"/>
      <c r="Z445" s="295" t="n"/>
      <c r="AA445" s="295" t="n"/>
      <c r="AB445" s="285" t="n"/>
      <c r="AC445" s="295" t="n"/>
      <c r="AD445" s="295" t="n"/>
      <c r="AE445" s="286" t="n"/>
    </row>
    <row r="446">
      <c r="B446" s="287" t="n"/>
      <c r="C446" s="288" t="n"/>
      <c r="D446" s="295" t="n"/>
      <c r="E446" s="295" t="n"/>
      <c r="F446" s="295" t="n"/>
      <c r="G446" s="290" t="n"/>
      <c r="H446" s="295" t="n"/>
      <c r="I446" s="295" t="n"/>
      <c r="J446" s="290" t="n"/>
      <c r="K446" s="347" t="n"/>
      <c r="L446" s="295" t="n"/>
      <c r="M446" s="348" t="n"/>
      <c r="N446" s="295" t="n"/>
      <c r="O446" s="293" t="n"/>
      <c r="P446" s="295" t="n"/>
      <c r="Q446" s="295" t="n"/>
      <c r="R446" s="290" t="n"/>
      <c r="S446" s="295" t="n"/>
      <c r="T446" s="295" t="n"/>
      <c r="U446" s="293" t="n"/>
      <c r="V446" s="295" t="n"/>
      <c r="W446" s="290" t="n"/>
      <c r="X446" s="295" t="n"/>
      <c r="Y446" s="295" t="n"/>
      <c r="Z446" s="295" t="n"/>
      <c r="AA446" s="295" t="n"/>
      <c r="AB446" s="293" t="n"/>
      <c r="AC446" s="295" t="n"/>
      <c r="AD446" s="295" t="n"/>
      <c r="AE446" s="294" t="n"/>
    </row>
    <row r="447">
      <c r="B447" s="279" t="n"/>
      <c r="C447" s="280" t="n"/>
      <c r="D447" s="295" t="n"/>
      <c r="E447" s="295" t="n"/>
      <c r="F447" s="295" t="n"/>
      <c r="G447" s="282" t="n"/>
      <c r="H447" s="295" t="n"/>
      <c r="I447" s="295" t="n"/>
      <c r="J447" s="282" t="n"/>
      <c r="K447" s="345" t="n"/>
      <c r="L447" s="295" t="n"/>
      <c r="M447" s="346" t="n"/>
      <c r="N447" s="295" t="n"/>
      <c r="O447" s="285" t="n"/>
      <c r="P447" s="295" t="n"/>
      <c r="Q447" s="295" t="n"/>
      <c r="R447" s="282" t="n"/>
      <c r="S447" s="295" t="n"/>
      <c r="T447" s="295" t="n"/>
      <c r="U447" s="285" t="n"/>
      <c r="V447" s="295" t="n"/>
      <c r="W447" s="282" t="n"/>
      <c r="X447" s="295" t="n"/>
      <c r="Y447" s="295" t="n"/>
      <c r="Z447" s="295" t="n"/>
      <c r="AA447" s="295" t="n"/>
      <c r="AB447" s="285" t="n"/>
      <c r="AC447" s="295" t="n"/>
      <c r="AD447" s="295" t="n"/>
      <c r="AE447" s="286" t="n"/>
    </row>
    <row r="448">
      <c r="B448" s="287" t="n"/>
      <c r="C448" s="288" t="n"/>
      <c r="D448" s="295" t="n"/>
      <c r="E448" s="295" t="n"/>
      <c r="F448" s="295" t="n"/>
      <c r="G448" s="290" t="n"/>
      <c r="H448" s="295" t="n"/>
      <c r="I448" s="295" t="n"/>
      <c r="J448" s="290" t="n"/>
      <c r="K448" s="347" t="n"/>
      <c r="L448" s="295" t="n"/>
      <c r="M448" s="348" t="n"/>
      <c r="N448" s="295" t="n"/>
      <c r="O448" s="293" t="n"/>
      <c r="P448" s="295" t="n"/>
      <c r="Q448" s="295" t="n"/>
      <c r="R448" s="290" t="n"/>
      <c r="S448" s="295" t="n"/>
      <c r="T448" s="295" t="n"/>
      <c r="U448" s="293" t="n"/>
      <c r="V448" s="295" t="n"/>
      <c r="W448" s="290" t="n"/>
      <c r="X448" s="295" t="n"/>
      <c r="Y448" s="295" t="n"/>
      <c r="Z448" s="295" t="n"/>
      <c r="AA448" s="295" t="n"/>
      <c r="AB448" s="293" t="n"/>
      <c r="AC448" s="295" t="n"/>
      <c r="AD448" s="295" t="n"/>
      <c r="AE448" s="294" t="n"/>
    </row>
    <row r="449">
      <c r="B449" s="279" t="n"/>
      <c r="C449" s="280" t="n"/>
      <c r="D449" s="295" t="n"/>
      <c r="E449" s="295" t="n"/>
      <c r="F449" s="295" t="n"/>
      <c r="G449" s="282" t="n"/>
      <c r="H449" s="295" t="n"/>
      <c r="I449" s="295" t="n"/>
      <c r="J449" s="282" t="n"/>
      <c r="K449" s="345" t="n"/>
      <c r="L449" s="295" t="n"/>
      <c r="M449" s="346" t="n"/>
      <c r="N449" s="295" t="n"/>
      <c r="O449" s="285" t="n"/>
      <c r="P449" s="295" t="n"/>
      <c r="Q449" s="295" t="n"/>
      <c r="R449" s="282" t="n"/>
      <c r="S449" s="295" t="n"/>
      <c r="T449" s="295" t="n"/>
      <c r="U449" s="285" t="n"/>
      <c r="V449" s="295" t="n"/>
      <c r="W449" s="282" t="n"/>
      <c r="X449" s="295" t="n"/>
      <c r="Y449" s="295" t="n"/>
      <c r="Z449" s="295" t="n"/>
      <c r="AA449" s="295" t="n"/>
      <c r="AB449" s="285" t="n"/>
      <c r="AC449" s="295" t="n"/>
      <c r="AD449" s="295" t="n"/>
      <c r="AE449" s="286" t="n"/>
    </row>
    <row r="450">
      <c r="B450" s="287" t="n"/>
      <c r="C450" s="288" t="n"/>
      <c r="D450" s="295" t="n"/>
      <c r="E450" s="295" t="n"/>
      <c r="F450" s="295" t="n"/>
      <c r="G450" s="290" t="n"/>
      <c r="H450" s="295" t="n"/>
      <c r="I450" s="295" t="n"/>
      <c r="J450" s="290" t="n"/>
      <c r="K450" s="347" t="n"/>
      <c r="L450" s="295" t="n"/>
      <c r="M450" s="348" t="n"/>
      <c r="N450" s="295" t="n"/>
      <c r="O450" s="293" t="n"/>
      <c r="P450" s="295" t="n"/>
      <c r="Q450" s="295" t="n"/>
      <c r="R450" s="290" t="n"/>
      <c r="S450" s="295" t="n"/>
      <c r="T450" s="295" t="n"/>
      <c r="U450" s="293" t="n"/>
      <c r="V450" s="295" t="n"/>
      <c r="W450" s="290" t="n"/>
      <c r="X450" s="295" t="n"/>
      <c r="Y450" s="295" t="n"/>
      <c r="Z450" s="295" t="n"/>
      <c r="AA450" s="295" t="n"/>
      <c r="AB450" s="293" t="n"/>
      <c r="AC450" s="295" t="n"/>
      <c r="AD450" s="295" t="n"/>
      <c r="AE450" s="294" t="n"/>
    </row>
    <row r="451">
      <c r="B451" s="279" t="n"/>
      <c r="C451" s="280" t="n"/>
      <c r="D451" s="295" t="n"/>
      <c r="E451" s="295" t="n"/>
      <c r="F451" s="295" t="n"/>
      <c r="G451" s="282" t="n"/>
      <c r="H451" s="295" t="n"/>
      <c r="I451" s="295" t="n"/>
      <c r="J451" s="282" t="n"/>
      <c r="K451" s="345" t="n"/>
      <c r="L451" s="295" t="n"/>
      <c r="M451" s="346" t="n"/>
      <c r="N451" s="295" t="n"/>
      <c r="O451" s="285" t="n"/>
      <c r="P451" s="295" t="n"/>
      <c r="Q451" s="295" t="n"/>
      <c r="R451" s="282" t="n"/>
      <c r="S451" s="295" t="n"/>
      <c r="T451" s="295" t="n"/>
      <c r="U451" s="285" t="n"/>
      <c r="V451" s="295" t="n"/>
      <c r="W451" s="282" t="n"/>
      <c r="X451" s="295" t="n"/>
      <c r="Y451" s="295" t="n"/>
      <c r="Z451" s="295" t="n"/>
      <c r="AA451" s="295" t="n"/>
      <c r="AB451" s="285" t="n"/>
      <c r="AC451" s="295" t="n"/>
      <c r="AD451" s="295" t="n"/>
      <c r="AE451" s="286" t="n"/>
    </row>
    <row r="452">
      <c r="B452" s="287" t="n"/>
      <c r="C452" s="288" t="n"/>
      <c r="D452" s="295" t="n"/>
      <c r="E452" s="295" t="n"/>
      <c r="F452" s="295" t="n"/>
      <c r="G452" s="290" t="n"/>
      <c r="H452" s="295" t="n"/>
      <c r="I452" s="295" t="n"/>
      <c r="J452" s="290" t="n"/>
      <c r="K452" s="347" t="n"/>
      <c r="L452" s="295" t="n"/>
      <c r="M452" s="348" t="n"/>
      <c r="N452" s="295" t="n"/>
      <c r="O452" s="293" t="n"/>
      <c r="P452" s="295" t="n"/>
      <c r="Q452" s="295" t="n"/>
      <c r="R452" s="290" t="n"/>
      <c r="S452" s="295" t="n"/>
      <c r="T452" s="295" t="n"/>
      <c r="U452" s="293" t="n"/>
      <c r="V452" s="295" t="n"/>
      <c r="W452" s="290" t="n"/>
      <c r="X452" s="295" t="n"/>
      <c r="Y452" s="295" t="n"/>
      <c r="Z452" s="295" t="n"/>
      <c r="AA452" s="295" t="n"/>
      <c r="AB452" s="293" t="n"/>
      <c r="AC452" s="295" t="n"/>
      <c r="AD452" s="295" t="n"/>
      <c r="AE452" s="294" t="n"/>
    </row>
    <row r="453">
      <c r="B453" s="279" t="n"/>
      <c r="C453" s="280" t="n"/>
      <c r="D453" s="295" t="n"/>
      <c r="E453" s="295" t="n"/>
      <c r="F453" s="295" t="n"/>
      <c r="G453" s="282" t="n"/>
      <c r="H453" s="295" t="n"/>
      <c r="I453" s="295" t="n"/>
      <c r="J453" s="282" t="n"/>
      <c r="K453" s="345" t="n"/>
      <c r="L453" s="295" t="n"/>
      <c r="M453" s="346" t="n"/>
      <c r="N453" s="295" t="n"/>
      <c r="O453" s="285" t="n"/>
      <c r="P453" s="295" t="n"/>
      <c r="Q453" s="295" t="n"/>
      <c r="R453" s="282" t="n"/>
      <c r="S453" s="295" t="n"/>
      <c r="T453" s="295" t="n"/>
      <c r="U453" s="285" t="n"/>
      <c r="V453" s="295" t="n"/>
      <c r="W453" s="282" t="n"/>
      <c r="X453" s="295" t="n"/>
      <c r="Y453" s="295" t="n"/>
      <c r="Z453" s="295" t="n"/>
      <c r="AA453" s="295" t="n"/>
      <c r="AB453" s="285" t="n"/>
      <c r="AC453" s="295" t="n"/>
      <c r="AD453" s="295" t="n"/>
      <c r="AE453" s="286" t="n"/>
    </row>
    <row r="454">
      <c r="B454" s="287" t="n"/>
      <c r="C454" s="288" t="n"/>
      <c r="D454" s="295" t="n"/>
      <c r="E454" s="295" t="n"/>
      <c r="F454" s="295" t="n"/>
      <c r="G454" s="290" t="n"/>
      <c r="H454" s="295" t="n"/>
      <c r="I454" s="295" t="n"/>
      <c r="J454" s="290" t="n"/>
      <c r="K454" s="347" t="n"/>
      <c r="L454" s="295" t="n"/>
      <c r="M454" s="348" t="n"/>
      <c r="N454" s="295" t="n"/>
      <c r="O454" s="293" t="n"/>
      <c r="P454" s="295" t="n"/>
      <c r="Q454" s="295" t="n"/>
      <c r="R454" s="290" t="n"/>
      <c r="S454" s="295" t="n"/>
      <c r="T454" s="295" t="n"/>
      <c r="U454" s="293" t="n"/>
      <c r="V454" s="295" t="n"/>
      <c r="W454" s="290" t="n"/>
      <c r="X454" s="295" t="n"/>
      <c r="Y454" s="295" t="n"/>
      <c r="Z454" s="295" t="n"/>
      <c r="AA454" s="295" t="n"/>
      <c r="AB454" s="293" t="n"/>
      <c r="AC454" s="295" t="n"/>
      <c r="AD454" s="295" t="n"/>
      <c r="AE454" s="294" t="n"/>
    </row>
    <row r="455">
      <c r="B455" s="279" t="n"/>
      <c r="C455" s="280" t="n"/>
      <c r="D455" s="295" t="n"/>
      <c r="E455" s="295" t="n"/>
      <c r="F455" s="295" t="n"/>
      <c r="G455" s="282" t="n"/>
      <c r="H455" s="295" t="n"/>
      <c r="I455" s="295" t="n"/>
      <c r="J455" s="282" t="n"/>
      <c r="K455" s="345" t="n"/>
      <c r="L455" s="295" t="n"/>
      <c r="M455" s="346" t="n"/>
      <c r="N455" s="295" t="n"/>
      <c r="O455" s="285" t="n"/>
      <c r="P455" s="295" t="n"/>
      <c r="Q455" s="295" t="n"/>
      <c r="R455" s="282" t="n"/>
      <c r="S455" s="295" t="n"/>
      <c r="T455" s="295" t="n"/>
      <c r="U455" s="285" t="n"/>
      <c r="V455" s="295" t="n"/>
      <c r="W455" s="282" t="n"/>
      <c r="X455" s="295" t="n"/>
      <c r="Y455" s="295" t="n"/>
      <c r="Z455" s="295" t="n"/>
      <c r="AA455" s="295" t="n"/>
      <c r="AB455" s="285" t="n"/>
      <c r="AC455" s="295" t="n"/>
      <c r="AD455" s="295" t="n"/>
      <c r="AE455" s="286" t="n"/>
    </row>
    <row r="456">
      <c r="B456" s="152" t="n"/>
      <c r="C456" s="153" t="n"/>
      <c r="G456" s="155" t="n"/>
      <c r="J456" s="155" t="n"/>
      <c r="K456" s="349" t="n"/>
      <c r="M456" s="350" t="n"/>
      <c r="O456" s="158" t="n"/>
      <c r="R456" s="155" t="n"/>
      <c r="U456" s="158" t="n"/>
      <c r="W456" s="155" t="n"/>
      <c r="AB456" s="158" t="n"/>
      <c r="AE456" s="159" t="n"/>
    </row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71"/>
  <mergeCells count="1765">
    <mergeCell ref="U420:V420"/>
    <mergeCell ref="R415:T415"/>
    <mergeCell ref="G288:I288"/>
    <mergeCell ref="W367:AA367"/>
    <mergeCell ref="W359:AA359"/>
    <mergeCell ref="G298:I298"/>
    <mergeCell ref="U291:V291"/>
    <mergeCell ref="G323:I323"/>
    <mergeCell ref="G412:I412"/>
    <mergeCell ref="W369:AA369"/>
    <mergeCell ref="R440:T440"/>
    <mergeCell ref="K302:L302"/>
    <mergeCell ref="P158:Q158"/>
    <mergeCell ref="M358:N358"/>
    <mergeCell ref="U293:V293"/>
    <mergeCell ref="U415:V415"/>
    <mergeCell ref="R439:T439"/>
    <mergeCell ref="G443:I443"/>
    <mergeCell ref="AB430:AD430"/>
    <mergeCell ref="U292:V292"/>
    <mergeCell ref="M366:N366"/>
    <mergeCell ref="M360:N360"/>
    <mergeCell ref="R441:T441"/>
    <mergeCell ref="C368:F368"/>
    <mergeCell ref="R435:T435"/>
    <mergeCell ref="U317:V317"/>
    <mergeCell ref="R312:T312"/>
    <mergeCell ref="M361:N361"/>
    <mergeCell ref="O425:Q425"/>
    <mergeCell ref="C364:F364"/>
    <mergeCell ref="K328:L328"/>
    <mergeCell ref="U319:V319"/>
    <mergeCell ref="U318:V318"/>
    <mergeCell ref="W405:AA405"/>
    <mergeCell ref="M392:N392"/>
    <mergeCell ref="U312:V312"/>
    <mergeCell ref="M386:N386"/>
    <mergeCell ref="D219:F219"/>
    <mergeCell ref="W293:AA293"/>
    <mergeCell ref="W407:AA407"/>
    <mergeCell ref="U320:V320"/>
    <mergeCell ref="M394:N394"/>
    <mergeCell ref="U314:V314"/>
    <mergeCell ref="G367:I367"/>
    <mergeCell ref="M387:N387"/>
    <mergeCell ref="W438:AA438"/>
    <mergeCell ref="R365:T365"/>
    <mergeCell ref="O295:Q295"/>
    <mergeCell ref="G369:I369"/>
    <mergeCell ref="R454:T454"/>
    <mergeCell ref="C419:F419"/>
    <mergeCell ref="G368:I368"/>
    <mergeCell ref="AB355:AD355"/>
    <mergeCell ref="W439:AA439"/>
    <mergeCell ref="W433:AA433"/>
    <mergeCell ref="K341:L341"/>
    <mergeCell ref="G364:I364"/>
    <mergeCell ref="M316:N316"/>
    <mergeCell ref="U373:V373"/>
    <mergeCell ref="W435:AA435"/>
    <mergeCell ref="M405:N405"/>
    <mergeCell ref="AB356:AD356"/>
    <mergeCell ref="R376:T376"/>
    <mergeCell ref="U389:V389"/>
    <mergeCell ref="R378:T378"/>
    <mergeCell ref="O341:Q341"/>
    <mergeCell ref="M157:Q157"/>
    <mergeCell ref="U384:V384"/>
    <mergeCell ref="G408:I408"/>
    <mergeCell ref="W365:AA365"/>
    <mergeCell ref="C279:F279"/>
    <mergeCell ref="K273:L273"/>
    <mergeCell ref="U386:V386"/>
    <mergeCell ref="G410:I410"/>
    <mergeCell ref="C281:F281"/>
    <mergeCell ref="G439:I439"/>
    <mergeCell ref="F192:I192"/>
    <mergeCell ref="O395:Q395"/>
    <mergeCell ref="M331:N331"/>
    <mergeCell ref="L50:M50"/>
    <mergeCell ref="L25:M25"/>
    <mergeCell ref="R437:T437"/>
    <mergeCell ref="O367:Q367"/>
    <mergeCell ref="G441:I441"/>
    <mergeCell ref="AB428:AD428"/>
    <mergeCell ref="G435:I435"/>
    <mergeCell ref="L52:M52"/>
    <mergeCell ref="G434:I434"/>
    <mergeCell ref="G312:I312"/>
    <mergeCell ref="O396:Q396"/>
    <mergeCell ref="O390:Q390"/>
    <mergeCell ref="K413:L413"/>
    <mergeCell ref="G436:I436"/>
    <mergeCell ref="AB423:AD423"/>
    <mergeCell ref="U404:V404"/>
    <mergeCell ref="O398:Q398"/>
    <mergeCell ref="W376:AA376"/>
    <mergeCell ref="H256:I256"/>
    <mergeCell ref="K415:L415"/>
    <mergeCell ref="U397:V397"/>
    <mergeCell ref="U316:V316"/>
    <mergeCell ref="W378:AA378"/>
    <mergeCell ref="U310:V310"/>
    <mergeCell ref="K286:L286"/>
    <mergeCell ref="AB297:AD297"/>
    <mergeCell ref="K410:L410"/>
    <mergeCell ref="O414:Q414"/>
    <mergeCell ref="AB299:AD299"/>
    <mergeCell ref="O291:Q291"/>
    <mergeCell ref="R450:T450"/>
    <mergeCell ref="AB292:AD292"/>
    <mergeCell ref="G454:I454"/>
    <mergeCell ref="O293:Q293"/>
    <mergeCell ref="R452:T452"/>
    <mergeCell ref="AB294:AD294"/>
    <mergeCell ref="O409:Q409"/>
    <mergeCell ref="K337:L337"/>
    <mergeCell ref="K312:L312"/>
    <mergeCell ref="AB404:AD404"/>
    <mergeCell ref="H267:I267"/>
    <mergeCell ref="G449:I449"/>
    <mergeCell ref="K339:L339"/>
    <mergeCell ref="K314:L314"/>
    <mergeCell ref="M401:N401"/>
    <mergeCell ref="M395:N395"/>
    <mergeCell ref="U452:V452"/>
    <mergeCell ref="C380:F380"/>
    <mergeCell ref="L2:M2"/>
    <mergeCell ref="U329:V329"/>
    <mergeCell ref="M403:N403"/>
    <mergeCell ref="W432:AA432"/>
    <mergeCell ref="L3:M3"/>
    <mergeCell ref="C434:F434"/>
    <mergeCell ref="M398:N398"/>
    <mergeCell ref="L5:M5"/>
    <mergeCell ref="U380:V380"/>
    <mergeCell ref="M423:N423"/>
    <mergeCell ref="K350:L350"/>
    <mergeCell ref="W450:AA450"/>
    <mergeCell ref="U382:V382"/>
    <mergeCell ref="U357:V357"/>
    <mergeCell ref="M431:N431"/>
    <mergeCell ref="K352:L352"/>
    <mergeCell ref="M414:N414"/>
    <mergeCell ref="C277:F277"/>
    <mergeCell ref="M424:N424"/>
    <mergeCell ref="L21:M21"/>
    <mergeCell ref="C276:F276"/>
    <mergeCell ref="M416:N416"/>
    <mergeCell ref="C278:F278"/>
    <mergeCell ref="K376:L376"/>
    <mergeCell ref="O392:Q392"/>
    <mergeCell ref="L16:M16"/>
    <mergeCell ref="K384:L384"/>
    <mergeCell ref="K378:L378"/>
    <mergeCell ref="O394:Q394"/>
    <mergeCell ref="U393:V393"/>
    <mergeCell ref="M442:N442"/>
    <mergeCell ref="C288:F288"/>
    <mergeCell ref="K379:L379"/>
    <mergeCell ref="U395:V395"/>
    <mergeCell ref="R273:T273"/>
    <mergeCell ref="K406:L406"/>
    <mergeCell ref="G277:I277"/>
    <mergeCell ref="I33:J33"/>
    <mergeCell ref="U426:V426"/>
    <mergeCell ref="O376:Q376"/>
    <mergeCell ref="L44:M44"/>
    <mergeCell ref="K437:L437"/>
    <mergeCell ref="C291:F291"/>
    <mergeCell ref="O378:Q378"/>
    <mergeCell ref="AB290:AD290"/>
    <mergeCell ref="O405:Q405"/>
    <mergeCell ref="M284:N284"/>
    <mergeCell ref="U421:V421"/>
    <mergeCell ref="G445:I445"/>
    <mergeCell ref="C347:F347"/>
    <mergeCell ref="O407:Q407"/>
    <mergeCell ref="K310:L310"/>
    <mergeCell ref="K432:L432"/>
    <mergeCell ref="U423:V423"/>
    <mergeCell ref="K424:L424"/>
    <mergeCell ref="C342:F342"/>
    <mergeCell ref="R292:T292"/>
    <mergeCell ref="C344:F344"/>
    <mergeCell ref="O433:Q433"/>
    <mergeCell ref="K450:L450"/>
    <mergeCell ref="O435:Q435"/>
    <mergeCell ref="W273:AA273"/>
    <mergeCell ref="K452:L452"/>
    <mergeCell ref="G347:I347"/>
    <mergeCell ref="AB334:AD334"/>
    <mergeCell ref="AB336:AD336"/>
    <mergeCell ref="AB329:AD329"/>
    <mergeCell ref="W413:AA413"/>
    <mergeCell ref="AB337:AD337"/>
    <mergeCell ref="K380:L380"/>
    <mergeCell ref="AB331:AD331"/>
    <mergeCell ref="W415:AA415"/>
    <mergeCell ref="M438:N438"/>
    <mergeCell ref="W286:AA286"/>
    <mergeCell ref="K375:L375"/>
    <mergeCell ref="C417:F417"/>
    <mergeCell ref="M440:N440"/>
    <mergeCell ref="C383:F383"/>
    <mergeCell ref="R358:T358"/>
    <mergeCell ref="G362:I362"/>
    <mergeCell ref="M435:N435"/>
    <mergeCell ref="R360:T360"/>
    <mergeCell ref="C287:F287"/>
    <mergeCell ref="G414:I414"/>
    <mergeCell ref="M280:N280"/>
    <mergeCell ref="U417:V417"/>
    <mergeCell ref="C289:F289"/>
    <mergeCell ref="K393:L393"/>
    <mergeCell ref="G416:I416"/>
    <mergeCell ref="U419:V419"/>
    <mergeCell ref="M275:N275"/>
    <mergeCell ref="C314:F314"/>
    <mergeCell ref="M311:N311"/>
    <mergeCell ref="O347:Q347"/>
    <mergeCell ref="C313:F313"/>
    <mergeCell ref="M277:N277"/>
    <mergeCell ref="AB401:AD401"/>
    <mergeCell ref="AB279:AD279"/>
    <mergeCell ref="G286:I286"/>
    <mergeCell ref="C315:F315"/>
    <mergeCell ref="O429:Q429"/>
    <mergeCell ref="R290:T290"/>
    <mergeCell ref="AB403:AD403"/>
    <mergeCell ref="AB281:AD281"/>
    <mergeCell ref="O431:Q431"/>
    <mergeCell ref="G287:I287"/>
    <mergeCell ref="AB274:AD274"/>
    <mergeCell ref="E192:E193"/>
    <mergeCell ref="U430:V430"/>
    <mergeCell ref="W358:AA358"/>
    <mergeCell ref="U290:V290"/>
    <mergeCell ref="R285:T285"/>
    <mergeCell ref="G289:I289"/>
    <mergeCell ref="K416:L416"/>
    <mergeCell ref="W360:AA360"/>
    <mergeCell ref="R316:T316"/>
    <mergeCell ref="G314:I314"/>
    <mergeCell ref="C326:F326"/>
    <mergeCell ref="AB300:AD300"/>
    <mergeCell ref="R274:T274"/>
    <mergeCell ref="O273:Q273"/>
    <mergeCell ref="G305:I305"/>
    <mergeCell ref="R311:T311"/>
    <mergeCell ref="AB327:AD327"/>
    <mergeCell ref="O442:Q442"/>
    <mergeCell ref="U308:V308"/>
    <mergeCell ref="H247:I247"/>
    <mergeCell ref="R303:T303"/>
    <mergeCell ref="W411:AA411"/>
    <mergeCell ref="W282:AA282"/>
    <mergeCell ref="AB447:AD447"/>
    <mergeCell ref="U309:V309"/>
    <mergeCell ref="C413:F413"/>
    <mergeCell ref="R300:T300"/>
    <mergeCell ref="C379:F379"/>
    <mergeCell ref="W283:AA283"/>
    <mergeCell ref="C415:F415"/>
    <mergeCell ref="R329:T329"/>
    <mergeCell ref="O284:Q284"/>
    <mergeCell ref="G358:I358"/>
    <mergeCell ref="C408:F408"/>
    <mergeCell ref="R295:T295"/>
    <mergeCell ref="R331:T331"/>
    <mergeCell ref="W308:AA308"/>
    <mergeCell ref="O286:Q286"/>
    <mergeCell ref="G360:I360"/>
    <mergeCell ref="C410:F410"/>
    <mergeCell ref="AB346:AD346"/>
    <mergeCell ref="W316:AA316"/>
    <mergeCell ref="G353:I353"/>
    <mergeCell ref="W310:AA310"/>
    <mergeCell ref="W309:AA309"/>
    <mergeCell ref="C397:F397"/>
    <mergeCell ref="AB371:AD371"/>
    <mergeCell ref="G384:I384"/>
    <mergeCell ref="W311:AA311"/>
    <mergeCell ref="R382:T382"/>
    <mergeCell ref="C426:F426"/>
    <mergeCell ref="M273:N273"/>
    <mergeCell ref="AB372:AD372"/>
    <mergeCell ref="C428:F428"/>
    <mergeCell ref="M302:N302"/>
    <mergeCell ref="K358:L358"/>
    <mergeCell ref="AB399:AD399"/>
    <mergeCell ref="AB374:AD374"/>
    <mergeCell ref="W452:AA452"/>
    <mergeCell ref="G283:I283"/>
    <mergeCell ref="M299:N299"/>
    <mergeCell ref="G253:G254"/>
    <mergeCell ref="G285:I285"/>
    <mergeCell ref="C454:F454"/>
    <mergeCell ref="R393:T393"/>
    <mergeCell ref="M328:N328"/>
    <mergeCell ref="G397:I397"/>
    <mergeCell ref="AB425:AD425"/>
    <mergeCell ref="W324:AA324"/>
    <mergeCell ref="R401:T401"/>
    <mergeCell ref="R395:T395"/>
    <mergeCell ref="AB296:AD296"/>
    <mergeCell ref="AB427:AD427"/>
    <mergeCell ref="W380:AA380"/>
    <mergeCell ref="O358:Q358"/>
    <mergeCell ref="L51:M51"/>
    <mergeCell ref="M317:N317"/>
    <mergeCell ref="G311:I311"/>
    <mergeCell ref="AB298:AD298"/>
    <mergeCell ref="R396:T396"/>
    <mergeCell ref="AB456:AD456"/>
    <mergeCell ref="W382:AA382"/>
    <mergeCell ref="K430:L430"/>
    <mergeCell ref="U272:V272"/>
    <mergeCell ref="M346:N346"/>
    <mergeCell ref="G296:I296"/>
    <mergeCell ref="M318:N318"/>
    <mergeCell ref="R421:T421"/>
    <mergeCell ref="AB443:AD443"/>
    <mergeCell ref="M312:N312"/>
    <mergeCell ref="K283:L283"/>
    <mergeCell ref="U299:V299"/>
    <mergeCell ref="U274:V274"/>
    <mergeCell ref="M348:N348"/>
    <mergeCell ref="W377:AA377"/>
    <mergeCell ref="K285:L285"/>
    <mergeCell ref="M347:N347"/>
    <mergeCell ref="M314:N314"/>
    <mergeCell ref="R325:T325"/>
    <mergeCell ref="R456:T456"/>
    <mergeCell ref="G329:I329"/>
    <mergeCell ref="G451:I451"/>
    <mergeCell ref="AB438:AD438"/>
    <mergeCell ref="C352:F352"/>
    <mergeCell ref="K272:L272"/>
    <mergeCell ref="R327:T327"/>
    <mergeCell ref="G322:I322"/>
    <mergeCell ref="AB440:AD440"/>
    <mergeCell ref="W393:AA393"/>
    <mergeCell ref="C381:F381"/>
    <mergeCell ref="M374:N374"/>
    <mergeCell ref="K301:L301"/>
    <mergeCell ref="G324:I324"/>
    <mergeCell ref="W395:AA395"/>
    <mergeCell ref="D255:D256"/>
    <mergeCell ref="U327:V327"/>
    <mergeCell ref="K303:L303"/>
    <mergeCell ref="B192:B193"/>
    <mergeCell ref="U335:V335"/>
    <mergeCell ref="K296:L296"/>
    <mergeCell ref="O308:Q308"/>
    <mergeCell ref="G382:I382"/>
    <mergeCell ref="U328:V328"/>
    <mergeCell ref="O397:Q397"/>
    <mergeCell ref="AB368:AD368"/>
    <mergeCell ref="O310:Q310"/>
    <mergeCell ref="R338:T338"/>
    <mergeCell ref="W421:AA421"/>
    <mergeCell ref="O309:Q309"/>
    <mergeCell ref="K354:L354"/>
    <mergeCell ref="AB370:AD370"/>
    <mergeCell ref="G377:I377"/>
    <mergeCell ref="AB364:AD364"/>
    <mergeCell ref="U345:V345"/>
    <mergeCell ref="R340:T340"/>
    <mergeCell ref="O339:Q339"/>
    <mergeCell ref="W448:AA448"/>
    <mergeCell ref="W423:AA423"/>
    <mergeCell ref="C425:F425"/>
    <mergeCell ref="K356:L356"/>
    <mergeCell ref="M418:N418"/>
    <mergeCell ref="W325:AA325"/>
    <mergeCell ref="K349:L349"/>
    <mergeCell ref="U346:V346"/>
    <mergeCell ref="U340:V340"/>
    <mergeCell ref="C450:F450"/>
    <mergeCell ref="M413:N413"/>
    <mergeCell ref="U348:V348"/>
    <mergeCell ref="C452:F452"/>
    <mergeCell ref="W320:AA320"/>
    <mergeCell ref="L20:M20"/>
    <mergeCell ref="G395:I395"/>
    <mergeCell ref="C451:F451"/>
    <mergeCell ref="M415:N415"/>
    <mergeCell ref="C445:F445"/>
    <mergeCell ref="K382:L382"/>
    <mergeCell ref="L22:M22"/>
    <mergeCell ref="C453:F453"/>
    <mergeCell ref="R392:T392"/>
    <mergeCell ref="O322:Q322"/>
    <mergeCell ref="G396:I396"/>
    <mergeCell ref="AB383:AD383"/>
    <mergeCell ref="G390:I390"/>
    <mergeCell ref="U399:V399"/>
    <mergeCell ref="W338:AA338"/>
    <mergeCell ref="K368:L368"/>
    <mergeCell ref="W373:AA373"/>
    <mergeCell ref="C255:C256"/>
    <mergeCell ref="C375:F375"/>
    <mergeCell ref="M339:N339"/>
    <mergeCell ref="K395:L395"/>
    <mergeCell ref="O411:Q411"/>
    <mergeCell ref="C377:F377"/>
    <mergeCell ref="L35:M35"/>
    <mergeCell ref="U427:V427"/>
    <mergeCell ref="G320:I320"/>
    <mergeCell ref="G295:I295"/>
    <mergeCell ref="G409:I409"/>
    <mergeCell ref="U298:V298"/>
    <mergeCell ref="U418:V418"/>
    <mergeCell ref="U412:V412"/>
    <mergeCell ref="O406:Q406"/>
    <mergeCell ref="H264:I264"/>
    <mergeCell ref="M365:N365"/>
    <mergeCell ref="R430:T430"/>
    <mergeCell ref="M373:N373"/>
    <mergeCell ref="R438:T438"/>
    <mergeCell ref="O393:Q393"/>
    <mergeCell ref="K294:L294"/>
    <mergeCell ref="U413:V413"/>
    <mergeCell ref="O423:Q423"/>
    <mergeCell ref="O422:Q422"/>
    <mergeCell ref="K325:L325"/>
    <mergeCell ref="H255:I255"/>
    <mergeCell ref="U438:V438"/>
    <mergeCell ref="R433:T433"/>
    <mergeCell ref="AB449:AD449"/>
    <mergeCell ref="K318:L318"/>
    <mergeCell ref="O424:Q424"/>
    <mergeCell ref="C390:F390"/>
    <mergeCell ref="M383:N383"/>
    <mergeCell ref="U440:V440"/>
    <mergeCell ref="G333:I333"/>
    <mergeCell ref="K320:L320"/>
    <mergeCell ref="U342:V342"/>
    <mergeCell ref="M385:N385"/>
    <mergeCell ref="M384:N384"/>
    <mergeCell ref="U344:V344"/>
    <mergeCell ref="M411:N411"/>
    <mergeCell ref="R364:T364"/>
    <mergeCell ref="G359:I359"/>
    <mergeCell ref="W430:AA430"/>
    <mergeCell ref="W290:AA290"/>
    <mergeCell ref="K338:L338"/>
    <mergeCell ref="O354:Q354"/>
    <mergeCell ref="O348:Q348"/>
    <mergeCell ref="U370:V370"/>
    <mergeCell ref="O320:Q320"/>
    <mergeCell ref="K340:L340"/>
    <mergeCell ref="M437:N437"/>
    <mergeCell ref="K333:L333"/>
    <mergeCell ref="U355:V355"/>
    <mergeCell ref="U365:V365"/>
    <mergeCell ref="K366:L366"/>
    <mergeCell ref="M397:N397"/>
    <mergeCell ref="M310:N310"/>
    <mergeCell ref="O374:Q374"/>
    <mergeCell ref="G448:I448"/>
    <mergeCell ref="L4:M4"/>
    <mergeCell ref="L29:M29"/>
    <mergeCell ref="K391:L391"/>
    <mergeCell ref="W274:AA274"/>
    <mergeCell ref="W301:AA301"/>
    <mergeCell ref="O382:Q382"/>
    <mergeCell ref="L31:M31"/>
    <mergeCell ref="O375:Q375"/>
    <mergeCell ref="M455:N455"/>
    <mergeCell ref="W303:AA303"/>
    <mergeCell ref="K392:L392"/>
    <mergeCell ref="U383:V383"/>
    <mergeCell ref="O377:Q377"/>
    <mergeCell ref="K394:L394"/>
    <mergeCell ref="M450:N450"/>
    <mergeCell ref="U385:V385"/>
    <mergeCell ref="W357:AA357"/>
    <mergeCell ref="L57:M57"/>
    <mergeCell ref="AB276:AD276"/>
    <mergeCell ref="M452:N452"/>
    <mergeCell ref="C304:F304"/>
    <mergeCell ref="AB278:AD278"/>
    <mergeCell ref="L42:M42"/>
    <mergeCell ref="H251:I251"/>
    <mergeCell ref="R429:T429"/>
    <mergeCell ref="O359:Q359"/>
    <mergeCell ref="K404:L404"/>
    <mergeCell ref="G433:I433"/>
    <mergeCell ref="U305:V305"/>
    <mergeCell ref="U436:V436"/>
    <mergeCell ref="R431:T431"/>
    <mergeCell ref="M292:N292"/>
    <mergeCell ref="K316:L316"/>
    <mergeCell ref="U313:V313"/>
    <mergeCell ref="H246:I246"/>
    <mergeCell ref="U307:V307"/>
    <mergeCell ref="K405:L405"/>
    <mergeCell ref="C330:F330"/>
    <mergeCell ref="M380:N380"/>
    <mergeCell ref="U437:V437"/>
    <mergeCell ref="H248:I248"/>
    <mergeCell ref="AB418:AD418"/>
    <mergeCell ref="K407:L407"/>
    <mergeCell ref="C332:F332"/>
    <mergeCell ref="I59:J59"/>
    <mergeCell ref="O446:Q446"/>
    <mergeCell ref="M382:N382"/>
    <mergeCell ref="AB420:AD420"/>
    <mergeCell ref="O448:Q448"/>
    <mergeCell ref="AB291:AD291"/>
    <mergeCell ref="U447:V447"/>
    <mergeCell ref="R302:T302"/>
    <mergeCell ref="U455:V455"/>
    <mergeCell ref="U449:V449"/>
    <mergeCell ref="C343:F343"/>
    <mergeCell ref="K331:L331"/>
    <mergeCell ref="M393:N393"/>
    <mergeCell ref="R291:T291"/>
    <mergeCell ref="U450:V450"/>
    <mergeCell ref="C345:F345"/>
    <mergeCell ref="R284:T284"/>
    <mergeCell ref="W299:AA299"/>
    <mergeCell ref="C272:F272"/>
    <mergeCell ref="K357:L357"/>
    <mergeCell ref="O373:Q373"/>
    <mergeCell ref="M421:N421"/>
    <mergeCell ref="O301:Q301"/>
    <mergeCell ref="AB362:AD362"/>
    <mergeCell ref="W302:AA302"/>
    <mergeCell ref="C275:F275"/>
    <mergeCell ref="L55:M55"/>
    <mergeCell ref="O389:Q389"/>
    <mergeCell ref="C427:F427"/>
    <mergeCell ref="AB363:AD363"/>
    <mergeCell ref="W327:AA327"/>
    <mergeCell ref="O391:Q391"/>
    <mergeCell ref="O357:Q357"/>
    <mergeCell ref="K401:L401"/>
    <mergeCell ref="W284:AA284"/>
    <mergeCell ref="R399:T399"/>
    <mergeCell ref="G272:I272"/>
    <mergeCell ref="C295:F295"/>
    <mergeCell ref="C409:F409"/>
    <mergeCell ref="K403:L403"/>
    <mergeCell ref="C328:F328"/>
    <mergeCell ref="U276:V276"/>
    <mergeCell ref="AB287:AD287"/>
    <mergeCell ref="C323:F323"/>
    <mergeCell ref="U278:V278"/>
    <mergeCell ref="W340:AA340"/>
    <mergeCell ref="AB289:AD289"/>
    <mergeCell ref="G302:I302"/>
    <mergeCell ref="K429:L429"/>
    <mergeCell ref="K307:L307"/>
    <mergeCell ref="K431:L431"/>
    <mergeCell ref="R412:T412"/>
    <mergeCell ref="AB313:AD313"/>
    <mergeCell ref="U446:V446"/>
    <mergeCell ref="AB444:AD444"/>
    <mergeCell ref="C341:F341"/>
    <mergeCell ref="AB321:AD321"/>
    <mergeCell ref="G328:I328"/>
    <mergeCell ref="O430:Q430"/>
    <mergeCell ref="U448:V448"/>
    <mergeCell ref="AB315:AD315"/>
    <mergeCell ref="K447:L447"/>
    <mergeCell ref="C370:F370"/>
    <mergeCell ref="M363:N363"/>
    <mergeCell ref="W392:AA392"/>
    <mergeCell ref="AB316:AD316"/>
    <mergeCell ref="M329:N329"/>
    <mergeCell ref="W394:AA394"/>
    <mergeCell ref="K442:L442"/>
    <mergeCell ref="C367:F367"/>
    <mergeCell ref="R342:T342"/>
    <mergeCell ref="O272:Q272"/>
    <mergeCell ref="AB455:AD455"/>
    <mergeCell ref="C369:F369"/>
    <mergeCell ref="C396:F396"/>
    <mergeCell ref="R344:T344"/>
    <mergeCell ref="AB326:AD326"/>
    <mergeCell ref="O299:Q299"/>
    <mergeCell ref="O274:Q274"/>
    <mergeCell ref="C398:F398"/>
    <mergeCell ref="R337:T337"/>
    <mergeCell ref="G341:I341"/>
    <mergeCell ref="W412:AA412"/>
    <mergeCell ref="K284:L284"/>
    <mergeCell ref="R339:T339"/>
    <mergeCell ref="K372:L372"/>
    <mergeCell ref="R326:T326"/>
    <mergeCell ref="M430:N430"/>
    <mergeCell ref="O327:Q327"/>
    <mergeCell ref="M290:N290"/>
    <mergeCell ref="C293:F293"/>
    <mergeCell ref="R355:T355"/>
    <mergeCell ref="AB387:AD387"/>
    <mergeCell ref="R357:T357"/>
    <mergeCell ref="O356:Q356"/>
    <mergeCell ref="C294:F294"/>
    <mergeCell ref="W336:AA336"/>
    <mergeCell ref="G273:I273"/>
    <mergeCell ref="AB382:AD382"/>
    <mergeCell ref="U363:V363"/>
    <mergeCell ref="M272:N272"/>
    <mergeCell ref="W337:AA337"/>
    <mergeCell ref="R383:T383"/>
    <mergeCell ref="M274:N274"/>
    <mergeCell ref="O338:Q338"/>
    <mergeCell ref="W339:AA339"/>
    <mergeCell ref="R410:T410"/>
    <mergeCell ref="C312:F312"/>
    <mergeCell ref="O340:Q340"/>
    <mergeCell ref="R287:T287"/>
    <mergeCell ref="G413:I413"/>
    <mergeCell ref="AB400:AD400"/>
    <mergeCell ref="G407:I407"/>
    <mergeCell ref="W364:AA364"/>
    <mergeCell ref="P159:Q159"/>
    <mergeCell ref="R411:T411"/>
    <mergeCell ref="G284:I284"/>
    <mergeCell ref="AB402:AD402"/>
    <mergeCell ref="G415:I415"/>
    <mergeCell ref="C307:F307"/>
    <mergeCell ref="M300:N300"/>
    <mergeCell ref="W355:AA355"/>
    <mergeCell ref="U287:V287"/>
    <mergeCell ref="R282:T282"/>
    <mergeCell ref="U289:V289"/>
    <mergeCell ref="U411:V411"/>
    <mergeCell ref="R307:T307"/>
    <mergeCell ref="K440:L440"/>
    <mergeCell ref="AB426:AD426"/>
    <mergeCell ref="W350:AA350"/>
    <mergeCell ref="C392:F392"/>
    <mergeCell ref="M356:N356"/>
    <mergeCell ref="AB453:AD453"/>
    <mergeCell ref="C394:F394"/>
    <mergeCell ref="R308:T308"/>
    <mergeCell ref="AB330:AD330"/>
    <mergeCell ref="G337:I337"/>
    <mergeCell ref="R422:T422"/>
    <mergeCell ref="W408:AA408"/>
    <mergeCell ref="K280:L280"/>
    <mergeCell ref="U315:V315"/>
    <mergeCell ref="R335:T335"/>
    <mergeCell ref="R310:T310"/>
    <mergeCell ref="M372:N372"/>
    <mergeCell ref="G339:I339"/>
    <mergeCell ref="H253:I254"/>
    <mergeCell ref="K309:L309"/>
    <mergeCell ref="W403:AA403"/>
    <mergeCell ref="R449:T449"/>
    <mergeCell ref="C376:F376"/>
    <mergeCell ref="W434:AA434"/>
    <mergeCell ref="C378:F378"/>
    <mergeCell ref="O439:Q439"/>
    <mergeCell ref="G365:I365"/>
    <mergeCell ref="AB352:AD352"/>
    <mergeCell ref="W305:AA305"/>
    <mergeCell ref="C407:F407"/>
    <mergeCell ref="U326:V326"/>
    <mergeCell ref="M400:N400"/>
    <mergeCell ref="G350:I350"/>
    <mergeCell ref="W307:AA307"/>
    <mergeCell ref="W429:AA429"/>
    <mergeCell ref="AB353:AD353"/>
    <mergeCell ref="R348:T348"/>
    <mergeCell ref="W437:AA437"/>
    <mergeCell ref="W431:AA431"/>
    <mergeCell ref="U361:V361"/>
    <mergeCell ref="R379:T379"/>
    <mergeCell ref="W422:AA422"/>
    <mergeCell ref="U354:V354"/>
    <mergeCell ref="C433:F433"/>
    <mergeCell ref="W335:AA335"/>
    <mergeCell ref="R381:T381"/>
    <mergeCell ref="G376:I376"/>
    <mergeCell ref="O336:Q336"/>
    <mergeCell ref="U356:V356"/>
    <mergeCell ref="W447:AA447"/>
    <mergeCell ref="C435:F435"/>
    <mergeCell ref="R380:T380"/>
    <mergeCell ref="R374:T374"/>
    <mergeCell ref="K355:L355"/>
    <mergeCell ref="G378:I378"/>
    <mergeCell ref="O365:Q365"/>
    <mergeCell ref="W449:AA449"/>
    <mergeCell ref="O337:Q337"/>
    <mergeCell ref="G411:I411"/>
    <mergeCell ref="O331:Q331"/>
    <mergeCell ref="M296:N296"/>
    <mergeCell ref="W442:AA442"/>
    <mergeCell ref="O366:Q366"/>
    <mergeCell ref="M298:N298"/>
    <mergeCell ref="M325:N325"/>
    <mergeCell ref="M456:N456"/>
    <mergeCell ref="G406:I406"/>
    <mergeCell ref="W346:AA346"/>
    <mergeCell ref="G307:I307"/>
    <mergeCell ref="M327:N327"/>
    <mergeCell ref="L46:M46"/>
    <mergeCell ref="O363:Q363"/>
    <mergeCell ref="AB424:AD424"/>
    <mergeCell ref="G437:I437"/>
    <mergeCell ref="W348:AA348"/>
    <mergeCell ref="O355:Q355"/>
    <mergeCell ref="L48:M48"/>
    <mergeCell ref="AB295:AD295"/>
    <mergeCell ref="G308:I308"/>
    <mergeCell ref="G422:I422"/>
    <mergeCell ref="U311:V311"/>
    <mergeCell ref="R306:T306"/>
    <mergeCell ref="K281:L281"/>
    <mergeCell ref="G310:I310"/>
    <mergeCell ref="U400:V400"/>
    <mergeCell ref="R420:T420"/>
    <mergeCell ref="W372:AA372"/>
    <mergeCell ref="L43:M43"/>
    <mergeCell ref="H252:I252"/>
    <mergeCell ref="K411:L411"/>
    <mergeCell ref="W374:AA374"/>
    <mergeCell ref="U306:V306"/>
    <mergeCell ref="K282:L282"/>
    <mergeCell ref="U297:V297"/>
    <mergeCell ref="O404:Q404"/>
    <mergeCell ref="M340:N340"/>
    <mergeCell ref="R446:T446"/>
    <mergeCell ref="O323:Q323"/>
    <mergeCell ref="G450:I450"/>
    <mergeCell ref="O437:Q437"/>
    <mergeCell ref="R448:T448"/>
    <mergeCell ref="G452:I452"/>
    <mergeCell ref="U330:V330"/>
    <mergeCell ref="H263:I263"/>
    <mergeCell ref="U324:V324"/>
    <mergeCell ref="R319:T319"/>
    <mergeCell ref="K422:L422"/>
    <mergeCell ref="W427:AA427"/>
    <mergeCell ref="K335:L335"/>
    <mergeCell ref="H265:I265"/>
    <mergeCell ref="W298:AA298"/>
    <mergeCell ref="O305:Q305"/>
    <mergeCell ref="U325:V325"/>
    <mergeCell ref="M399:N399"/>
    <mergeCell ref="G372:I372"/>
    <mergeCell ref="O307:Q307"/>
    <mergeCell ref="C431:F431"/>
    <mergeCell ref="K351:L351"/>
    <mergeCell ref="G380:I380"/>
    <mergeCell ref="O300:Q300"/>
    <mergeCell ref="G374:I374"/>
    <mergeCell ref="W445:AA445"/>
    <mergeCell ref="C432:F432"/>
    <mergeCell ref="K346:L346"/>
    <mergeCell ref="G375:I375"/>
    <mergeCell ref="U343:V343"/>
    <mergeCell ref="W446:AA446"/>
    <mergeCell ref="W440:AA440"/>
    <mergeCell ref="K348:L348"/>
    <mergeCell ref="D245:G245"/>
    <mergeCell ref="C273:F273"/>
    <mergeCell ref="W317:AA317"/>
    <mergeCell ref="L17:M17"/>
    <mergeCell ref="U338:V338"/>
    <mergeCell ref="M412:N412"/>
    <mergeCell ref="C442:F442"/>
    <mergeCell ref="L19:M19"/>
    <mergeCell ref="C414:F414"/>
    <mergeCell ref="R389:T389"/>
    <mergeCell ref="L12:M12"/>
    <mergeCell ref="G393:I393"/>
    <mergeCell ref="K374:L374"/>
    <mergeCell ref="U396:V396"/>
    <mergeCell ref="R385:T385"/>
    <mergeCell ref="L39:M39"/>
    <mergeCell ref="L14:M14"/>
    <mergeCell ref="K276:L276"/>
    <mergeCell ref="U398:V398"/>
    <mergeCell ref="K278:L278"/>
    <mergeCell ref="U391:V391"/>
    <mergeCell ref="C286:F286"/>
    <mergeCell ref="M336:N336"/>
    <mergeCell ref="O372:Q372"/>
    <mergeCell ref="G446:I446"/>
    <mergeCell ref="O408:Q408"/>
    <mergeCell ref="O402:Q402"/>
    <mergeCell ref="O401:Q401"/>
    <mergeCell ref="K418:L418"/>
    <mergeCell ref="U409:V409"/>
    <mergeCell ref="O403:Q403"/>
    <mergeCell ref="H261:I261"/>
    <mergeCell ref="M362:N362"/>
    <mergeCell ref="K420:L420"/>
    <mergeCell ref="U321:V321"/>
    <mergeCell ref="M364:N364"/>
    <mergeCell ref="K291:L291"/>
    <mergeCell ref="U323:V323"/>
    <mergeCell ref="W385:AA385"/>
    <mergeCell ref="AB304:AD304"/>
    <mergeCell ref="O421:Q421"/>
    <mergeCell ref="K446:L446"/>
    <mergeCell ref="O456:Q456"/>
    <mergeCell ref="K317:L317"/>
    <mergeCell ref="C64:H64"/>
    <mergeCell ref="K448:L448"/>
    <mergeCell ref="G373:I373"/>
    <mergeCell ref="K319:L319"/>
    <mergeCell ref="C358:F358"/>
    <mergeCell ref="D2:D3"/>
    <mergeCell ref="U334:V334"/>
    <mergeCell ref="R272:T272"/>
    <mergeCell ref="AB332:AD332"/>
    <mergeCell ref="O447:Q447"/>
    <mergeCell ref="C351:F351"/>
    <mergeCell ref="U336:V336"/>
    <mergeCell ref="L8:M8"/>
    <mergeCell ref="K370:L370"/>
    <mergeCell ref="W280:AA280"/>
    <mergeCell ref="L10:M10"/>
    <mergeCell ref="C384:F384"/>
    <mergeCell ref="C441:F441"/>
    <mergeCell ref="M434:N434"/>
    <mergeCell ref="U362:V362"/>
    <mergeCell ref="M436:N436"/>
    <mergeCell ref="AB343:AD343"/>
    <mergeCell ref="K373:L373"/>
    <mergeCell ref="U364:V364"/>
    <mergeCell ref="R354:T354"/>
    <mergeCell ref="AB345:AD345"/>
    <mergeCell ref="K388:L388"/>
    <mergeCell ref="R356:T356"/>
    <mergeCell ref="C283:F283"/>
    <mergeCell ref="M276:N276"/>
    <mergeCell ref="W300:AA300"/>
    <mergeCell ref="C285:F285"/>
    <mergeCell ref="K389:L389"/>
    <mergeCell ref="W272:AA272"/>
    <mergeCell ref="K383:L383"/>
    <mergeCell ref="M278:N278"/>
    <mergeCell ref="O399:Q399"/>
    <mergeCell ref="L23:M23"/>
    <mergeCell ref="K385:L385"/>
    <mergeCell ref="M447:N447"/>
    <mergeCell ref="R372:T372"/>
    <mergeCell ref="P160:Q160"/>
    <mergeCell ref="L54:M54"/>
    <mergeCell ref="U444:V444"/>
    <mergeCell ref="C309:F309"/>
    <mergeCell ref="M449:N449"/>
    <mergeCell ref="C301:F301"/>
    <mergeCell ref="L56:M56"/>
    <mergeCell ref="AB275:AD275"/>
    <mergeCell ref="K386:L386"/>
    <mergeCell ref="C311:F311"/>
    <mergeCell ref="U402:V402"/>
    <mergeCell ref="R426:T426"/>
    <mergeCell ref="C303:F303"/>
    <mergeCell ref="L49:M49"/>
    <mergeCell ref="G430:I430"/>
    <mergeCell ref="AB277:AD277"/>
    <mergeCell ref="U433:V433"/>
    <mergeCell ref="O427:Q427"/>
    <mergeCell ref="K444:L444"/>
    <mergeCell ref="W354:AA354"/>
    <mergeCell ref="U435:V435"/>
    <mergeCell ref="M291:N291"/>
    <mergeCell ref="O412:Q412"/>
    <mergeCell ref="U434:V434"/>
    <mergeCell ref="U428:V428"/>
    <mergeCell ref="W356:AA356"/>
    <mergeCell ref="AB328:AD328"/>
    <mergeCell ref="O443:Q443"/>
    <mergeCell ref="R298:T298"/>
    <mergeCell ref="C322:F322"/>
    <mergeCell ref="AB417:AD417"/>
    <mergeCell ref="R297:T297"/>
    <mergeCell ref="O445:Q445"/>
    <mergeCell ref="G301:I301"/>
    <mergeCell ref="AB288:AD288"/>
    <mergeCell ref="C349:F349"/>
    <mergeCell ref="AB419:AD419"/>
    <mergeCell ref="C324:F324"/>
    <mergeCell ref="O438:Q438"/>
    <mergeCell ref="U304:V304"/>
    <mergeCell ref="R299:T299"/>
    <mergeCell ref="G303:I303"/>
    <mergeCell ref="K455:L455"/>
    <mergeCell ref="O440:Q440"/>
    <mergeCell ref="W278:AA278"/>
    <mergeCell ref="U358:V358"/>
    <mergeCell ref="R296:T296"/>
    <mergeCell ref="C411:F411"/>
    <mergeCell ref="U360:V360"/>
    <mergeCell ref="AB347:AD347"/>
    <mergeCell ref="O280:Q280"/>
    <mergeCell ref="AB341:AD341"/>
    <mergeCell ref="G354:I354"/>
    <mergeCell ref="O282:Q282"/>
    <mergeCell ref="G356:I356"/>
    <mergeCell ref="C406:F406"/>
    <mergeCell ref="W296:AA296"/>
    <mergeCell ref="AB342:AD342"/>
    <mergeCell ref="G349:I349"/>
    <mergeCell ref="W306:AA306"/>
    <mergeCell ref="O370:Q370"/>
    <mergeCell ref="W420:AA420"/>
    <mergeCell ref="C393:F393"/>
    <mergeCell ref="AB344:AD344"/>
    <mergeCell ref="W297:AA297"/>
    <mergeCell ref="W291:AA291"/>
    <mergeCell ref="R368:T368"/>
    <mergeCell ref="C422:F422"/>
    <mergeCell ref="U371:V371"/>
    <mergeCell ref="AB369:AD369"/>
    <mergeCell ref="C388:F388"/>
    <mergeCell ref="C424:F424"/>
    <mergeCell ref="R363:T363"/>
    <mergeCell ref="L47:M47"/>
    <mergeCell ref="W319:AA319"/>
    <mergeCell ref="M287:N287"/>
    <mergeCell ref="C325:F325"/>
    <mergeCell ref="G423:I423"/>
    <mergeCell ref="R391:T391"/>
    <mergeCell ref="C318:F318"/>
    <mergeCell ref="M282:N282"/>
    <mergeCell ref="AB388:AD388"/>
    <mergeCell ref="AB413:AD413"/>
    <mergeCell ref="G297:I297"/>
    <mergeCell ref="C320:F320"/>
    <mergeCell ref="AB415:AD415"/>
    <mergeCell ref="M313:N313"/>
    <mergeCell ref="C356:F356"/>
    <mergeCell ref="AB408:AD408"/>
    <mergeCell ref="G299:I299"/>
    <mergeCell ref="G293:I293"/>
    <mergeCell ref="K426:L426"/>
    <mergeCell ref="M342:N342"/>
    <mergeCell ref="G292:I292"/>
    <mergeCell ref="AB410:AD410"/>
    <mergeCell ref="AB439:AD439"/>
    <mergeCell ref="K428:L428"/>
    <mergeCell ref="W363:AA363"/>
    <mergeCell ref="M308:N308"/>
    <mergeCell ref="R409:T409"/>
    <mergeCell ref="M344:N344"/>
    <mergeCell ref="G294:I294"/>
    <mergeCell ref="AB441:AD441"/>
    <mergeCell ref="C338:F338"/>
    <mergeCell ref="R321:T321"/>
    <mergeCell ref="G325:I325"/>
    <mergeCell ref="AB434:AD434"/>
    <mergeCell ref="AB312:AD312"/>
    <mergeCell ref="R404:T404"/>
    <mergeCell ref="C340:F340"/>
    <mergeCell ref="R323:T323"/>
    <mergeCell ref="G318:I318"/>
    <mergeCell ref="O278:Q278"/>
    <mergeCell ref="AB436:AD436"/>
    <mergeCell ref="AB314:AD314"/>
    <mergeCell ref="W389:AA389"/>
    <mergeCell ref="C333:F333"/>
    <mergeCell ref="K297:L297"/>
    <mergeCell ref="M326:N326"/>
    <mergeCell ref="AB307:AD307"/>
    <mergeCell ref="U288:V288"/>
    <mergeCell ref="W391:AA391"/>
    <mergeCell ref="K299:L299"/>
    <mergeCell ref="K293:L293"/>
    <mergeCell ref="O449:Q449"/>
    <mergeCell ref="M355:N355"/>
    <mergeCell ref="M357:N357"/>
    <mergeCell ref="R305:T305"/>
    <mergeCell ref="O296:Q296"/>
    <mergeCell ref="AB454:AD454"/>
    <mergeCell ref="C359:F359"/>
    <mergeCell ref="C420:F420"/>
    <mergeCell ref="C395:F395"/>
    <mergeCell ref="O306:Q306"/>
    <mergeCell ref="R334:T334"/>
    <mergeCell ref="G363:I363"/>
    <mergeCell ref="G338:I338"/>
    <mergeCell ref="AB366:AD366"/>
    <mergeCell ref="O297:Q297"/>
    <mergeCell ref="O335:Q335"/>
    <mergeCell ref="R336:T336"/>
    <mergeCell ref="G340:I340"/>
    <mergeCell ref="AB351:AD351"/>
    <mergeCell ref="W321:AA321"/>
    <mergeCell ref="W315:AA315"/>
    <mergeCell ref="W404:AA404"/>
    <mergeCell ref="G366:I366"/>
    <mergeCell ref="W323:AA323"/>
    <mergeCell ref="C448:F448"/>
    <mergeCell ref="AB384:AD384"/>
    <mergeCell ref="O317:Q317"/>
    <mergeCell ref="G391:I391"/>
    <mergeCell ref="AB378:AD378"/>
    <mergeCell ref="M289:N289"/>
    <mergeCell ref="D260:E260"/>
    <mergeCell ref="C439:F439"/>
    <mergeCell ref="O325:Q325"/>
    <mergeCell ref="O319:Q319"/>
    <mergeCell ref="W333:AA333"/>
    <mergeCell ref="C405:F405"/>
    <mergeCell ref="K363:L363"/>
    <mergeCell ref="G392:I392"/>
    <mergeCell ref="AB379:AD379"/>
    <mergeCell ref="G386:I386"/>
    <mergeCell ref="K365:L365"/>
    <mergeCell ref="G394:I394"/>
    <mergeCell ref="AB381:AD381"/>
    <mergeCell ref="W334:AA334"/>
    <mergeCell ref="M315:N315"/>
    <mergeCell ref="M429:N429"/>
    <mergeCell ref="AB437:AD437"/>
    <mergeCell ref="L30:M30"/>
    <mergeCell ref="G321:I321"/>
    <mergeCell ref="R400:T400"/>
    <mergeCell ref="M335:N335"/>
    <mergeCell ref="AB397:AD397"/>
    <mergeCell ref="G404:I404"/>
    <mergeCell ref="AB432:AD432"/>
    <mergeCell ref="R408:T408"/>
    <mergeCell ref="C373:F373"/>
    <mergeCell ref="R402:T402"/>
    <mergeCell ref="AB309:AD309"/>
    <mergeCell ref="M322:N322"/>
    <mergeCell ref="G316:I316"/>
    <mergeCell ref="U284:V284"/>
    <mergeCell ref="W387:AA387"/>
    <mergeCell ref="G405:I405"/>
    <mergeCell ref="M324:N324"/>
    <mergeCell ref="M351:N351"/>
    <mergeCell ref="U286:V286"/>
    <mergeCell ref="U408:V408"/>
    <mergeCell ref="C360:F360"/>
    <mergeCell ref="U279:V279"/>
    <mergeCell ref="M353:N353"/>
    <mergeCell ref="U410:V410"/>
    <mergeCell ref="R434:T434"/>
    <mergeCell ref="R428:T428"/>
    <mergeCell ref="K290:L290"/>
    <mergeCell ref="AB450:AD450"/>
    <mergeCell ref="C355:F355"/>
    <mergeCell ref="M319:N319"/>
    <mergeCell ref="U281:V281"/>
    <mergeCell ref="C391:F391"/>
    <mergeCell ref="O302:Q302"/>
    <mergeCell ref="R436:T436"/>
    <mergeCell ref="G334:I334"/>
    <mergeCell ref="M354:N354"/>
    <mergeCell ref="C357:F357"/>
    <mergeCell ref="O418:Q418"/>
    <mergeCell ref="K321:L321"/>
    <mergeCell ref="AB452:AD452"/>
    <mergeCell ref="AB451:AD451"/>
    <mergeCell ref="AB445:AD445"/>
    <mergeCell ref="G336:I336"/>
    <mergeCell ref="O420:Q420"/>
    <mergeCell ref="C386:F386"/>
    <mergeCell ref="K323:L323"/>
    <mergeCell ref="K279:L279"/>
    <mergeCell ref="M379:N379"/>
    <mergeCell ref="U339:V339"/>
    <mergeCell ref="W400:AA400"/>
    <mergeCell ref="M381:N381"/>
    <mergeCell ref="K308:L308"/>
    <mergeCell ref="G331:I331"/>
    <mergeCell ref="K274:L274"/>
    <mergeCell ref="W402:AA402"/>
    <mergeCell ref="W401:AA401"/>
    <mergeCell ref="O349:Q349"/>
    <mergeCell ref="R447:T447"/>
    <mergeCell ref="M338:N338"/>
    <mergeCell ref="K305:L305"/>
    <mergeCell ref="O321:Q321"/>
    <mergeCell ref="O315:Q315"/>
    <mergeCell ref="W426:AA426"/>
    <mergeCell ref="K334:L334"/>
    <mergeCell ref="G357:I357"/>
    <mergeCell ref="O344:Q344"/>
    <mergeCell ref="W428:AA428"/>
    <mergeCell ref="K300:L300"/>
    <mergeCell ref="O316:Q316"/>
    <mergeCell ref="K361:L361"/>
    <mergeCell ref="K336:L336"/>
    <mergeCell ref="U352:V352"/>
    <mergeCell ref="U351:V351"/>
    <mergeCell ref="M425:N425"/>
    <mergeCell ref="E255:E256"/>
    <mergeCell ref="U353:V353"/>
    <mergeCell ref="M427:N427"/>
    <mergeCell ref="W456:AA456"/>
    <mergeCell ref="M306:N306"/>
    <mergeCell ref="R371:T371"/>
    <mergeCell ref="O326:Q326"/>
    <mergeCell ref="M420:N420"/>
    <mergeCell ref="O334:Q334"/>
    <mergeCell ref="L27:M27"/>
    <mergeCell ref="O364:Q364"/>
    <mergeCell ref="M451:N451"/>
    <mergeCell ref="G401:I401"/>
    <mergeCell ref="M295:N295"/>
    <mergeCell ref="U379:V379"/>
    <mergeCell ref="M453:N453"/>
    <mergeCell ref="AB390:AD390"/>
    <mergeCell ref="G403:I403"/>
    <mergeCell ref="M446:N446"/>
    <mergeCell ref="U406:V406"/>
    <mergeCell ref="U381:V381"/>
    <mergeCell ref="B157:B158"/>
    <mergeCell ref="G432:I432"/>
    <mergeCell ref="AB421:AD421"/>
    <mergeCell ref="G428:I428"/>
    <mergeCell ref="M448:N448"/>
    <mergeCell ref="L45:M45"/>
    <mergeCell ref="R432:T432"/>
    <mergeCell ref="AB414:AD414"/>
    <mergeCell ref="O362:Q362"/>
    <mergeCell ref="L38:M38"/>
    <mergeCell ref="C302:F302"/>
    <mergeCell ref="G429:I429"/>
    <mergeCell ref="AB416:AD416"/>
    <mergeCell ref="O385:Q385"/>
    <mergeCell ref="L40:M40"/>
    <mergeCell ref="G421:I421"/>
    <mergeCell ref="H249:I249"/>
    <mergeCell ref="U432:V432"/>
    <mergeCell ref="R427:T427"/>
    <mergeCell ref="K408:L408"/>
    <mergeCell ref="G300:I300"/>
    <mergeCell ref="K402:L402"/>
    <mergeCell ref="G431:I431"/>
    <mergeCell ref="W371:AA371"/>
    <mergeCell ref="U303:V303"/>
    <mergeCell ref="M377:N377"/>
    <mergeCell ref="U425:V425"/>
    <mergeCell ref="R443:T443"/>
    <mergeCell ref="G447:I447"/>
    <mergeCell ref="R445:T445"/>
    <mergeCell ref="O444:Q444"/>
    <mergeCell ref="K330:L330"/>
    <mergeCell ref="W424:AA424"/>
    <mergeCell ref="G442:I442"/>
    <mergeCell ref="K332:L332"/>
    <mergeCell ref="U451:V451"/>
    <mergeCell ref="H262:I262"/>
    <mergeCell ref="U445:V445"/>
    <mergeCell ref="K421:L421"/>
    <mergeCell ref="U322:V322"/>
    <mergeCell ref="K456:L456"/>
    <mergeCell ref="M396:N396"/>
    <mergeCell ref="U453:V453"/>
    <mergeCell ref="M390:N390"/>
    <mergeCell ref="W425:AA425"/>
    <mergeCell ref="K327:L327"/>
    <mergeCell ref="M389:N389"/>
    <mergeCell ref="AB305:AD305"/>
    <mergeCell ref="G371:I371"/>
    <mergeCell ref="R280:T280"/>
    <mergeCell ref="M391:N391"/>
    <mergeCell ref="O455:Q455"/>
    <mergeCell ref="C423:F423"/>
    <mergeCell ref="K343:L343"/>
    <mergeCell ref="AB359:AD359"/>
    <mergeCell ref="W443:AA443"/>
    <mergeCell ref="U375:V375"/>
    <mergeCell ref="K345:L345"/>
    <mergeCell ref="U377:V377"/>
    <mergeCell ref="M409:N409"/>
    <mergeCell ref="O386:Q386"/>
    <mergeCell ref="M444:N444"/>
    <mergeCell ref="O352:Q352"/>
    <mergeCell ref="L9:M9"/>
    <mergeCell ref="M404:N404"/>
    <mergeCell ref="K371:L371"/>
    <mergeCell ref="G425:I425"/>
    <mergeCell ref="W279:AA279"/>
    <mergeCell ref="O387:Q387"/>
    <mergeCell ref="O381:Q381"/>
    <mergeCell ref="L11:M11"/>
    <mergeCell ref="AB361:AD361"/>
    <mergeCell ref="O353:Q353"/>
    <mergeCell ref="K398:L398"/>
    <mergeCell ref="U388:V388"/>
    <mergeCell ref="G456:I456"/>
    <mergeCell ref="K399:L399"/>
    <mergeCell ref="U390:V390"/>
    <mergeCell ref="U302:V302"/>
    <mergeCell ref="C284:F284"/>
    <mergeCell ref="O371:Q371"/>
    <mergeCell ref="AB283:AD283"/>
    <mergeCell ref="G438:I438"/>
    <mergeCell ref="AB285:AD285"/>
    <mergeCell ref="O400:Q400"/>
    <mergeCell ref="H258:I258"/>
    <mergeCell ref="U416:V416"/>
    <mergeCell ref="K417:L417"/>
    <mergeCell ref="G440:I440"/>
    <mergeCell ref="K427:L427"/>
    <mergeCell ref="K298:L298"/>
    <mergeCell ref="AB301:AD301"/>
    <mergeCell ref="K412:L412"/>
    <mergeCell ref="C337:F337"/>
    <mergeCell ref="R276:T276"/>
    <mergeCell ref="AB311:AD311"/>
    <mergeCell ref="O451:Q451"/>
    <mergeCell ref="AB303:AD303"/>
    <mergeCell ref="K443:L443"/>
    <mergeCell ref="C339:F339"/>
    <mergeCell ref="C366:F366"/>
    <mergeCell ref="O453:Q453"/>
    <mergeCell ref="O428:Q428"/>
    <mergeCell ref="G309:I309"/>
    <mergeCell ref="K445:L445"/>
    <mergeCell ref="K438:L438"/>
    <mergeCell ref="U454:V454"/>
    <mergeCell ref="J192:J193"/>
    <mergeCell ref="AB322:AD322"/>
    <mergeCell ref="C350:F350"/>
    <mergeCell ref="M343:N343"/>
    <mergeCell ref="AB324:AD324"/>
    <mergeCell ref="K367:L367"/>
    <mergeCell ref="L7:M7"/>
    <mergeCell ref="O290:Q290"/>
    <mergeCell ref="K369:L369"/>
    <mergeCell ref="R322:T322"/>
    <mergeCell ref="U359:V359"/>
    <mergeCell ref="M433:N433"/>
    <mergeCell ref="W281:AA281"/>
    <mergeCell ref="K364:L364"/>
    <mergeCell ref="M426:N426"/>
    <mergeCell ref="R351:T351"/>
    <mergeCell ref="R317:T317"/>
    <mergeCell ref="M428:N428"/>
    <mergeCell ref="R353:T353"/>
    <mergeCell ref="C280:F280"/>
    <mergeCell ref="C274:F274"/>
    <mergeCell ref="C282:F282"/>
    <mergeCell ref="AB272:AD272"/>
    <mergeCell ref="R406:T406"/>
    <mergeCell ref="G279:I279"/>
    <mergeCell ref="C308:F308"/>
    <mergeCell ref="R283:T283"/>
    <mergeCell ref="R277:T277"/>
    <mergeCell ref="AB396:AD396"/>
    <mergeCell ref="G281:I281"/>
    <mergeCell ref="C310:F310"/>
    <mergeCell ref="K439:L439"/>
    <mergeCell ref="F253:F254"/>
    <mergeCell ref="G280:I280"/>
    <mergeCell ref="G274:I274"/>
    <mergeCell ref="AB398:AD398"/>
    <mergeCell ref="K441:L441"/>
    <mergeCell ref="W351:AA351"/>
    <mergeCell ref="U283:V283"/>
    <mergeCell ref="R278:T278"/>
    <mergeCell ref="M288:N288"/>
    <mergeCell ref="G282:I282"/>
    <mergeCell ref="K434:L434"/>
    <mergeCell ref="W353:AA353"/>
    <mergeCell ref="U285:V285"/>
    <mergeCell ref="AB325:AD325"/>
    <mergeCell ref="K436:L436"/>
    <mergeCell ref="R425:T425"/>
    <mergeCell ref="R419:T419"/>
    <mergeCell ref="C346:F346"/>
    <mergeCell ref="AB320:AD320"/>
    <mergeCell ref="R418:T418"/>
    <mergeCell ref="AB409:AD409"/>
    <mergeCell ref="C348:F348"/>
    <mergeCell ref="G335:I335"/>
    <mergeCell ref="W275:AA275"/>
    <mergeCell ref="W406:AA406"/>
    <mergeCell ref="K454:L454"/>
    <mergeCell ref="U296:V296"/>
    <mergeCell ref="M370:N370"/>
    <mergeCell ref="W399:AA399"/>
    <mergeCell ref="W277:AA277"/>
    <mergeCell ref="C372:F372"/>
    <mergeCell ref="AB323:AD323"/>
    <mergeCell ref="W276:AA276"/>
    <mergeCell ref="R347:T347"/>
    <mergeCell ref="K449:L449"/>
    <mergeCell ref="G351:I351"/>
    <mergeCell ref="AB338:AD338"/>
    <mergeCell ref="C374:F374"/>
    <mergeCell ref="C401:F401"/>
    <mergeCell ref="R288:T288"/>
    <mergeCell ref="R349:T349"/>
    <mergeCell ref="R324:T324"/>
    <mergeCell ref="O279:Q279"/>
    <mergeCell ref="AB340:AD340"/>
    <mergeCell ref="C403:F403"/>
    <mergeCell ref="G346:I346"/>
    <mergeCell ref="AB333:AD333"/>
    <mergeCell ref="O281:Q281"/>
    <mergeCell ref="W417:AA417"/>
    <mergeCell ref="G348:I348"/>
    <mergeCell ref="W419:AA419"/>
    <mergeCell ref="R375:T375"/>
    <mergeCell ref="W418:AA418"/>
    <mergeCell ref="E157:E158"/>
    <mergeCell ref="R377:T377"/>
    <mergeCell ref="C421:F421"/>
    <mergeCell ref="O332:Q332"/>
    <mergeCell ref="R370:T370"/>
    <mergeCell ref="AB392:AD392"/>
    <mergeCell ref="AB367:AD367"/>
    <mergeCell ref="C306:F306"/>
    <mergeCell ref="R362:T362"/>
    <mergeCell ref="O361:Q361"/>
    <mergeCell ref="G276:I276"/>
    <mergeCell ref="C416:F416"/>
    <mergeCell ref="AB394:AD394"/>
    <mergeCell ref="W347:AA347"/>
    <mergeCell ref="C335:F335"/>
    <mergeCell ref="W322:AA322"/>
    <mergeCell ref="G278:I278"/>
    <mergeCell ref="U368:V368"/>
    <mergeCell ref="W288:AA288"/>
    <mergeCell ref="C447:F447"/>
    <mergeCell ref="W349:AA349"/>
    <mergeCell ref="M321:N321"/>
    <mergeCell ref="W342:AA342"/>
    <mergeCell ref="R388:T388"/>
    <mergeCell ref="M323:N323"/>
    <mergeCell ref="M279:N279"/>
    <mergeCell ref="W344:AA344"/>
    <mergeCell ref="O351:Q351"/>
    <mergeCell ref="R390:T390"/>
    <mergeCell ref="C317:F317"/>
    <mergeCell ref="M281:N281"/>
    <mergeCell ref="O345:Q345"/>
    <mergeCell ref="G419:I419"/>
    <mergeCell ref="G418:I418"/>
    <mergeCell ref="W375:AA375"/>
    <mergeCell ref="AB405:AD405"/>
    <mergeCell ref="O380:Q380"/>
    <mergeCell ref="C319:F319"/>
    <mergeCell ref="K277:L277"/>
    <mergeCell ref="AB293:AD293"/>
    <mergeCell ref="G306:I306"/>
    <mergeCell ref="W368:AA368"/>
    <mergeCell ref="O346:Q346"/>
    <mergeCell ref="G420:I420"/>
    <mergeCell ref="AB407:AD407"/>
    <mergeCell ref="M305:N305"/>
    <mergeCell ref="M341:N341"/>
    <mergeCell ref="G291:I291"/>
    <mergeCell ref="W370:AA370"/>
    <mergeCell ref="M307:N307"/>
    <mergeCell ref="W362:AA362"/>
    <mergeCell ref="U294:V294"/>
    <mergeCell ref="R289:T289"/>
    <mergeCell ref="R318:T318"/>
    <mergeCell ref="R320:T320"/>
    <mergeCell ref="R314:T314"/>
    <mergeCell ref="O275:Q275"/>
    <mergeCell ref="AB433:AD433"/>
    <mergeCell ref="C399:F399"/>
    <mergeCell ref="R286:T286"/>
    <mergeCell ref="R444:T444"/>
    <mergeCell ref="G342:I342"/>
    <mergeCell ref="G317:I317"/>
    <mergeCell ref="O277:Q277"/>
    <mergeCell ref="K419:L419"/>
    <mergeCell ref="AB435:AD435"/>
    <mergeCell ref="W388:AA388"/>
    <mergeCell ref="R315:T315"/>
    <mergeCell ref="O276:Q276"/>
    <mergeCell ref="G344:I344"/>
    <mergeCell ref="G319:I319"/>
    <mergeCell ref="W390:AA390"/>
    <mergeCell ref="W383:AA383"/>
    <mergeCell ref="R373:T373"/>
    <mergeCell ref="O303:Q303"/>
    <mergeCell ref="W410:AA410"/>
    <mergeCell ref="C389:F389"/>
    <mergeCell ref="K347:L347"/>
    <mergeCell ref="AB357:AD357"/>
    <mergeCell ref="G370:I370"/>
    <mergeCell ref="R333:T333"/>
    <mergeCell ref="R455:T455"/>
    <mergeCell ref="O288:Q288"/>
    <mergeCell ref="W441:AA441"/>
    <mergeCell ref="C418:F418"/>
    <mergeCell ref="D157:D158"/>
    <mergeCell ref="C412:F412"/>
    <mergeCell ref="O304:Q304"/>
    <mergeCell ref="AB365:AD365"/>
    <mergeCell ref="O298:Q298"/>
    <mergeCell ref="W318:AA318"/>
    <mergeCell ref="G355:I355"/>
    <mergeCell ref="W312:AA312"/>
    <mergeCell ref="K342:L342"/>
    <mergeCell ref="U333:V333"/>
    <mergeCell ref="C443:F443"/>
    <mergeCell ref="M407:N407"/>
    <mergeCell ref="W436:AA436"/>
    <mergeCell ref="W314:AA314"/>
    <mergeCell ref="K344:L344"/>
    <mergeCell ref="AB360:AD360"/>
    <mergeCell ref="U366:V366"/>
    <mergeCell ref="U341:V341"/>
    <mergeCell ref="W313:AA313"/>
    <mergeCell ref="W444:AA444"/>
    <mergeCell ref="R384:T384"/>
    <mergeCell ref="L13:M13"/>
    <mergeCell ref="G388:I388"/>
    <mergeCell ref="M408:N408"/>
    <mergeCell ref="C438:F438"/>
    <mergeCell ref="M402:N402"/>
    <mergeCell ref="R386:T386"/>
    <mergeCell ref="L15:M15"/>
    <mergeCell ref="C446:F446"/>
    <mergeCell ref="M410:N410"/>
    <mergeCell ref="C440:F440"/>
    <mergeCell ref="G389:I389"/>
    <mergeCell ref="AB376:AD376"/>
    <mergeCell ref="G383:I383"/>
    <mergeCell ref="U392:V392"/>
    <mergeCell ref="K326:L326"/>
    <mergeCell ref="W454:AA454"/>
    <mergeCell ref="R387:T387"/>
    <mergeCell ref="O342:Q342"/>
    <mergeCell ref="K362:L362"/>
    <mergeCell ref="G385:I385"/>
    <mergeCell ref="M301:N301"/>
    <mergeCell ref="M337:N337"/>
    <mergeCell ref="U394:V394"/>
    <mergeCell ref="W366:AA366"/>
    <mergeCell ref="M309:N309"/>
    <mergeCell ref="M303:N303"/>
    <mergeCell ref="M330:N330"/>
    <mergeCell ref="W455:AA455"/>
    <mergeCell ref="U387:V387"/>
    <mergeCell ref="W326:AA326"/>
    <mergeCell ref="R397:T397"/>
    <mergeCell ref="M332:N332"/>
    <mergeCell ref="C430:F430"/>
    <mergeCell ref="O368:Q368"/>
    <mergeCell ref="M304:N304"/>
    <mergeCell ref="AB429:AD429"/>
    <mergeCell ref="L53:M53"/>
    <mergeCell ref="L28:M28"/>
    <mergeCell ref="H260:K260"/>
    <mergeCell ref="G313:I313"/>
    <mergeCell ref="AB431:AD431"/>
    <mergeCell ref="W384:AA384"/>
    <mergeCell ref="K292:L292"/>
    <mergeCell ref="G315:I315"/>
    <mergeCell ref="U405:V405"/>
    <mergeCell ref="W386:AA386"/>
    <mergeCell ref="H257:I257"/>
    <mergeCell ref="M350:N350"/>
    <mergeCell ref="U407:V407"/>
    <mergeCell ref="W379:AA379"/>
    <mergeCell ref="K287:L287"/>
    <mergeCell ref="M352:N352"/>
    <mergeCell ref="W381:AA381"/>
    <mergeCell ref="O388:Q388"/>
    <mergeCell ref="K289:L289"/>
    <mergeCell ref="M345:N345"/>
    <mergeCell ref="R451:T451"/>
    <mergeCell ref="O328:Q328"/>
    <mergeCell ref="G455:I455"/>
    <mergeCell ref="AB442:AD442"/>
    <mergeCell ref="AB302:AD302"/>
    <mergeCell ref="O417:Q417"/>
    <mergeCell ref="O294:Q294"/>
    <mergeCell ref="M376:N376"/>
    <mergeCell ref="R453:T453"/>
    <mergeCell ref="G326:I326"/>
    <mergeCell ref="O383:Q383"/>
    <mergeCell ref="K313:L313"/>
    <mergeCell ref="O419:Q419"/>
    <mergeCell ref="C385:F385"/>
    <mergeCell ref="W397:AA397"/>
    <mergeCell ref="M378:N378"/>
    <mergeCell ref="K315:L315"/>
    <mergeCell ref="U337:V337"/>
    <mergeCell ref="M371:N371"/>
    <mergeCell ref="U331:V331"/>
    <mergeCell ref="C354:F354"/>
    <mergeCell ref="O318:Q318"/>
    <mergeCell ref="O312:Q312"/>
    <mergeCell ref="U332:V332"/>
    <mergeCell ref="M406:N406"/>
    <mergeCell ref="C436:F436"/>
    <mergeCell ref="G379:I379"/>
    <mergeCell ref="O314:Q314"/>
    <mergeCell ref="C444:F444"/>
    <mergeCell ref="O313:Q313"/>
    <mergeCell ref="R352:T352"/>
    <mergeCell ref="G387:I387"/>
    <mergeCell ref="L6:M6"/>
    <mergeCell ref="G381:I381"/>
    <mergeCell ref="K360:L360"/>
    <mergeCell ref="M422:N422"/>
    <mergeCell ref="W451:AA451"/>
    <mergeCell ref="M432:N432"/>
    <mergeCell ref="K353:L353"/>
    <mergeCell ref="U350:V350"/>
    <mergeCell ref="W453:AA453"/>
    <mergeCell ref="M417:N417"/>
    <mergeCell ref="O369:Q369"/>
    <mergeCell ref="L24:M24"/>
    <mergeCell ref="L18:M18"/>
    <mergeCell ref="C455:F455"/>
    <mergeCell ref="M419:N419"/>
    <mergeCell ref="C449:F449"/>
    <mergeCell ref="L26:M26"/>
    <mergeCell ref="U401:V401"/>
    <mergeCell ref="U376:V376"/>
    <mergeCell ref="G444:I444"/>
    <mergeCell ref="K387:L387"/>
    <mergeCell ref="K381:L381"/>
    <mergeCell ref="M443:N443"/>
    <mergeCell ref="U403:V403"/>
    <mergeCell ref="U378:V378"/>
    <mergeCell ref="M445:N445"/>
    <mergeCell ref="C297:F297"/>
    <mergeCell ref="W352:AA352"/>
    <mergeCell ref="R423:T423"/>
    <mergeCell ref="C299:F299"/>
    <mergeCell ref="K397:L397"/>
    <mergeCell ref="G426:I426"/>
    <mergeCell ref="AB273:AD273"/>
    <mergeCell ref="O413:Q413"/>
    <mergeCell ref="L37:M37"/>
    <mergeCell ref="U429:V429"/>
    <mergeCell ref="C292:F292"/>
    <mergeCell ref="R424:T424"/>
    <mergeCell ref="O415:Q415"/>
    <mergeCell ref="U300:V300"/>
    <mergeCell ref="U431:V431"/>
    <mergeCell ref="U414:V414"/>
    <mergeCell ref="K311:L311"/>
    <mergeCell ref="H266:I266"/>
    <mergeCell ref="M367:N367"/>
    <mergeCell ref="U424:V424"/>
    <mergeCell ref="K425:L425"/>
    <mergeCell ref="K400:L400"/>
    <mergeCell ref="O410:Q410"/>
    <mergeCell ref="U301:V301"/>
    <mergeCell ref="M375:N375"/>
    <mergeCell ref="M369:N369"/>
    <mergeCell ref="R294:T294"/>
    <mergeCell ref="O441:Q441"/>
    <mergeCell ref="AB284:AD284"/>
    <mergeCell ref="O434:Q434"/>
    <mergeCell ref="O426:Q426"/>
    <mergeCell ref="AB286:AD286"/>
    <mergeCell ref="K329:L329"/>
    <mergeCell ref="K451:L451"/>
    <mergeCell ref="G352:I352"/>
    <mergeCell ref="U442:V442"/>
    <mergeCell ref="O436:Q436"/>
    <mergeCell ref="K295:L295"/>
    <mergeCell ref="K322:L322"/>
    <mergeCell ref="K453:L453"/>
    <mergeCell ref="M359:N359"/>
    <mergeCell ref="K324:L324"/>
    <mergeCell ref="U443:V443"/>
    <mergeCell ref="C363:F363"/>
    <mergeCell ref="M388:N388"/>
    <mergeCell ref="R313:T313"/>
    <mergeCell ref="R279:T279"/>
    <mergeCell ref="AB339:AD339"/>
    <mergeCell ref="O454:Q454"/>
    <mergeCell ref="W292:AA292"/>
    <mergeCell ref="R281:T281"/>
    <mergeCell ref="U372:V372"/>
    <mergeCell ref="W294:AA294"/>
    <mergeCell ref="K377:L377"/>
    <mergeCell ref="M439:N439"/>
    <mergeCell ref="W287:AA287"/>
    <mergeCell ref="U374:V374"/>
    <mergeCell ref="M441:N441"/>
    <mergeCell ref="W289:AA289"/>
    <mergeCell ref="R366:T366"/>
    <mergeCell ref="U369:V369"/>
    <mergeCell ref="AB350:AD350"/>
    <mergeCell ref="O384:Q384"/>
    <mergeCell ref="R361:T361"/>
    <mergeCell ref="AB358:AD358"/>
    <mergeCell ref="O350:Q350"/>
    <mergeCell ref="G424:I424"/>
    <mergeCell ref="C290:F290"/>
    <mergeCell ref="M283:N283"/>
    <mergeCell ref="O379:Q379"/>
    <mergeCell ref="G453:I453"/>
    <mergeCell ref="K396:L396"/>
    <mergeCell ref="U456:V456"/>
    <mergeCell ref="K390:L390"/>
    <mergeCell ref="C321:F321"/>
    <mergeCell ref="C404:F404"/>
    <mergeCell ref="M454:N454"/>
    <mergeCell ref="AB280:AD280"/>
    <mergeCell ref="AB411:AD411"/>
    <mergeCell ref="C316:F316"/>
    <mergeCell ref="K423:L423"/>
    <mergeCell ref="AB282:AD282"/>
    <mergeCell ref="O432:Q432"/>
    <mergeCell ref="K414:L414"/>
    <mergeCell ref="AB406:AD406"/>
    <mergeCell ref="R405:T405"/>
    <mergeCell ref="G290:I290"/>
    <mergeCell ref="U439:V439"/>
    <mergeCell ref="H250:I250"/>
    <mergeCell ref="W361:AA361"/>
    <mergeCell ref="K409:L409"/>
    <mergeCell ref="C334:F334"/>
    <mergeCell ref="AB308:AD308"/>
    <mergeCell ref="U441:V441"/>
    <mergeCell ref="R309:T309"/>
    <mergeCell ref="M297:N297"/>
    <mergeCell ref="AB422:AD422"/>
    <mergeCell ref="C336:F336"/>
    <mergeCell ref="R275:T275"/>
    <mergeCell ref="AB335:AD335"/>
    <mergeCell ref="O450:Q450"/>
    <mergeCell ref="AB310:AD310"/>
    <mergeCell ref="C329:F329"/>
    <mergeCell ref="C365:F365"/>
    <mergeCell ref="R304:T304"/>
    <mergeCell ref="O452:Q452"/>
    <mergeCell ref="C157:C158"/>
    <mergeCell ref="C331:F331"/>
    <mergeCell ref="C362:F362"/>
    <mergeCell ref="R301:T301"/>
    <mergeCell ref="W285:AA285"/>
    <mergeCell ref="O292:Q292"/>
    <mergeCell ref="R330:T330"/>
    <mergeCell ref="R332:T332"/>
    <mergeCell ref="AB354:AD354"/>
    <mergeCell ref="O287:Q287"/>
    <mergeCell ref="G361:I361"/>
    <mergeCell ref="AB348:AD348"/>
    <mergeCell ref="O289:Q289"/>
    <mergeCell ref="K359:L359"/>
    <mergeCell ref="AB349:AD349"/>
    <mergeCell ref="C400:F400"/>
    <mergeCell ref="AB380:AD380"/>
    <mergeCell ref="W304:AA304"/>
    <mergeCell ref="M285:N285"/>
    <mergeCell ref="R350:T350"/>
    <mergeCell ref="C429:F429"/>
    <mergeCell ref="R343:T343"/>
    <mergeCell ref="W329:AA329"/>
    <mergeCell ref="C437:F437"/>
    <mergeCell ref="AB375:AD375"/>
    <mergeCell ref="R345:T345"/>
    <mergeCell ref="W331:AA331"/>
    <mergeCell ref="AB377:AD377"/>
    <mergeCell ref="W330:AA330"/>
    <mergeCell ref="W332:AA332"/>
    <mergeCell ref="D192:D193"/>
    <mergeCell ref="R403:T403"/>
    <mergeCell ref="C305:F305"/>
    <mergeCell ref="O333:Q333"/>
    <mergeCell ref="AB393:AD393"/>
    <mergeCell ref="G400:I400"/>
    <mergeCell ref="AB306:AD306"/>
    <mergeCell ref="R398:T398"/>
    <mergeCell ref="AB395:AD395"/>
    <mergeCell ref="C300:F300"/>
    <mergeCell ref="G402:I402"/>
    <mergeCell ref="C361:F361"/>
    <mergeCell ref="U280:V280"/>
    <mergeCell ref="G304:I304"/>
    <mergeCell ref="C327:F327"/>
    <mergeCell ref="O416:Q416"/>
    <mergeCell ref="U282:V282"/>
    <mergeCell ref="K433:L433"/>
    <mergeCell ref="W343:AA343"/>
    <mergeCell ref="U275:V275"/>
    <mergeCell ref="M349:N349"/>
    <mergeCell ref="R414:T414"/>
    <mergeCell ref="AB446:AD446"/>
    <mergeCell ref="K435:L435"/>
    <mergeCell ref="W345:AA345"/>
    <mergeCell ref="U277:V277"/>
    <mergeCell ref="C387:F387"/>
    <mergeCell ref="R416:T416"/>
    <mergeCell ref="AB317:AD317"/>
    <mergeCell ref="G330:I330"/>
    <mergeCell ref="C353:F353"/>
    <mergeCell ref="AB448:AD448"/>
    <mergeCell ref="R328:T328"/>
    <mergeCell ref="O283:Q283"/>
    <mergeCell ref="AB319:AD319"/>
    <mergeCell ref="G332:I332"/>
    <mergeCell ref="U422:V422"/>
    <mergeCell ref="R417:T417"/>
    <mergeCell ref="C382:F382"/>
    <mergeCell ref="K275:L275"/>
    <mergeCell ref="AB318:AD318"/>
    <mergeCell ref="O285:Q285"/>
    <mergeCell ref="W396:AA396"/>
    <mergeCell ref="R442:T442"/>
    <mergeCell ref="K304:L304"/>
    <mergeCell ref="M333:N333"/>
    <mergeCell ref="G327:I327"/>
    <mergeCell ref="U295:V295"/>
    <mergeCell ref="W398:AA398"/>
    <mergeCell ref="K306:L306"/>
    <mergeCell ref="C371:F371"/>
    <mergeCell ref="M368:N368"/>
    <mergeCell ref="R346:T346"/>
    <mergeCell ref="M334:N334"/>
    <mergeCell ref="O311:Q311"/>
    <mergeCell ref="G343:I343"/>
    <mergeCell ref="C192:C193"/>
    <mergeCell ref="C402:F402"/>
    <mergeCell ref="W414:AA414"/>
    <mergeCell ref="R341:T341"/>
    <mergeCell ref="G345:I345"/>
    <mergeCell ref="AB373:AD373"/>
    <mergeCell ref="W416:AA416"/>
    <mergeCell ref="K288:L288"/>
    <mergeCell ref="W295:AA295"/>
    <mergeCell ref="U347:V347"/>
    <mergeCell ref="W409:AA409"/>
    <mergeCell ref="W328:AA328"/>
    <mergeCell ref="O329:Q329"/>
    <mergeCell ref="U349:V349"/>
    <mergeCell ref="R367:T367"/>
    <mergeCell ref="AB389:AD389"/>
    <mergeCell ref="F157:J157"/>
    <mergeCell ref="M294:N294"/>
    <mergeCell ref="R359:T359"/>
    <mergeCell ref="R394:T394"/>
    <mergeCell ref="O330:Q330"/>
    <mergeCell ref="R369:T369"/>
    <mergeCell ref="C296:F296"/>
    <mergeCell ref="AB391:AD391"/>
    <mergeCell ref="O324:Q324"/>
    <mergeCell ref="AB385:AD385"/>
    <mergeCell ref="G398:I398"/>
    <mergeCell ref="O360:Q360"/>
    <mergeCell ref="G275:I275"/>
    <mergeCell ref="C298:F298"/>
    <mergeCell ref="G427:I427"/>
    <mergeCell ref="C456:F456"/>
    <mergeCell ref="AB386:AD386"/>
    <mergeCell ref="G399:I399"/>
    <mergeCell ref="U367:V367"/>
    <mergeCell ref="M293:N293"/>
    <mergeCell ref="M320:N320"/>
    <mergeCell ref="M286:N286"/>
    <mergeCell ref="W341:AA341"/>
    <mergeCell ref="U273:V273"/>
    <mergeCell ref="L41:M41"/>
    <mergeCell ref="R293:T293"/>
    <mergeCell ref="AB412:AD412"/>
    <mergeCell ref="R413:T413"/>
    <mergeCell ref="R407:T407"/>
    <mergeCell ref="O343:Q343"/>
    <mergeCell ref="L36:M36"/>
    <mergeCell ref="G417:I417"/>
  </mergeCells>
  <conditionalFormatting sqref="K4:K31 N4:N31 N37:N57">
    <cfRule type="cellIs" priority="9" operator="lessThan" dxfId="8">
      <formula>0</formula>
    </cfRule>
  </conditionalFormatting>
  <conditionalFormatting sqref="B159:I190">
    <cfRule type="expression" priority="8" dxfId="12">
      <formula>MOD(ROW(),2)=0</formula>
    </cfRule>
  </conditionalFormatting>
  <conditionalFormatting sqref="B194:I216">
    <cfRule type="expression" priority="7" dxfId="12">
      <formula>MOD(ROW(),2)=0</formula>
    </cfRule>
  </conditionalFormatting>
  <conditionalFormatting sqref="D4:N5 D6:L6 D7:N7 D8:L8 D9:K31 D37:N51 D52:L52 D53:N57 L9:M11 L12 L13:M13 L14 L15:M16 L17:L18 L19:M19 L20 L21:M22 L23 L24:M26 L27 L28:M29 L30 L31:M31 N5:N31 N52">
    <cfRule type="expression" priority="6" dxfId="11">
      <formula>MOD(ROW(),2)=0</formula>
    </cfRule>
  </conditionalFormatting>
  <conditionalFormatting sqref="K37:K57">
    <cfRule type="cellIs" priority="1" operator="lessThan" dxfId="8">
      <formula>0</formula>
    </cfRule>
    <cfRule type="cellIs" priority="3" operator="lessThan" dxfId="8">
      <formula>0</formula>
    </cfRule>
  </conditionalFormatting>
  <conditionalFormatting sqref="K4:K30">
    <cfRule type="cellIs" priority="2" operator="lessThan" dxfId="8">
      <formula>0</formula>
    </cfRule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E977"/>
  <sheetViews>
    <sheetView showGridLines="0" zoomScale="85" zoomScaleNormal="85" workbookViewId="0">
      <selection activeCell="E166" sqref="E166"/>
    </sheetView>
  </sheetViews>
  <sheetFormatPr baseColWidth="10" defaultRowHeight="12.75"/>
  <cols>
    <col width="11.42578125" customWidth="1" style="232" min="1" max="2"/>
    <col width="12.140625" bestFit="1" customWidth="1" style="232" min="3" max="3"/>
    <col width="36.42578125" bestFit="1" customWidth="1" style="232" min="4" max="4"/>
    <col width="11.42578125" customWidth="1" style="232" min="5" max="5"/>
    <col width="26.85546875" customWidth="1" style="232" min="6" max="6"/>
    <col width="11.85546875" customWidth="1" style="232" min="7" max="7"/>
    <col width="11.42578125" customWidth="1" style="232" min="8" max="9"/>
    <col width="13.7109375" bestFit="1" customWidth="1" style="232" min="10" max="10"/>
    <col width="12" bestFit="1" customWidth="1" style="232" min="11" max="11"/>
    <col width="23.140625" customWidth="1" style="232" min="12" max="12"/>
    <col width="11.42578125" customWidth="1" style="232" min="13" max="16384"/>
  </cols>
  <sheetData>
    <row r="1" ht="13.5" customHeight="1" s="95" thickBot="1"/>
    <row r="2" ht="13.5" customHeight="1" s="95" thickBot="1">
      <c r="B2" s="4" t="n"/>
      <c r="C2" s="9" t="n"/>
      <c r="D2" s="126" t="inlineStr">
        <is>
          <t>PRODUCTOS</t>
        </is>
      </c>
      <c r="E2" s="128" t="inlineStr">
        <is>
          <t>+</t>
        </is>
      </c>
      <c r="F2" s="128" t="inlineStr">
        <is>
          <t>+</t>
        </is>
      </c>
      <c r="G2" s="128" t="inlineStr">
        <is>
          <t>(-)</t>
        </is>
      </c>
      <c r="H2" s="128" t="inlineStr">
        <is>
          <t>(-)</t>
        </is>
      </c>
      <c r="I2" s="128" t="inlineStr">
        <is>
          <t>=</t>
        </is>
      </c>
      <c r="J2" s="128" t="inlineStr">
        <is>
          <t>=</t>
        </is>
      </c>
      <c r="K2" s="128" t="inlineStr">
        <is>
          <t>=</t>
        </is>
      </c>
      <c r="L2" s="296" t="inlineStr">
        <is>
          <t>$</t>
        </is>
      </c>
      <c r="M2" s="297" t="n"/>
      <c r="N2" s="34" t="inlineStr">
        <is>
          <t>$</t>
        </is>
      </c>
      <c r="O2" s="4" t="n"/>
      <c r="P2" s="4" t="n"/>
      <c r="Q2" s="4" t="n"/>
    </row>
    <row r="3" ht="13.5" customHeight="1" s="95" thickBot="1">
      <c r="B3" s="4" t="n"/>
      <c r="C3" s="33" t="n"/>
      <c r="D3" s="298" t="n"/>
      <c r="E3" s="129" t="inlineStr">
        <is>
          <t>Stock Inicial</t>
        </is>
      </c>
      <c r="F3" s="129" t="inlineStr">
        <is>
          <t>Entregas</t>
        </is>
      </c>
      <c r="G3" s="129" t="inlineStr">
        <is>
          <t>Ventas</t>
        </is>
      </c>
      <c r="H3" s="129" t="inlineStr">
        <is>
          <t>Mermas</t>
        </is>
      </c>
      <c r="I3" s="129" t="inlineStr">
        <is>
          <t>Stock Real</t>
        </is>
      </c>
      <c r="J3" s="129" t="inlineStr">
        <is>
          <t>Stock Informado</t>
        </is>
      </c>
      <c r="K3" s="129" t="inlineStr">
        <is>
          <t>Diferencias</t>
        </is>
      </c>
      <c r="L3" s="129" t="inlineStr">
        <is>
          <t>Precio</t>
        </is>
      </c>
      <c r="M3" s="297" t="n"/>
      <c r="N3" s="109" t="inlineStr">
        <is>
          <t>Descuento</t>
        </is>
      </c>
      <c r="O3" s="4" t="n"/>
      <c r="P3" s="4" t="n"/>
      <c r="Q3" s="4" t="n"/>
    </row>
    <row r="4">
      <c r="B4" s="4" t="n"/>
      <c r="C4" s="9" t="n"/>
      <c r="D4" s="103" t="inlineStr">
        <is>
          <t>Atún Steak</t>
        </is>
      </c>
      <c r="E4" s="243" t="n"/>
      <c r="F4" s="104">
        <f>E221</f>
        <v/>
      </c>
      <c r="G4" s="104">
        <f>IFERROR(SUMPRODUCT(($F$66:$F$153="Atún Steak")*$E$66:$E$153*$G$66:$G$153),"Error")</f>
        <v/>
      </c>
      <c r="H4" s="104">
        <f>SUM(F159:J159)</f>
        <v/>
      </c>
      <c r="I4" s="104">
        <f>E4+F4-G4-H4</f>
        <v/>
      </c>
      <c r="J4" s="104">
        <f>E159</f>
        <v/>
      </c>
      <c r="K4" s="105">
        <f>J4-I4</f>
        <v/>
      </c>
      <c r="L4" s="299">
        <f>+'MERMAS S1'!D5</f>
        <v/>
      </c>
      <c r="M4" s="300" t="n"/>
      <c r="N4" s="106">
        <f>IF(K4&lt;0,K4*L4,0)</f>
        <v/>
      </c>
      <c r="O4" s="4" t="n"/>
      <c r="P4" s="4" t="n"/>
      <c r="Q4" s="4" t="n"/>
    </row>
    <row r="5">
      <c r="B5" s="4" t="n"/>
      <c r="C5" s="9" t="n"/>
      <c r="D5" s="49" t="inlineStr">
        <is>
          <t>Atún Trozos</t>
        </is>
      </c>
      <c r="E5" s="244" t="n"/>
      <c r="F5" s="86">
        <f>E222</f>
        <v/>
      </c>
      <c r="G5" s="86">
        <f>IFERROR(SUMPRODUCT(($F$66:$F$153="Atún Trozos")*$E$66:$E$153*$G$66:$G$153),"Error")</f>
        <v/>
      </c>
      <c r="H5" s="86">
        <f>SUM(F160:I160)+SUM(F190:I190)</f>
        <v/>
      </c>
      <c r="I5" s="86">
        <f>E5+F5-G5-H5</f>
        <v/>
      </c>
      <c r="J5" s="86">
        <f>E160+E190</f>
        <v/>
      </c>
      <c r="K5" s="87">
        <f>J5-I5</f>
        <v/>
      </c>
      <c r="L5" s="121">
        <f>+'MERMAS S1'!D6</f>
        <v/>
      </c>
      <c r="M5" s="301" t="n"/>
      <c r="N5" s="36">
        <f>IF(K5&lt;0,K5*L5,0)</f>
        <v/>
      </c>
      <c r="O5" s="4" t="n"/>
      <c r="P5" s="4" t="n"/>
      <c r="Q5" s="4" t="n"/>
    </row>
    <row r="6">
      <c r="B6" s="4" t="n"/>
      <c r="C6" s="9" t="n"/>
      <c r="D6" s="49" t="inlineStr">
        <is>
          <t>Almejas Julianas</t>
        </is>
      </c>
      <c r="E6" s="244" t="n"/>
      <c r="F6" s="86">
        <f>E254</f>
        <v/>
      </c>
      <c r="G6" s="86">
        <f>K254</f>
        <v/>
      </c>
      <c r="H6" s="86">
        <f>SUM(F161:I161)+J254</f>
        <v/>
      </c>
      <c r="I6" s="86">
        <f>E6+F6-G6-H6</f>
        <v/>
      </c>
      <c r="J6" s="86">
        <f>E161</f>
        <v/>
      </c>
      <c r="K6" s="87">
        <f>J6-I6</f>
        <v/>
      </c>
      <c r="L6" s="121">
        <f>+'MERMAS S1'!D7</f>
        <v/>
      </c>
      <c r="M6" s="301" t="n"/>
      <c r="N6" s="36">
        <f>IF(K6&lt;0,K6*L6,0)</f>
        <v/>
      </c>
      <c r="O6" s="4" t="n"/>
      <c r="P6" s="4" t="n"/>
      <c r="Q6" s="4" t="n"/>
    </row>
    <row r="7">
      <c r="A7" s="302" t="n"/>
      <c r="B7" s="4" t="n"/>
      <c r="C7" s="9" t="n"/>
      <c r="D7" s="50" t="inlineStr">
        <is>
          <t>Carpaccio de res</t>
        </is>
      </c>
      <c r="E7" s="244" t="n"/>
      <c r="F7" s="86">
        <f>E223</f>
        <v/>
      </c>
      <c r="G7" s="86">
        <f>IFERROR(SUMPRODUCT(($F$66:$F$153="Carpaccio de res")*$E$66:$E$153*$G$66:$G$153),"Error")</f>
        <v/>
      </c>
      <c r="H7" s="86">
        <f>SUM(F162:I162)</f>
        <v/>
      </c>
      <c r="I7" s="86">
        <f>E7+F7-G7-H7</f>
        <v/>
      </c>
      <c r="J7" s="86">
        <f>E162</f>
        <v/>
      </c>
      <c r="K7" s="87">
        <f>J7-I7</f>
        <v/>
      </c>
      <c r="L7" s="121">
        <f>+'MERMAS S1'!D8</f>
        <v/>
      </c>
      <c r="M7" s="301" t="n"/>
      <c r="N7" s="36">
        <f>IF(K7&lt;0,K7*L7,0)</f>
        <v/>
      </c>
      <c r="O7" s="4" t="n"/>
      <c r="P7" s="4" t="n"/>
      <c r="Q7" s="4" t="n"/>
    </row>
    <row r="8">
      <c r="A8" s="302" t="n"/>
      <c r="B8" s="4" t="n"/>
      <c r="C8" s="9" t="n"/>
      <c r="D8" s="50" t="inlineStr">
        <is>
          <t>Chupe</t>
        </is>
      </c>
      <c r="E8" s="244" t="n"/>
      <c r="F8" s="86">
        <f>H258</f>
        <v/>
      </c>
      <c r="G8" s="86">
        <f>E90</f>
        <v/>
      </c>
      <c r="H8" s="86">
        <f>SUM(F165:I165)</f>
        <v/>
      </c>
      <c r="I8" s="86">
        <f>E8+F8-G8-H8</f>
        <v/>
      </c>
      <c r="J8" s="86">
        <f>E165</f>
        <v/>
      </c>
      <c r="K8" s="87">
        <f>J8-I8</f>
        <v/>
      </c>
      <c r="L8" s="121">
        <f>+'MERMAS S1'!D9</f>
        <v/>
      </c>
      <c r="M8" s="301" t="n"/>
      <c r="N8" s="36">
        <f>IF(K8&lt;0,K8*L8,0)</f>
        <v/>
      </c>
      <c r="O8" s="4" t="n"/>
      <c r="P8" s="4" t="n"/>
      <c r="Q8" s="4" t="n"/>
    </row>
    <row r="9">
      <c r="A9" s="302" t="n"/>
      <c r="B9" s="4" t="n"/>
      <c r="C9" s="9" t="n"/>
      <c r="D9" s="50" t="inlineStr">
        <is>
          <t>Congrio</t>
        </is>
      </c>
      <c r="E9" s="244" t="n"/>
      <c r="F9" s="86">
        <f>E252</f>
        <v/>
      </c>
      <c r="G9" s="86">
        <f>IFERROR(SUMPRODUCT(($F$66:$F$153="Congrio")*$E$66:$E$153*$G$66:$G$153),"Error")</f>
        <v/>
      </c>
      <c r="H9" s="86">
        <f>J252+SUM(F164:I164)</f>
        <v/>
      </c>
      <c r="I9" s="86">
        <f>E9+F9-G9-H9</f>
        <v/>
      </c>
      <c r="J9" s="86">
        <f>E164</f>
        <v/>
      </c>
      <c r="K9" s="87">
        <f>J9-I9</f>
        <v/>
      </c>
      <c r="L9" s="121">
        <f>+'MERMAS S1'!D10</f>
        <v/>
      </c>
      <c r="M9" s="301" t="n"/>
      <c r="N9" s="36">
        <f>IF(K9&lt;0,K9*L9,0)</f>
        <v/>
      </c>
      <c r="O9" s="4" t="n"/>
      <c r="P9" s="4" t="n"/>
      <c r="Q9" s="4" t="n"/>
    </row>
    <row r="10">
      <c r="A10" s="302" t="n"/>
      <c r="B10" s="4" t="n"/>
      <c r="C10" s="9" t="n"/>
      <c r="D10" s="50" t="inlineStr">
        <is>
          <t>Filete despunte</t>
        </is>
      </c>
      <c r="E10" s="244" t="n"/>
      <c r="F10" s="86">
        <f>E255</f>
        <v/>
      </c>
      <c r="G10" s="86">
        <f>K255+K256</f>
        <v/>
      </c>
      <c r="H10" s="86">
        <f>SUM(J255:J256)+SUM(F167:I167)</f>
        <v/>
      </c>
      <c r="I10" s="86">
        <f>E10+F10-G10-H10</f>
        <v/>
      </c>
      <c r="J10" s="86">
        <f>E167</f>
        <v/>
      </c>
      <c r="K10" s="87">
        <f>J10-I10</f>
        <v/>
      </c>
      <c r="L10" s="121">
        <f>+'MERMAS S1'!D11</f>
        <v/>
      </c>
      <c r="M10" s="301" t="n"/>
      <c r="N10" s="36">
        <f>IF(K10&lt;0,K10*L10,0)</f>
        <v/>
      </c>
      <c r="O10" s="4" t="n"/>
      <c r="P10" s="4" t="n"/>
      <c r="Q10" s="4" t="n"/>
    </row>
    <row r="11">
      <c r="A11" s="302" t="n"/>
      <c r="B11" s="4" t="n"/>
      <c r="C11" s="9" t="n"/>
      <c r="D11" s="50" t="inlineStr">
        <is>
          <t>Filete para churrasco</t>
        </is>
      </c>
      <c r="E11" s="244" t="n"/>
      <c r="F11" s="86">
        <f>E226</f>
        <v/>
      </c>
      <c r="G11" s="86">
        <f>IFERROR(SUMPRODUCT(($F$66:$F$153="Filete para churrasco")*$E$66:$E$153*$G$66:$G$153),"Error")</f>
        <v/>
      </c>
      <c r="H11" s="86">
        <f>SUM(F168:I168)</f>
        <v/>
      </c>
      <c r="I11" s="86">
        <f>E11+F11-G11-H11</f>
        <v/>
      </c>
      <c r="J11" s="86">
        <f>E168</f>
        <v/>
      </c>
      <c r="K11" s="87">
        <f>J11-I11</f>
        <v/>
      </c>
      <c r="L11" s="121">
        <f>+'MERMAS S1'!D12</f>
        <v/>
      </c>
      <c r="M11" s="301" t="n"/>
      <c r="N11" s="36">
        <f>IF(K11&lt;0,K11*L11,0)</f>
        <v/>
      </c>
      <c r="O11" s="4" t="n"/>
      <c r="P11" s="4" t="n"/>
      <c r="Q11" s="4" t="n"/>
    </row>
    <row r="12">
      <c r="B12" s="4" t="n"/>
      <c r="C12" s="9" t="n"/>
      <c r="D12" s="50" t="inlineStr">
        <is>
          <t>Filete para crudo</t>
        </is>
      </c>
      <c r="E12" s="244" t="n"/>
      <c r="F12" s="86">
        <f>E227</f>
        <v/>
      </c>
      <c r="G12" s="86">
        <f>IFERROR(SUMPRODUCT(($F$66:$F$153="Filete para crudo")*$E$66:$E$153*$G$66:$G$153),"Error")</f>
        <v/>
      </c>
      <c r="H12" s="86">
        <f>SUM(F169:I169)+SUM(F189:I189)</f>
        <v/>
      </c>
      <c r="I12" s="86">
        <f>E12+F12-G12-H12</f>
        <v/>
      </c>
      <c r="J12" s="86">
        <f>E169
+IFERROR(INDEX($E$159:$E$215,MATCH("Tartar de Res",$D$159:$D$215,0)),0)</f>
        <v/>
      </c>
      <c r="K12" s="87">
        <f>J12-I12</f>
        <v/>
      </c>
      <c r="L12" s="121">
        <f>+'MERMAS S1'!D13</f>
        <v/>
      </c>
      <c r="M12" s="301" t="n"/>
      <c r="N12" s="36">
        <f>IF(K12&lt;0,K12*L12,0)</f>
        <v/>
      </c>
      <c r="O12" s="4" t="n"/>
      <c r="P12" s="4" t="n"/>
      <c r="Q12" s="4" t="n"/>
    </row>
    <row r="13" ht="14.25" customHeight="1" s="95">
      <c r="B13" s="4" t="n"/>
      <c r="C13" s="9" t="n"/>
      <c r="D13" s="50" t="inlineStr">
        <is>
          <t>Filete Salteado</t>
        </is>
      </c>
      <c r="E13" s="244" t="n"/>
      <c r="F13" s="86">
        <f>E228</f>
        <v/>
      </c>
      <c r="G13" s="86">
        <f>IFERROR(SUMPRODUCT(($F$66:$F$153=D13)*$E$66:$E$153*$G$66:$G$153),"Error")</f>
        <v/>
      </c>
      <c r="H13" s="86">
        <f>SUM(F170:I170)</f>
        <v/>
      </c>
      <c r="I13" s="86">
        <f>E13+F13-G13-H13</f>
        <v/>
      </c>
      <c r="J13" s="86">
        <f>E170</f>
        <v/>
      </c>
      <c r="K13" s="87">
        <f>J13-I13</f>
        <v/>
      </c>
      <c r="L13" s="121">
        <f>+'MERMAS S1'!D14</f>
        <v/>
      </c>
      <c r="M13" s="301" t="n"/>
      <c r="N13" s="36">
        <f>IF(K13&lt;0,K13*L13,0)</f>
        <v/>
      </c>
      <c r="O13" s="4" t="n"/>
      <c r="P13" s="4" t="n"/>
      <c r="Q13" s="4" t="n"/>
    </row>
    <row r="14">
      <c r="B14" s="4" t="n"/>
      <c r="C14" s="9" t="n"/>
      <c r="D14" s="50" t="inlineStr">
        <is>
          <t>Ganso</t>
        </is>
      </c>
      <c r="E14" s="244" t="n"/>
      <c r="F14" s="86">
        <f>E229</f>
        <v/>
      </c>
      <c r="G14" s="86">
        <f>IFERROR(SUMPRODUCT(($F$66:$F$153=D14)*$E$66:$E$153*$G$66:$G$153),"Error")</f>
        <v/>
      </c>
      <c r="H14" s="86">
        <f>SUM(F171:I171)+SUM(F180:I180)</f>
        <v/>
      </c>
      <c r="I14" s="86">
        <f>E14+F14-G14-H14</f>
        <v/>
      </c>
      <c r="J14" s="86">
        <f>E171
+IFERROR(INDEX($E$159:$E$215,MATCH("Paila de Carne",$D$159:$D$215,0)),0)</f>
        <v/>
      </c>
      <c r="K14" s="87">
        <f>J14-I14</f>
        <v/>
      </c>
      <c r="L14" s="121">
        <f>+'MERMAS S1'!D15</f>
        <v/>
      </c>
      <c r="M14" s="301" t="n"/>
      <c r="N14" s="36">
        <f>IF(K14&lt;0,K14*L14,0)</f>
        <v/>
      </c>
      <c r="O14" s="4" t="n"/>
      <c r="P14" s="4" t="n"/>
      <c r="Q14" s="4" t="n"/>
    </row>
    <row r="15">
      <c r="B15" s="4" t="n"/>
      <c r="C15" s="9" t="n"/>
      <c r="D15" s="50" t="inlineStr">
        <is>
          <t>Hamburguesas</t>
        </is>
      </c>
      <c r="E15" s="244" t="n"/>
      <c r="F15" s="86">
        <f>E231</f>
        <v/>
      </c>
      <c r="G15" s="86">
        <f>IFERROR(SUMPRODUCT(($F$66:$F$153=D15)*$E$66:$E$153*$G$66:$G$153),"Error")</f>
        <v/>
      </c>
      <c r="H15" s="86">
        <f>SUM(F172:I172)</f>
        <v/>
      </c>
      <c r="I15" s="86">
        <f>E15+F15-G15-H15</f>
        <v/>
      </c>
      <c r="J15" s="86">
        <f>E172</f>
        <v/>
      </c>
      <c r="K15" s="87">
        <f>J15-I15</f>
        <v/>
      </c>
      <c r="L15" s="121">
        <f>+'MERMAS S1'!D16</f>
        <v/>
      </c>
      <c r="M15" s="301" t="n"/>
      <c r="N15" s="36">
        <f>IF(K15&lt;0,K15*L15,0)</f>
        <v/>
      </c>
      <c r="O15" s="4" t="n"/>
      <c r="P15" s="4" t="n"/>
      <c r="Q15" s="4" t="n"/>
    </row>
    <row r="16">
      <c r="B16" s="4" t="n"/>
      <c r="C16" s="9" t="n"/>
      <c r="D16" s="50" t="inlineStr">
        <is>
          <t>Jamón serrano</t>
        </is>
      </c>
      <c r="E16" s="244" t="n"/>
      <c r="F16" s="86">
        <f>E232</f>
        <v/>
      </c>
      <c r="G16" s="86">
        <f>IFERROR(SUMPRODUCT(($F$66:$F$153=D16)*$E$66:$E$153*$G$66:$G$153),"Error")</f>
        <v/>
      </c>
      <c r="H16" s="86">
        <f>SUM(F174:I174)</f>
        <v/>
      </c>
      <c r="I16" s="86">
        <f>E16+F16-G16-H16</f>
        <v/>
      </c>
      <c r="J16" s="86">
        <f>E174</f>
        <v/>
      </c>
      <c r="K16" s="87">
        <f>J16-I16</f>
        <v/>
      </c>
      <c r="L16" s="121">
        <f>+'MERMAS S1'!D17</f>
        <v/>
      </c>
      <c r="M16" s="301" t="n"/>
      <c r="N16" s="36">
        <f>IF(K16&lt;0,K16*L16,0)</f>
        <v/>
      </c>
      <c r="O16" s="4" t="n"/>
      <c r="P16" s="4" t="n"/>
      <c r="Q16" s="4" t="n"/>
    </row>
    <row r="17">
      <c r="B17" s="4" t="n"/>
      <c r="C17" s="9" t="n"/>
      <c r="D17" s="50" t="inlineStr">
        <is>
          <t>Langostinos</t>
        </is>
      </c>
      <c r="E17" s="244" t="n"/>
      <c r="F17" s="86">
        <f>H248</f>
        <v/>
      </c>
      <c r="G17" s="86">
        <f>IFERROR(SUMPRODUCT(($F$66:$F$153=D17)*$E$66:$E$153*$G$66:$G$153),"Error")</f>
        <v/>
      </c>
      <c r="H17" s="86">
        <f>SUM(F173:I173)</f>
        <v/>
      </c>
      <c r="I17" s="86">
        <f>E17+F17-G17-H17</f>
        <v/>
      </c>
      <c r="J17" s="86">
        <f>E173</f>
        <v/>
      </c>
      <c r="K17" s="87">
        <f>J17-I17</f>
        <v/>
      </c>
      <c r="L17" s="121">
        <f>+'MERMAS S1'!D18</f>
        <v/>
      </c>
      <c r="M17" s="301" t="n"/>
      <c r="N17" s="36">
        <f>IF(K17&lt;0,K17*L17,0)</f>
        <v/>
      </c>
      <c r="O17" s="4" t="n"/>
      <c r="P17" s="4" t="n"/>
      <c r="Q17" s="4" t="n"/>
    </row>
    <row r="18">
      <c r="B18" s="4" t="n"/>
      <c r="C18" s="9" t="n"/>
      <c r="D18" s="50" t="inlineStr">
        <is>
          <t>Lasagna de Berenjenas</t>
        </is>
      </c>
      <c r="E18" s="244" t="n"/>
      <c r="F18" s="86">
        <f>H257</f>
        <v/>
      </c>
      <c r="G18" s="86">
        <f>E120</f>
        <v/>
      </c>
      <c r="H18" s="86">
        <f>SUM(F175:I175)</f>
        <v/>
      </c>
      <c r="I18" s="86">
        <f>E18+F18-G18-H18</f>
        <v/>
      </c>
      <c r="J18" s="86">
        <f>E175</f>
        <v/>
      </c>
      <c r="K18" s="87">
        <f>J18-I18</f>
        <v/>
      </c>
      <c r="L18" s="121">
        <f>+'MERMAS S1'!D19</f>
        <v/>
      </c>
      <c r="M18" s="301" t="n"/>
      <c r="N18" s="36">
        <f>IF(K18&lt;0,K18*L18,0)</f>
        <v/>
      </c>
      <c r="O18" s="4" t="n"/>
      <c r="P18" s="4" t="n"/>
      <c r="Q18" s="4" t="n"/>
    </row>
    <row r="19">
      <c r="B19" s="4" t="n"/>
      <c r="C19" s="9" t="n"/>
      <c r="D19" s="50" t="inlineStr">
        <is>
          <t>Locos</t>
        </is>
      </c>
      <c r="E19" s="244" t="n"/>
      <c r="F19" s="86">
        <f>E249</f>
        <v/>
      </c>
      <c r="G19" s="86">
        <f>IFERROR(SUMPRODUCT(($F$66:$F$153=D19)*$E$66:$E$153*$G$66:$G$153),"Error")</f>
        <v/>
      </c>
      <c r="H19" s="86">
        <f>SUM(F177:I177)+J249</f>
        <v/>
      </c>
      <c r="I19" s="86">
        <f>E19+F19-G19-H19</f>
        <v/>
      </c>
      <c r="J19" s="86">
        <f>E177</f>
        <v/>
      </c>
      <c r="K19" s="87">
        <f>J19-I19</f>
        <v/>
      </c>
      <c r="L19" s="121">
        <f>+'MERMAS S1'!D20</f>
        <v/>
      </c>
      <c r="M19" s="301" t="n"/>
      <c r="N19" s="36">
        <f>IF(K19&lt;0,K19*L19,0)</f>
        <v/>
      </c>
      <c r="O19" s="4" t="n"/>
      <c r="P19" s="4" t="n"/>
      <c r="Q19" s="4" t="n"/>
    </row>
    <row r="20">
      <c r="B20" s="4" t="n"/>
      <c r="C20" s="9" t="n"/>
      <c r="D20" s="50" t="inlineStr">
        <is>
          <t>Lomo liso</t>
        </is>
      </c>
      <c r="E20" s="244" t="n"/>
      <c r="F20" s="86">
        <f>E233</f>
        <v/>
      </c>
      <c r="G20" s="86">
        <f>IFERROR(SUMPRODUCT(($F$66:$F$153=D20)*$E$66:$E$153*$G$66:$G$153),"Error")</f>
        <v/>
      </c>
      <c r="H20" s="86">
        <f>SUM(F176:I176)</f>
        <v/>
      </c>
      <c r="I20" s="86">
        <f>E20+F20-G20-H20</f>
        <v/>
      </c>
      <c r="J20" s="86">
        <f>E176</f>
        <v/>
      </c>
      <c r="K20" s="87">
        <f>J20-I20</f>
        <v/>
      </c>
      <c r="L20" s="121">
        <f>+'MERMAS S1'!D21</f>
        <v/>
      </c>
      <c r="M20" s="301" t="n"/>
      <c r="N20" s="36">
        <f>IF(K20&lt;0,K20*L20,0)</f>
        <v/>
      </c>
      <c r="O20" s="4" t="n"/>
      <c r="P20" s="4" t="n"/>
      <c r="Q20" s="4" t="n"/>
    </row>
    <row r="21">
      <c r="B21" s="4" t="n"/>
      <c r="C21" s="9" t="n"/>
      <c r="D21" s="50" t="inlineStr">
        <is>
          <t>Mejillones</t>
        </is>
      </c>
      <c r="E21" s="244" t="n"/>
      <c r="F21" s="86">
        <f>E253</f>
        <v/>
      </c>
      <c r="G21" s="86">
        <f>K253</f>
        <v/>
      </c>
      <c r="H21" s="86">
        <f>J253+SUM(F178:I178)</f>
        <v/>
      </c>
      <c r="I21" s="86">
        <f>E21+F21-G21-H21</f>
        <v/>
      </c>
      <c r="J21" s="86">
        <f>E178</f>
        <v/>
      </c>
      <c r="K21" s="87">
        <f>J21-I21</f>
        <v/>
      </c>
      <c r="L21" s="121">
        <f>+'MERMAS S1'!D22</f>
        <v/>
      </c>
      <c r="M21" s="301" t="n"/>
      <c r="N21" s="36">
        <f>IF(K21&lt;0,K21*L21,0)</f>
        <v/>
      </c>
      <c r="O21" s="4" t="n"/>
      <c r="P21" s="4" t="n"/>
      <c r="Q21" s="4" t="n"/>
    </row>
    <row r="22">
      <c r="B22" s="4" t="n"/>
      <c r="C22" s="9" t="n"/>
      <c r="D22" s="50" t="inlineStr">
        <is>
          <t>Merluza</t>
        </is>
      </c>
      <c r="E22" s="244" t="n"/>
      <c r="F22" s="86">
        <f>E250</f>
        <v/>
      </c>
      <c r="G22" s="86">
        <f>IFERROR(SUMPRODUCT(($F$66:$F$153=D22)*$E$66:$E$153*$G$66:$G$153),"Error")</f>
        <v/>
      </c>
      <c r="H22" s="86">
        <f>SUM(F179:I179)+J250</f>
        <v/>
      </c>
      <c r="I22" s="86">
        <f>E22+F22-G22-H22</f>
        <v/>
      </c>
      <c r="J22" s="86">
        <f>E179</f>
        <v/>
      </c>
      <c r="K22" s="87">
        <f>J22-I22</f>
        <v/>
      </c>
      <c r="L22" s="121">
        <f>+'MERMAS S1'!D23</f>
        <v/>
      </c>
      <c r="M22" s="301" t="n"/>
      <c r="N22" s="36">
        <f>IF(K22&lt;0,K22*L22,0)</f>
        <v/>
      </c>
      <c r="O22" s="4" t="n"/>
      <c r="P22" s="4" t="n"/>
      <c r="Q22" s="4" t="n"/>
    </row>
    <row r="23">
      <c r="B23" s="4" t="n"/>
      <c r="C23" s="30" t="n"/>
      <c r="D23" s="50" t="inlineStr">
        <is>
          <t>Plateada</t>
        </is>
      </c>
      <c r="E23" s="244" t="n"/>
      <c r="F23" s="86">
        <f>E234</f>
        <v/>
      </c>
      <c r="G23" s="86">
        <f>IFERROR(SUMPRODUCT(($F$66:$F$153=D23)*$E$66:$E$153*$G$66:$G$153),"Error")</f>
        <v/>
      </c>
      <c r="H23" s="86">
        <f>SUM(F181:I181)</f>
        <v/>
      </c>
      <c r="I23" s="86">
        <f>E23+F23-G23-H23</f>
        <v/>
      </c>
      <c r="J23" s="86">
        <f>E181</f>
        <v/>
      </c>
      <c r="K23" s="87">
        <f>J23-I23</f>
        <v/>
      </c>
      <c r="L23" s="121">
        <f>+'MERMAS S1'!D24</f>
        <v/>
      </c>
      <c r="M23" s="301" t="n"/>
      <c r="N23" s="36">
        <f>IF(K23&lt;0,K23*L23,0)</f>
        <v/>
      </c>
      <c r="O23" s="4" t="n"/>
      <c r="P23" s="4" t="n"/>
      <c r="Q23" s="4" t="n"/>
    </row>
    <row r="24">
      <c r="B24" s="4" t="n"/>
      <c r="C24" s="30" t="n"/>
      <c r="D24" s="50" t="inlineStr">
        <is>
          <t>Pulpo</t>
        </is>
      </c>
      <c r="E24" s="244" t="n"/>
      <c r="F24" s="86">
        <f>E235</f>
        <v/>
      </c>
      <c r="G24" s="86">
        <f>IFERROR(SUMPRODUCT(($F$66:$F$153=D24)*$E$66:$E$153*$G$66:$G$153),"Error")</f>
        <v/>
      </c>
      <c r="H24" s="86">
        <f>SUM(F182:I182)</f>
        <v/>
      </c>
      <c r="I24" s="86">
        <f>E24+F24-G24-H24</f>
        <v/>
      </c>
      <c r="J24" s="86">
        <f>E182</f>
        <v/>
      </c>
      <c r="K24" s="87">
        <f>J24-I24</f>
        <v/>
      </c>
      <c r="L24" s="121">
        <f>+'MERMAS S1'!D25</f>
        <v/>
      </c>
      <c r="M24" s="301" t="n"/>
      <c r="N24" s="36">
        <f>IF(K24&lt;0,K24*L24,0)</f>
        <v/>
      </c>
      <c r="O24" s="4" t="n"/>
      <c r="P24" s="4" t="n"/>
      <c r="Q24" s="4" t="n"/>
    </row>
    <row r="25">
      <c r="B25" s="4" t="n"/>
      <c r="C25" s="30" t="n"/>
      <c r="D25" s="50" t="inlineStr">
        <is>
          <t>Ragout Lasagna</t>
        </is>
      </c>
      <c r="E25" s="244" t="n"/>
      <c r="F25" s="86">
        <f>H255</f>
        <v/>
      </c>
      <c r="G25" s="86">
        <f>E257</f>
        <v/>
      </c>
      <c r="H25" s="86">
        <f>SUM(F183:I183)+J257</f>
        <v/>
      </c>
      <c r="I25" s="86">
        <f>E25+F25-G25-H25</f>
        <v/>
      </c>
      <c r="J25" s="86">
        <f>E183</f>
        <v/>
      </c>
      <c r="K25" s="87">
        <f>J25-I25</f>
        <v/>
      </c>
      <c r="L25" s="121">
        <f>+'MERMAS S1'!D26</f>
        <v/>
      </c>
      <c r="M25" s="301" t="n"/>
      <c r="N25" s="36">
        <f>IF(K25&lt;0,K25*L25,0)</f>
        <v/>
      </c>
      <c r="O25" s="4" t="n"/>
      <c r="P25" s="4" t="n"/>
      <c r="Q25" s="4" t="n"/>
    </row>
    <row r="26">
      <c r="B26" s="4" t="n"/>
      <c r="C26" s="30" t="n"/>
      <c r="D26" s="50" t="inlineStr">
        <is>
          <t>Ragout Rigatoni</t>
        </is>
      </c>
      <c r="E26" s="244" t="n"/>
      <c r="F26" s="86">
        <f>H256</f>
        <v/>
      </c>
      <c r="G26" s="86">
        <f>E133</f>
        <v/>
      </c>
      <c r="H26" s="86">
        <f>SUM(F184:I184)</f>
        <v/>
      </c>
      <c r="I26" s="86">
        <f>E26+F26-G26-H26</f>
        <v/>
      </c>
      <c r="J26" s="86">
        <f>E184</f>
        <v/>
      </c>
      <c r="K26" s="87">
        <f>J26-I26</f>
        <v/>
      </c>
      <c r="L26" s="121">
        <f>+'MERMAS S1'!D27</f>
        <v/>
      </c>
      <c r="M26" s="301" t="n"/>
      <c r="N26" s="36">
        <f>IF(K26&lt;0,K26*L26,0)</f>
        <v/>
      </c>
      <c r="O26" s="4" t="n"/>
      <c r="P26" s="4" t="n"/>
      <c r="Q26" s="4" t="n"/>
    </row>
    <row r="27">
      <c r="B27" s="4" t="n"/>
      <c r="C27" s="30" t="n"/>
      <c r="D27" s="50" t="inlineStr">
        <is>
          <t>Reineta</t>
        </is>
      </c>
      <c r="E27" s="244" t="n"/>
      <c r="F27" s="86">
        <f>E251</f>
        <v/>
      </c>
      <c r="G27" s="86">
        <f>IFERROR(SUMPRODUCT(($F$66:$F$153=D27)*$E$66:$E$153*$G$66:$G$153),"Error")</f>
        <v/>
      </c>
      <c r="H27" s="86">
        <f>SUM(F163:I163)+J251</f>
        <v/>
      </c>
      <c r="I27" s="86">
        <f>E27+F27-G27-H27</f>
        <v/>
      </c>
      <c r="J27" s="86">
        <f>E163</f>
        <v/>
      </c>
      <c r="K27" s="87">
        <f>J27-I27</f>
        <v/>
      </c>
      <c r="L27" s="121">
        <f>+'MERMAS S1'!D28</f>
        <v/>
      </c>
      <c r="M27" s="301" t="n"/>
      <c r="N27" s="36">
        <f>IF(K27&lt;0,K27*L27,0)</f>
        <v/>
      </c>
      <c r="O27" s="4" t="n"/>
      <c r="P27" s="4" t="n"/>
      <c r="Q27" s="4" t="n"/>
    </row>
    <row r="28">
      <c r="B28" s="4" t="n"/>
      <c r="C28" s="30" t="n"/>
      <c r="D28" s="50" t="inlineStr">
        <is>
          <t>Salmón ahumado en frío</t>
        </is>
      </c>
      <c r="E28" s="244" t="n"/>
      <c r="F28" s="86">
        <f>E258</f>
        <v/>
      </c>
      <c r="G28" s="86">
        <f>K258</f>
        <v/>
      </c>
      <c r="H28" s="86">
        <f>J258</f>
        <v/>
      </c>
      <c r="I28" s="86">
        <f>E28+F28-G28-H28</f>
        <v/>
      </c>
      <c r="J28" s="86">
        <f>E185</f>
        <v/>
      </c>
      <c r="K28" s="87">
        <f>J28-I28</f>
        <v/>
      </c>
      <c r="L28" s="121">
        <f>+'MERMAS S1'!D29</f>
        <v/>
      </c>
      <c r="M28" s="301" t="n"/>
      <c r="N28" s="36">
        <f>IF(K28&lt;0,K28*L28,0)</f>
        <v/>
      </c>
      <c r="O28" s="4" t="n"/>
      <c r="P28" s="4" t="n"/>
      <c r="Q28" s="4" t="n"/>
    </row>
    <row r="29">
      <c r="B29" s="4" t="n"/>
      <c r="C29" s="30" t="n"/>
      <c r="D29" s="50" t="inlineStr">
        <is>
          <t>Salmón ahumado en Caliente</t>
        </is>
      </c>
      <c r="E29" s="244" t="n"/>
      <c r="F29" s="86">
        <f>E237</f>
        <v/>
      </c>
      <c r="G29" s="86">
        <f>IFERROR(SUMPRODUCT(($F$66:$F$153=D29)*$E$66:$E$153*$G$66:$G$153),"Error")</f>
        <v/>
      </c>
      <c r="H29" s="86">
        <f>SUM(F186:I186)</f>
        <v/>
      </c>
      <c r="I29" s="86">
        <f>E29+F29-G29-H29</f>
        <v/>
      </c>
      <c r="J29" s="86">
        <f>E186</f>
        <v/>
      </c>
      <c r="K29" s="87">
        <f>J29-I29</f>
        <v/>
      </c>
      <c r="L29" s="121">
        <f>+'MERMAS S1'!D30</f>
        <v/>
      </c>
      <c r="M29" s="301" t="n"/>
      <c r="N29" s="36">
        <f>IF(K29&lt;0,K29*L29,0)</f>
        <v/>
      </c>
      <c r="O29" s="4" t="n"/>
      <c r="P29" s="4" t="n"/>
      <c r="Q29" s="4" t="n"/>
    </row>
    <row r="30">
      <c r="B30" s="4" t="n"/>
      <c r="C30" s="30" t="n"/>
      <c r="D30" s="50" t="inlineStr">
        <is>
          <t>Salmón cancato</t>
        </is>
      </c>
      <c r="E30" s="244" t="n"/>
      <c r="F30" s="86">
        <f>E238</f>
        <v/>
      </c>
      <c r="G30" s="86">
        <f>IFERROR(SUMPRODUCT(($F$66:$F$153=D30)*$E$66:$E$153*$G$66:$G$153),"Error")</f>
        <v/>
      </c>
      <c r="H30" s="86">
        <f>SUM(F187:I187)</f>
        <v/>
      </c>
      <c r="I30" s="86">
        <f>E30+F30-G30-H30</f>
        <v/>
      </c>
      <c r="J30" s="86">
        <f>E187</f>
        <v/>
      </c>
      <c r="K30" s="87">
        <f>J30-I30</f>
        <v/>
      </c>
      <c r="L30" s="121">
        <f>+'MERMAS S1'!D31</f>
        <v/>
      </c>
      <c r="M30" s="301" t="n"/>
      <c r="N30" s="36">
        <f>IF(K30&lt;0,K30*L30,0)</f>
        <v/>
      </c>
      <c r="O30" s="4" t="n"/>
      <c r="P30" s="4" t="n"/>
      <c r="Q30" s="4" t="n"/>
    </row>
    <row r="31" ht="13.5" customHeight="1" s="95" thickBot="1">
      <c r="B31" s="4" t="n"/>
      <c r="C31" s="30" t="n"/>
      <c r="D31" s="51" t="inlineStr">
        <is>
          <t>Salmón fresco premium</t>
        </is>
      </c>
      <c r="E31" s="245" t="n"/>
      <c r="F31" s="107">
        <f>E239</f>
        <v/>
      </c>
      <c r="G31" s="107">
        <f>IFERROR(SUMPRODUCT(($F$66:$F$153=D31)*$E$66:$E$153*$G$66:$G$153),"Error")</f>
        <v/>
      </c>
      <c r="H31" s="107">
        <f>SUM(F188:I188)</f>
        <v/>
      </c>
      <c r="I31" s="107">
        <f>E31+F31-G31-H31</f>
        <v/>
      </c>
      <c r="J31" s="107">
        <f>E188</f>
        <v/>
      </c>
      <c r="K31" s="108">
        <f>J31-I31</f>
        <v/>
      </c>
      <c r="L31" s="131">
        <f>+'MERMAS S1'!D32</f>
        <v/>
      </c>
      <c r="M31" s="303" t="n"/>
      <c r="N31" s="110">
        <f>IF(K31&lt;0,K31*L31,0)</f>
        <v/>
      </c>
      <c r="O31" s="4" t="n"/>
      <c r="P31" s="4" t="n"/>
      <c r="Q31" s="4" t="n"/>
    </row>
    <row r="32" ht="13.5" customHeight="1" s="95" thickBot="1">
      <c r="B32" s="5" t="n"/>
      <c r="C32" s="6" t="n"/>
      <c r="D32" s="7" t="n"/>
      <c r="E32" s="6" t="n"/>
      <c r="F32" s="6" t="n"/>
      <c r="G32" s="6" t="n"/>
      <c r="H32" s="6" t="n"/>
      <c r="I32" s="8" t="n"/>
      <c r="J32" s="8" t="n"/>
      <c r="K32" s="8" t="n"/>
      <c r="L32" s="9" t="n"/>
      <c r="M32" s="4" t="n"/>
      <c r="N32" s="4" t="n"/>
      <c r="O32" s="4" t="n"/>
      <c r="P32" s="4" t="n"/>
      <c r="Q32" s="4" t="n"/>
    </row>
    <row r="33" ht="13.5" customHeight="1" s="95" thickBot="1">
      <c r="B33" s="5" t="n"/>
      <c r="C33" s="6" t="n"/>
      <c r="D33" s="7" t="n"/>
      <c r="E33" s="6" t="n"/>
      <c r="F33" s="6" t="n"/>
      <c r="G33" s="6" t="n"/>
      <c r="H33" s="10" t="n"/>
      <c r="I33" s="304" t="inlineStr">
        <is>
          <t>DIFERENCIAS PROMEDIO</t>
        </is>
      </c>
      <c r="J33" s="305" t="n"/>
      <c r="K33" s="11">
        <f>SUM(K7:K31)</f>
        <v/>
      </c>
      <c r="L33" s="4" t="n"/>
      <c r="M33" s="12" t="inlineStr">
        <is>
          <t>DCTO. TOTAL</t>
        </is>
      </c>
      <c r="N33" s="13">
        <f>SUM(N7:N31)</f>
        <v/>
      </c>
      <c r="O33" s="4" t="n"/>
      <c r="P33" s="4" t="n"/>
      <c r="Q33" s="4" t="n"/>
    </row>
    <row r="34" ht="13.5" customHeight="1" s="95" thickBot="1">
      <c r="B34" s="5" t="n"/>
      <c r="C34" s="6" t="n"/>
      <c r="D34" s="5" t="n"/>
      <c r="E34" s="6" t="n"/>
      <c r="F34" s="6" t="n"/>
      <c r="G34" s="6" t="n"/>
      <c r="H34" s="6" t="n"/>
      <c r="I34" s="14" t="n"/>
      <c r="J34" s="14" t="n"/>
      <c r="K34" s="14" t="n"/>
      <c r="L34" s="4" t="n"/>
      <c r="M34" s="4" t="n"/>
      <c r="N34" s="4" t="n"/>
      <c r="O34" s="4" t="n"/>
      <c r="P34" s="4" t="n"/>
      <c r="Q34" s="4" t="n"/>
    </row>
    <row r="35" ht="13.5" customHeight="1" s="95" thickBot="1">
      <c r="B35" s="4" t="n"/>
      <c r="C35" s="6" t="n"/>
      <c r="D35" s="37" t="n"/>
      <c r="E35" s="128" t="n"/>
      <c r="F35" s="128" t="inlineStr">
        <is>
          <t>+</t>
        </is>
      </c>
      <c r="G35" s="128" t="inlineStr">
        <is>
          <t>(-)</t>
        </is>
      </c>
      <c r="H35" s="128" t="inlineStr">
        <is>
          <t>(-)</t>
        </is>
      </c>
      <c r="I35" s="128" t="inlineStr">
        <is>
          <t>=</t>
        </is>
      </c>
      <c r="J35" s="128" t="inlineStr">
        <is>
          <t>=</t>
        </is>
      </c>
      <c r="K35" s="128" t="inlineStr">
        <is>
          <t>=</t>
        </is>
      </c>
      <c r="L35" s="296" t="inlineStr">
        <is>
          <t>$</t>
        </is>
      </c>
      <c r="M35" s="297" t="n"/>
      <c r="N35" s="34" t="inlineStr">
        <is>
          <t>$</t>
        </is>
      </c>
      <c r="O35" s="4" t="n"/>
      <c r="P35" s="4" t="n"/>
      <c r="Q35" s="4" t="n"/>
    </row>
    <row r="36" ht="13.5" customHeight="1" s="95" thickBot="1">
      <c r="B36" s="4" t="n"/>
      <c r="C36" s="33" t="n"/>
      <c r="D36" s="162" t="inlineStr">
        <is>
          <t>PRODUCTOS</t>
        </is>
      </c>
      <c r="E36" s="164" t="n"/>
      <c r="F36" s="164" t="inlineStr">
        <is>
          <t>Entregas</t>
        </is>
      </c>
      <c r="G36" s="164" t="inlineStr">
        <is>
          <t>Ventas</t>
        </is>
      </c>
      <c r="H36" s="164" t="inlineStr">
        <is>
          <t>Mermas</t>
        </is>
      </c>
      <c r="I36" s="164" t="inlineStr">
        <is>
          <t>Stock Real</t>
        </is>
      </c>
      <c r="J36" s="164" t="inlineStr">
        <is>
          <t>Stock Informado</t>
        </is>
      </c>
      <c r="K36" s="164" t="inlineStr">
        <is>
          <t>Diferencias</t>
        </is>
      </c>
      <c r="L36" s="164" t="inlineStr">
        <is>
          <t>Precio</t>
        </is>
      </c>
      <c r="M36" s="306" t="n"/>
      <c r="N36" s="165" t="inlineStr">
        <is>
          <t>Descuento</t>
        </is>
      </c>
      <c r="O36" s="4" t="n"/>
      <c r="P36" s="4" t="n"/>
      <c r="Q36" s="4" t="n"/>
    </row>
    <row r="37">
      <c r="B37" s="4" t="n"/>
      <c r="C37" s="30" t="n"/>
      <c r="D37" s="113" t="inlineStr">
        <is>
          <t>Brownie Nutella</t>
        </is>
      </c>
      <c r="E37" s="244" t="n"/>
      <c r="F37" s="86">
        <f>E264</f>
        <v/>
      </c>
      <c r="G37" s="86">
        <f>IFERROR(SUMPRODUCT(($F$66:$F$153=D37)*$E$66:$E$153*$G$66:$G$153),"Error")</f>
        <v/>
      </c>
      <c r="H37" s="86">
        <f>SUM(F194:I194)</f>
        <v/>
      </c>
      <c r="I37" s="86">
        <f>E37+F37-G37-H37</f>
        <v/>
      </c>
      <c r="J37" s="204">
        <f>E194</f>
        <v/>
      </c>
      <c r="K37" s="114">
        <f>J37-I37</f>
        <v/>
      </c>
      <c r="L37" s="125">
        <f>+'MERMAS S1'!D33</f>
        <v/>
      </c>
      <c r="M37" s="307" t="n"/>
      <c r="N37" s="115">
        <f>IF(K37&lt;0,K37*L37,0)</f>
        <v/>
      </c>
      <c r="O37" s="4" t="n"/>
      <c r="P37" s="4" t="n"/>
      <c r="Q37" s="4" t="n"/>
    </row>
    <row r="38">
      <c r="B38" s="4" t="n"/>
      <c r="C38" s="30" t="n"/>
      <c r="D38" s="69" t="inlineStr">
        <is>
          <t>Brownie Vegano</t>
        </is>
      </c>
      <c r="E38" s="244" t="n"/>
      <c r="F38" s="77">
        <f>E265</f>
        <v/>
      </c>
      <c r="G38" s="77">
        <f>IFERROR(SUMPRODUCT(($F$66:$F$153=D38)*$E$66:$E$153*$G$66:$G$153),"Error")</f>
        <v/>
      </c>
      <c r="H38" s="77">
        <f>SUM(F195:I195)</f>
        <v/>
      </c>
      <c r="I38" s="77">
        <f>E38+F38-G38-H38</f>
        <v/>
      </c>
      <c r="J38" s="205">
        <f>E195</f>
        <v/>
      </c>
      <c r="K38" s="88">
        <f>J38-I38</f>
        <v/>
      </c>
      <c r="L38" s="121">
        <f>+'MERMAS S1'!D34</f>
        <v/>
      </c>
      <c r="M38" s="301" t="n"/>
      <c r="N38" s="36">
        <f>IF(K38&lt;0,K38*L38,0)</f>
        <v/>
      </c>
      <c r="O38" s="4" t="n"/>
      <c r="P38" s="4" t="n"/>
      <c r="Q38" s="4" t="n"/>
    </row>
    <row r="39">
      <c r="B39" s="4" t="n"/>
      <c r="C39" s="9" t="n"/>
      <c r="D39" s="69" t="inlineStr">
        <is>
          <t>Cheesecake de Berries</t>
        </is>
      </c>
      <c r="E39" s="244" t="n"/>
      <c r="F39" s="77">
        <f>E262</f>
        <v/>
      </c>
      <c r="G39" s="77">
        <f>IFERROR(SUMPRODUCT(($F$66:$F$153="Cheesecake Berries")*$E$66:$E$153*$G$66:$G$153),"Error")</f>
        <v/>
      </c>
      <c r="H39" s="77">
        <f>SUM(F196:I196)</f>
        <v/>
      </c>
      <c r="I39" s="77">
        <f>E39+F39-G39-H39</f>
        <v/>
      </c>
      <c r="J39" s="205">
        <f>E196</f>
        <v/>
      </c>
      <c r="K39" s="88">
        <f>J39-I39</f>
        <v/>
      </c>
      <c r="L39" s="121">
        <f>+'MERMAS S1'!D35</f>
        <v/>
      </c>
      <c r="M39" s="301" t="n"/>
      <c r="N39" s="36">
        <f>IF(K39&lt;0,K39*L39,0)</f>
        <v/>
      </c>
      <c r="O39" s="4" t="n"/>
      <c r="P39" s="4" t="n"/>
      <c r="Q39" s="4" t="n"/>
    </row>
    <row r="40">
      <c r="B40" s="4" t="n"/>
      <c r="C40" s="30" t="n"/>
      <c r="D40" s="50" t="inlineStr">
        <is>
          <t>Cheesecake de Limón</t>
        </is>
      </c>
      <c r="E40" s="244" t="n"/>
      <c r="F40" s="77">
        <f>E263</f>
        <v/>
      </c>
      <c r="G40" s="77">
        <f>IFERROR(SUMPRODUCT(($F$66:$F$153=D40)*$E$66:$E$153*$G$66:$G$153),"Error")</f>
        <v/>
      </c>
      <c r="H40" s="77">
        <f>SUM(F197:H197)</f>
        <v/>
      </c>
      <c r="I40" s="77">
        <f>E40+F40-G40-H40</f>
        <v/>
      </c>
      <c r="J40" s="205">
        <f>E197</f>
        <v/>
      </c>
      <c r="K40" s="88">
        <f>J40-I40</f>
        <v/>
      </c>
      <c r="L40" s="121">
        <f>+'MERMAS S1'!D36</f>
        <v/>
      </c>
      <c r="M40" s="301" t="n"/>
      <c r="N40" s="36">
        <f>IF(K40&lt;0,K40*L40,0)</f>
        <v/>
      </c>
      <c r="O40" s="4" t="n"/>
      <c r="P40" s="4" t="n"/>
      <c r="Q40" s="4" t="n"/>
    </row>
    <row r="41">
      <c r="B41" s="4" t="n"/>
      <c r="C41" s="30" t="n"/>
      <c r="D41" s="50" t="inlineStr">
        <is>
          <t>Chocolate Blanco</t>
        </is>
      </c>
      <c r="E41" s="244" t="n"/>
      <c r="F41" s="77">
        <f>H262</f>
        <v/>
      </c>
      <c r="G41" s="77">
        <f>J262</f>
        <v/>
      </c>
      <c r="H41" s="77">
        <f>SUM(F198:I198)</f>
        <v/>
      </c>
      <c r="I41" s="77">
        <f>E41+F41-G41-H41</f>
        <v/>
      </c>
      <c r="J41" s="205">
        <f>E198</f>
        <v/>
      </c>
      <c r="K41" s="88">
        <f>J41-I41</f>
        <v/>
      </c>
      <c r="L41" s="121">
        <f>+'MERMAS S1'!D37</f>
        <v/>
      </c>
      <c r="M41" s="301" t="n"/>
      <c r="N41" s="36">
        <f>IF(K41&lt;0,K41*L41,0)</f>
        <v/>
      </c>
      <c r="O41" s="4" t="n"/>
      <c r="P41" s="4" t="n"/>
      <c r="Q41" s="4" t="n"/>
    </row>
    <row r="42">
      <c r="B42" s="4" t="n"/>
      <c r="C42" s="30" t="n"/>
      <c r="D42" s="50" t="inlineStr">
        <is>
          <t>Chocolate Leche</t>
        </is>
      </c>
      <c r="E42" s="244" t="n"/>
      <c r="F42" s="77">
        <f>H263</f>
        <v/>
      </c>
      <c r="G42" s="77">
        <f>J263</f>
        <v/>
      </c>
      <c r="H42" s="77">
        <f>SUM(F199:I199)</f>
        <v/>
      </c>
      <c r="I42" s="77">
        <f>E42+F42-G42-H42</f>
        <v/>
      </c>
      <c r="J42" s="205">
        <f>E199</f>
        <v/>
      </c>
      <c r="K42" s="88">
        <f>J42-I42</f>
        <v/>
      </c>
      <c r="L42" s="121">
        <f>+'MERMAS S1'!D38</f>
        <v/>
      </c>
      <c r="M42" s="301" t="n"/>
      <c r="N42" s="36">
        <f>IF(K42&lt;0,K42*L42,0)</f>
        <v/>
      </c>
      <c r="O42" s="4" t="n"/>
      <c r="P42" s="4" t="n"/>
      <c r="Q42" s="4" t="n"/>
    </row>
    <row r="43">
      <c r="B43" s="4" t="n"/>
      <c r="C43" s="30" t="n"/>
      <c r="D43" s="50" t="inlineStr">
        <is>
          <t>Chocolate Negro</t>
        </is>
      </c>
      <c r="E43" s="244" t="n"/>
      <c r="F43" s="77">
        <f>H264</f>
        <v/>
      </c>
      <c r="G43" s="77">
        <f>J264</f>
        <v/>
      </c>
      <c r="H43" s="77">
        <f>SUM(F200:I200)</f>
        <v/>
      </c>
      <c r="I43" s="77">
        <f>E43+F43-G43-H43</f>
        <v/>
      </c>
      <c r="J43" s="205">
        <f>E200</f>
        <v/>
      </c>
      <c r="K43" s="88">
        <f>J43-I43</f>
        <v/>
      </c>
      <c r="L43" s="121">
        <f>+'MERMAS S1'!D39</f>
        <v/>
      </c>
      <c r="M43" s="301" t="n"/>
      <c r="N43" s="36">
        <f>IF(K43&lt;0,K43*L43,0)</f>
        <v/>
      </c>
      <c r="O43" s="4" t="n"/>
      <c r="P43" s="4" t="n"/>
      <c r="Q43" s="4" t="n"/>
    </row>
    <row r="44">
      <c r="B44" s="4" t="n"/>
      <c r="C44" s="30" t="n"/>
      <c r="D44" s="50" t="inlineStr">
        <is>
          <t>Chocolate Neucober Cobertura</t>
        </is>
      </c>
      <c r="E44" s="244" t="n"/>
      <c r="F44" s="77">
        <f>H265</f>
        <v/>
      </c>
      <c r="G44" s="77">
        <f>J265</f>
        <v/>
      </c>
      <c r="H44" s="77">
        <f>SUM(F201:I201)</f>
        <v/>
      </c>
      <c r="I44" s="77">
        <f>E44+F44-G44-H44</f>
        <v/>
      </c>
      <c r="J44" s="205">
        <f>E201</f>
        <v/>
      </c>
      <c r="K44" s="88">
        <f>J44-I44</f>
        <v/>
      </c>
      <c r="L44" s="121">
        <f>+'MERMAS S1'!D40</f>
        <v/>
      </c>
      <c r="M44" s="301" t="n"/>
      <c r="N44" s="36">
        <f>IF(K44&lt;0,K44*L44,0)</f>
        <v/>
      </c>
      <c r="O44" s="4" t="n"/>
      <c r="P44" s="4" t="n"/>
      <c r="Q44" s="4" t="n"/>
    </row>
    <row r="45">
      <c r="B45" s="4" t="n"/>
      <c r="C45" s="30" t="n"/>
      <c r="D45" s="50" t="inlineStr">
        <is>
          <t>Chocolate Sicao Cobertura</t>
        </is>
      </c>
      <c r="E45" s="244" t="n"/>
      <c r="F45" s="77">
        <f>H266</f>
        <v/>
      </c>
      <c r="G45" s="77">
        <f>J266</f>
        <v/>
      </c>
      <c r="H45" s="77">
        <f>SUM(F202:I202)</f>
        <v/>
      </c>
      <c r="I45" s="77">
        <f>E45+F45-G45-H45</f>
        <v/>
      </c>
      <c r="J45" s="205">
        <f>E202</f>
        <v/>
      </c>
      <c r="K45" s="88">
        <f>J45-I45</f>
        <v/>
      </c>
      <c r="L45" s="121">
        <f>+'MERMAS S1'!D41</f>
        <v/>
      </c>
      <c r="M45" s="301" t="n"/>
      <c r="N45" s="36">
        <f>IF(K45&lt;0,K45*L45,0)</f>
        <v/>
      </c>
      <c r="O45" s="4" t="n"/>
      <c r="P45" s="4" t="n"/>
      <c r="Q45" s="4" t="n"/>
    </row>
    <row r="46">
      <c r="B46" s="4" t="n"/>
      <c r="C46" s="30" t="n"/>
      <c r="D46" s="50" t="inlineStr">
        <is>
          <t>Discos de Chocolate</t>
        </is>
      </c>
      <c r="E46" s="244" t="n"/>
      <c r="F46" s="77">
        <f>E268</f>
        <v/>
      </c>
      <c r="G46" s="77">
        <f>E91</f>
        <v/>
      </c>
      <c r="H46" s="77">
        <f>SUM(F203:I203)</f>
        <v/>
      </c>
      <c r="I46" s="77">
        <f>E46+F46-G46-H46</f>
        <v/>
      </c>
      <c r="J46" s="205">
        <f>E203</f>
        <v/>
      </c>
      <c r="K46" s="88">
        <f>J46-I46</f>
        <v/>
      </c>
      <c r="L46" s="121">
        <f>+'MERMAS S1'!D42</f>
        <v/>
      </c>
      <c r="M46" s="301" t="n"/>
      <c r="N46" s="36">
        <f>IF(K46&lt;0,K46*L46,0)</f>
        <v/>
      </c>
      <c r="O46" s="4" t="n"/>
      <c r="P46" s="4" t="n"/>
      <c r="Q46" s="4" t="n"/>
    </row>
    <row r="47">
      <c r="B47" s="4" t="n"/>
      <c r="C47" s="30" t="n"/>
      <c r="D47" s="50" t="inlineStr">
        <is>
          <t>Empanada Mechada</t>
        </is>
      </c>
      <c r="E47" s="244" t="n"/>
      <c r="F47" s="77">
        <f>E225</f>
        <v/>
      </c>
      <c r="G47" s="77">
        <f>IFERROR(SUMPRODUCT(($F$66:$F$153=D47)*$E$66:$E$153*$G$66:$G$153),"Error")</f>
        <v/>
      </c>
      <c r="H47" s="77">
        <f>(SUM(F204:I204)*4)+SUM(F205:I205)</f>
        <v/>
      </c>
      <c r="I47" s="77">
        <f>E47+F47-G47-H47</f>
        <v/>
      </c>
      <c r="J47" s="205">
        <f>(E204*4)+E205</f>
        <v/>
      </c>
      <c r="K47" s="88">
        <f>J47-I47</f>
        <v/>
      </c>
      <c r="L47" s="121">
        <f>+'MERMAS S1'!D43</f>
        <v/>
      </c>
      <c r="M47" s="301" t="n"/>
      <c r="N47" s="36">
        <f>IF(K47&lt;0,K47*L47,0)</f>
        <v/>
      </c>
      <c r="O47" s="4" t="n"/>
      <c r="P47" s="4" t="n"/>
      <c r="Q47" s="4" t="n"/>
    </row>
    <row r="48">
      <c r="B48" s="4" t="n"/>
      <c r="C48" s="30" t="n"/>
      <c r="D48" s="50" t="inlineStr">
        <is>
          <t>Empanada Pulpo</t>
        </is>
      </c>
      <c r="E48" s="244" t="n"/>
      <c r="F48" s="77">
        <f>H247</f>
        <v/>
      </c>
      <c r="G48" s="77">
        <f>IFERROR(SUMPRODUCT(($F$66:$F$153=D48)*$E$66:$E$153*$G$66:$G$153),"Error")</f>
        <v/>
      </c>
      <c r="H48" s="77">
        <f>(SUM(F206:I206)*4)+SUM(F207:I207)</f>
        <v/>
      </c>
      <c r="I48" s="77">
        <f>E48+F48-G48-H48</f>
        <v/>
      </c>
      <c r="J48" s="205">
        <f>(E206*4)+E207</f>
        <v/>
      </c>
      <c r="K48" s="88">
        <f>J48-I48</f>
        <v/>
      </c>
      <c r="L48" s="121">
        <f>+'MERMAS S1'!D44</f>
        <v/>
      </c>
      <c r="M48" s="301" t="n"/>
      <c r="N48" s="36">
        <f>IF(K48&lt;0,K48*L48,0)</f>
        <v/>
      </c>
      <c r="O48" s="4" t="n"/>
      <c r="P48" s="4" t="n"/>
      <c r="Q48" s="4" t="n"/>
    </row>
    <row r="49">
      <c r="B49" s="4" t="n"/>
      <c r="C49" s="30" t="n"/>
      <c r="D49" s="50" t="inlineStr">
        <is>
          <t>Flan de Caluga</t>
        </is>
      </c>
      <c r="E49" s="244" t="n"/>
      <c r="F49" s="77">
        <f>E266</f>
        <v/>
      </c>
      <c r="G49" s="77">
        <f>IFERROR(SUMPRODUCT(($F$66:$F$153=D49)*$E$66:$E$153*$G$66:$G$153),"Error")</f>
        <v/>
      </c>
      <c r="H49" s="77">
        <f>SUM(F208:I208)</f>
        <v/>
      </c>
      <c r="I49" s="77">
        <f>E49+F49-G49-H49</f>
        <v/>
      </c>
      <c r="J49" s="205">
        <f>E208</f>
        <v/>
      </c>
      <c r="K49" s="88">
        <f>J49-I49</f>
        <v/>
      </c>
      <c r="L49" s="121">
        <f>+'MERMAS S1'!D45</f>
        <v/>
      </c>
      <c r="M49" s="301" t="n"/>
      <c r="N49" s="36">
        <f>IF(K49&lt;0,K49*L49,0)</f>
        <v/>
      </c>
      <c r="O49" s="4" t="n"/>
      <c r="P49" s="4" t="n"/>
      <c r="Q49" s="4" t="n"/>
    </row>
    <row r="50">
      <c r="B50" s="4" t="n"/>
      <c r="C50" s="30" t="n"/>
      <c r="D50" s="69" t="inlineStr">
        <is>
          <t>Granola salada</t>
        </is>
      </c>
      <c r="E50" s="244" t="n"/>
      <c r="F50" s="77">
        <f>IF(
SUMPRODUCT(--ISNUMBER(SEARCH(D50,$D$221:$D$242)))
+
SUMPRODUCT(--ISNUMBER(SEARCH(D50,$D$262:$D$267)))=0,
"Error",
SUMPRODUCT((ISNUMBER(SEARCH(D50,$D$221:$D$242)))*$E$221:$E$242)
+
SUMPRODUCT((ISNUMBER(SEARCH(D50,$D$262:$D$267)))*$E$262:$E$267)
)</f>
        <v/>
      </c>
      <c r="G50" s="77">
        <f>IFERROR(SUMPRODUCT(($F$66:$F$153=D50)*$E$66:$E$153*$G$66:$G$153),"Error")</f>
        <v/>
      </c>
      <c r="H50" s="77">
        <f>SUM(F209:I209)</f>
        <v/>
      </c>
      <c r="I50" s="77">
        <f>E50+F50-G50-H50</f>
        <v/>
      </c>
      <c r="J50" s="205">
        <f>E209</f>
        <v/>
      </c>
      <c r="K50" s="88">
        <f>J50-I50</f>
        <v/>
      </c>
      <c r="L50" s="121">
        <f>+'MERMAS S1'!D46</f>
        <v/>
      </c>
      <c r="M50" s="301" t="n"/>
      <c r="N50" s="36">
        <f>IF(K50&lt;0,K50*L50,0)</f>
        <v/>
      </c>
      <c r="O50" s="4" t="n"/>
      <c r="P50" s="4" t="n"/>
      <c r="Q50" s="4" t="n"/>
    </row>
    <row r="51">
      <c r="B51" s="4" t="n"/>
      <c r="C51" s="30" t="n"/>
      <c r="D51" s="69" t="inlineStr">
        <is>
          <t>Mix Conchas</t>
        </is>
      </c>
      <c r="E51" s="244" t="n"/>
      <c r="F51" s="77">
        <f>H253</f>
        <v/>
      </c>
      <c r="G51" s="77">
        <f>IFERROR(SUMPRODUCT(($F$66:$F$153=D51)*$E$66:$E$153*$G$66:$G$153),"Error")</f>
        <v/>
      </c>
      <c r="H51" s="77">
        <f>SUM(F210:I210)</f>
        <v/>
      </c>
      <c r="I51" s="77">
        <f>E51+F51-G51-H51</f>
        <v/>
      </c>
      <c r="J51" s="205">
        <f>E210</f>
        <v/>
      </c>
      <c r="K51" s="88">
        <f>J51-I51</f>
        <v/>
      </c>
      <c r="L51" s="121">
        <f>+'MERMAS S1'!D47</f>
        <v/>
      </c>
      <c r="M51" s="301" t="n"/>
      <c r="N51" s="36">
        <f>IF(K51&lt;0,K51*L51,0)</f>
        <v/>
      </c>
      <c r="O51" s="4" t="n"/>
      <c r="P51" s="4" t="n"/>
      <c r="Q51" s="4" t="n"/>
    </row>
    <row r="52">
      <c r="B52" s="4" t="n"/>
      <c r="C52" s="30" t="n"/>
      <c r="D52" s="69" t="inlineStr">
        <is>
          <t>Nutella</t>
        </is>
      </c>
      <c r="E52" s="244" t="n"/>
      <c r="F52" s="77">
        <f>H267</f>
        <v/>
      </c>
      <c r="G52" s="77">
        <f>J267</f>
        <v/>
      </c>
      <c r="H52" s="77">
        <f>SUM(F211:I211)</f>
        <v/>
      </c>
      <c r="I52" s="77">
        <f>E52+F52-G52-H52</f>
        <v/>
      </c>
      <c r="J52" s="205">
        <f>E211</f>
        <v/>
      </c>
      <c r="K52" s="88">
        <f>J52-I52</f>
        <v/>
      </c>
      <c r="L52" s="121">
        <f>+'MERMAS S1'!D48</f>
        <v/>
      </c>
      <c r="M52" s="301" t="n"/>
      <c r="N52" s="36">
        <f>IF(K52&lt;0,K52*L52,0)</f>
        <v/>
      </c>
      <c r="O52" s="4" t="n"/>
      <c r="P52" s="4" t="n"/>
      <c r="Q52" s="4" t="n"/>
    </row>
    <row r="53">
      <c r="B53" s="4" t="n"/>
      <c r="C53" s="30" t="n"/>
      <c r="D53" s="50" t="inlineStr">
        <is>
          <t>Queso Mozzarella</t>
        </is>
      </c>
      <c r="E53" s="244" t="n"/>
      <c r="F53" s="77">
        <f>E236</f>
        <v/>
      </c>
      <c r="G53" s="77">
        <f>IFERROR(SUMPRODUCT(($F$66:$F$153=D53)*$E$66:$E$153*$G$66:$G$153),"Error")</f>
        <v/>
      </c>
      <c r="H53" s="77">
        <f>SUM(F212:I212)</f>
        <v/>
      </c>
      <c r="I53" s="77">
        <f>E53+F53-G53-H53</f>
        <v/>
      </c>
      <c r="J53" s="205">
        <f>E212</f>
        <v/>
      </c>
      <c r="K53" s="88">
        <f>J53-I53</f>
        <v/>
      </c>
      <c r="L53" s="121">
        <f>+'MERMAS S1'!D49</f>
        <v/>
      </c>
      <c r="M53" s="301" t="n"/>
      <c r="N53" s="36">
        <f>IF(K53&lt;0,K53*L53,0)</f>
        <v/>
      </c>
      <c r="O53" s="4" t="n"/>
      <c r="P53" s="4" t="n"/>
      <c r="Q53" s="4" t="n"/>
    </row>
    <row r="54">
      <c r="B54" s="4" t="n"/>
      <c r="C54" s="30" t="n"/>
      <c r="D54" s="50" t="inlineStr">
        <is>
          <t>Sorrentinos carne mechada</t>
        </is>
      </c>
      <c r="E54" s="244" t="n"/>
      <c r="F54" s="77">
        <f>E240</f>
        <v/>
      </c>
      <c r="G54" s="77">
        <f>IFERROR(SUMPRODUCT(($F$66:$F$153=D54)*$E$66:$E$153*$G$66:$G$153),"Error")</f>
        <v/>
      </c>
      <c r="H54" s="77">
        <f>SUM(F213:I213)</f>
        <v/>
      </c>
      <c r="I54" s="77">
        <f>E54+F54-G54-H54</f>
        <v/>
      </c>
      <c r="J54" s="205">
        <f>E213</f>
        <v/>
      </c>
      <c r="K54" s="88">
        <f>J54-I54</f>
        <v/>
      </c>
      <c r="L54" s="121">
        <f>+'MERMAS S1'!D50</f>
        <v/>
      </c>
      <c r="M54" s="301" t="n"/>
      <c r="N54" s="36">
        <f>IF(K54&lt;0,K54*L54,0)</f>
        <v/>
      </c>
      <c r="O54" s="4" t="n"/>
      <c r="P54" s="4" t="n"/>
      <c r="Q54" s="4" t="n"/>
    </row>
    <row r="55">
      <c r="B55" s="4" t="n"/>
      <c r="C55" s="30" t="n"/>
      <c r="D55" s="50" t="inlineStr">
        <is>
          <t>Sorrentinos pulpo y salmón</t>
        </is>
      </c>
      <c r="E55" s="244" t="n"/>
      <c r="F55" s="77">
        <f>E241</f>
        <v/>
      </c>
      <c r="G55" s="77">
        <f>IFERROR(SUMPRODUCT(($F$66:$F$153=D55)*$E$66:$E$153*$G$66:$G$153),"Error")</f>
        <v/>
      </c>
      <c r="H55" s="77">
        <f>SUM(F214:I214)</f>
        <v/>
      </c>
      <c r="I55" s="77">
        <f>E55+F55-G55-H55</f>
        <v/>
      </c>
      <c r="J55" s="205">
        <f>E214</f>
        <v/>
      </c>
      <c r="K55" s="88">
        <f>J55-I55</f>
        <v/>
      </c>
      <c r="L55" s="121">
        <f>+'MERMAS S1'!D51</f>
        <v/>
      </c>
      <c r="M55" s="301" t="n"/>
      <c r="N55" s="36">
        <f>IF(K55&lt;0,K55*L55,0)</f>
        <v/>
      </c>
      <c r="O55" s="4" t="n"/>
      <c r="P55" s="4" t="n"/>
      <c r="Q55" s="4" t="n"/>
    </row>
    <row r="56">
      <c r="B56" s="4" t="n"/>
      <c r="C56" s="30" t="n"/>
      <c r="D56" s="50" t="inlineStr">
        <is>
          <t>Sorrentinos zapallo</t>
        </is>
      </c>
      <c r="E56" s="244" t="n"/>
      <c r="F56" s="77">
        <f>E242</f>
        <v/>
      </c>
      <c r="G56" s="77">
        <f>IFERROR(SUMPRODUCT(($F$66:$F$153=D56)*$E$66:$E$153*$G$66:$G$153),"Error")</f>
        <v/>
      </c>
      <c r="H56" s="77">
        <f>SUM(F215:I215)</f>
        <v/>
      </c>
      <c r="I56" s="77">
        <f>E56+F56-G56-H56</f>
        <v/>
      </c>
      <c r="J56" s="205">
        <f>E215</f>
        <v/>
      </c>
      <c r="K56" s="88">
        <f>J56-I56</f>
        <v/>
      </c>
      <c r="L56" s="121">
        <f>+'MERMAS S1'!D52</f>
        <v/>
      </c>
      <c r="M56" s="301" t="n"/>
      <c r="N56" s="36">
        <f>IF(K56&lt;0,K56*L56,0)</f>
        <v/>
      </c>
      <c r="O56" s="4" t="n"/>
      <c r="P56" s="4" t="n"/>
      <c r="Q56" s="4" t="n"/>
    </row>
    <row r="57" ht="13.5" customHeight="1" s="95" thickBot="1">
      <c r="B57" s="4" t="n"/>
      <c r="C57" s="30" t="n"/>
      <c r="D57" s="89" t="inlineStr">
        <is>
          <t>Volcán de Chocolate</t>
        </is>
      </c>
      <c r="E57" s="245" t="n"/>
      <c r="F57" s="166">
        <f>E267</f>
        <v/>
      </c>
      <c r="G57" s="166">
        <f>IFERROR(SUMPRODUCT(($F$66:$F$153=D57)*$E$66:$E$153*$G$66:$G$153),"Error")</f>
        <v/>
      </c>
      <c r="H57" s="166">
        <f>SUM(F216:I216)</f>
        <v/>
      </c>
      <c r="I57" s="166">
        <f>E57+F57-G57-H57</f>
        <v/>
      </c>
      <c r="J57" s="206">
        <f>E216</f>
        <v/>
      </c>
      <c r="K57" s="167">
        <f>J57-I57</f>
        <v/>
      </c>
      <c r="L57" s="131">
        <f>+'MERMAS S1'!D53</f>
        <v/>
      </c>
      <c r="M57" s="303" t="n"/>
      <c r="N57" s="110">
        <f>IF(K57&lt;0,K57*L57,0)</f>
        <v/>
      </c>
      <c r="O57" s="4" t="n"/>
      <c r="P57" s="4" t="n"/>
      <c r="Q57" s="4" t="n"/>
    </row>
    <row r="58" ht="13.5" customHeight="1" s="95" thickBot="1">
      <c r="B58" s="4" t="n"/>
      <c r="C58" s="4" t="n"/>
      <c r="D58" s="16" t="n"/>
      <c r="E58" s="9" t="n"/>
      <c r="F58" s="9" t="n"/>
      <c r="G58" s="9" t="n"/>
      <c r="H58" s="9" t="n"/>
      <c r="I58" s="8" t="n"/>
      <c r="J58" s="8" t="n"/>
      <c r="K58" s="8" t="n"/>
      <c r="L58" s="9" t="n"/>
      <c r="M58" s="4" t="n"/>
      <c r="N58" s="4" t="n"/>
      <c r="O58" s="4" t="n"/>
      <c r="P58" s="4" t="n"/>
      <c r="Q58" s="4" t="n"/>
    </row>
    <row r="59" ht="13.5" customHeight="1" s="95" thickBot="1">
      <c r="B59" s="4" t="n"/>
      <c r="C59" s="4" t="n"/>
      <c r="D59" s="16" t="n"/>
      <c r="E59" s="9" t="n"/>
      <c r="F59" s="9" t="n"/>
      <c r="G59" s="9" t="n"/>
      <c r="H59" s="17" t="n"/>
      <c r="I59" s="304" t="inlineStr">
        <is>
          <t>DIFERENCIAS PROMEDIO</t>
        </is>
      </c>
      <c r="J59" s="305" t="n"/>
      <c r="K59" s="11">
        <f>SUM(K37:K57)</f>
        <v/>
      </c>
      <c r="L59" s="4" t="n"/>
      <c r="M59" s="12" t="inlineStr">
        <is>
          <t>DCTO. TOTAL</t>
        </is>
      </c>
      <c r="N59" s="13">
        <f>SUM(N37:N57)</f>
        <v/>
      </c>
      <c r="O59" s="4" t="n"/>
      <c r="P59" s="4" t="n"/>
      <c r="Q59" s="4" t="n"/>
    </row>
    <row r="60"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</row>
    <row r="61"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</row>
    <row r="62"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</row>
    <row r="63" ht="13.5" customHeight="1" s="95" thickBot="1"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</row>
    <row r="64">
      <c r="B64" s="4" t="n"/>
      <c r="C64" s="197" t="inlineStr">
        <is>
          <t>VENTAS</t>
        </is>
      </c>
      <c r="D64" s="308" t="n"/>
      <c r="E64" s="308" t="n"/>
      <c r="F64" s="308" t="n"/>
      <c r="G64" s="308" t="n"/>
      <c r="H64" s="300" t="n"/>
      <c r="I64" s="55" t="n"/>
      <c r="J64" s="55" t="n"/>
      <c r="K64" s="55" t="n"/>
      <c r="L64" s="55" t="n"/>
      <c r="M64" s="55" t="n"/>
      <c r="N64" s="55" t="n"/>
      <c r="O64" s="4" t="n"/>
      <c r="P64" s="4" t="n"/>
      <c r="Q64" s="4" t="n"/>
    </row>
    <row r="65">
      <c r="B65" s="4" t="n"/>
      <c r="C65" s="200" t="inlineStr">
        <is>
          <t>Código</t>
        </is>
      </c>
      <c r="D65" s="196" t="inlineStr">
        <is>
          <t>Ítem</t>
        </is>
      </c>
      <c r="E65" s="196" t="inlineStr">
        <is>
          <t xml:space="preserve">Vendido </t>
        </is>
      </c>
      <c r="F65" s="196" t="inlineStr">
        <is>
          <t>Producto</t>
        </is>
      </c>
      <c r="G65" s="196" t="inlineStr">
        <is>
          <t>Cantidad</t>
        </is>
      </c>
      <c r="H65" s="201" t="inlineStr">
        <is>
          <t>Medida</t>
        </is>
      </c>
      <c r="I65" s="56" t="n"/>
      <c r="J65" s="56" t="n"/>
      <c r="K65" s="56" t="n"/>
      <c r="L65" s="56" t="n"/>
      <c r="M65" s="56" t="n"/>
      <c r="N65" s="56" t="n"/>
      <c r="O65" s="4" t="n"/>
      <c r="P65" s="4" t="n"/>
      <c r="Q65" s="4" t="n"/>
    </row>
    <row r="66">
      <c r="B66" s="4" t="n"/>
      <c r="C66" s="96" t="inlineStr">
        <is>
          <t>VECARAGR013</t>
        </is>
      </c>
      <c r="D66" s="18" t="inlineStr">
        <is>
          <t>Age Salmon Ahumado</t>
        </is>
      </c>
      <c r="E66" s="207">
        <f>IFERROR(
IF(
INDEX($K$272:$K$977,MATCH(C66,$B$272:$B$977,0))&lt;&gt;0,
INDEX($K$272:$K$977,MATCH(C66,$B$272:$B$977,0)),
INDEX($L$272:$L$977,MATCH(C66,$B$272:$B$977,0))
),
0)</f>
        <v/>
      </c>
      <c r="F66" s="1" t="inlineStr">
        <is>
          <t>Salmón ahumado en Caliente</t>
        </is>
      </c>
      <c r="G66" s="52" t="n">
        <v>0.12</v>
      </c>
      <c r="H66" s="81" t="inlineStr">
        <is>
          <t>Kg</t>
        </is>
      </c>
      <c r="I66" s="79" t="n"/>
      <c r="J66" s="78" t="n"/>
      <c r="K66" s="79" t="n"/>
      <c r="L66" s="80" t="n"/>
      <c r="M66" s="80" t="n"/>
      <c r="N66" s="80" t="n"/>
      <c r="O66" s="4" t="n"/>
      <c r="P66" s="4" t="n"/>
      <c r="Q66" s="4" t="n"/>
    </row>
    <row r="67">
      <c r="B67" s="4" t="n"/>
      <c r="C67" s="96" t="inlineStr">
        <is>
          <t>VECARAGR007</t>
        </is>
      </c>
      <c r="D67" s="18" t="inlineStr">
        <is>
          <t>Agr. Jamon Crudo</t>
        </is>
      </c>
      <c r="E67" s="207">
        <f>IFERROR(
IF(
INDEX($K$272:$K$977,MATCH(C67,$B$272:$B$977,0))&lt;&gt;0,
INDEX($K$272:$K$977,MATCH(C67,$B$272:$B$977,0)),
INDEX($L$272:$L$977,MATCH(C67,$B$272:$B$977,0))
),
0)</f>
        <v/>
      </c>
      <c r="F67" s="1" t="inlineStr">
        <is>
          <t>Jamón serrano</t>
        </is>
      </c>
      <c r="G67" s="52" t="n">
        <v>0.03</v>
      </c>
      <c r="H67" s="81" t="inlineStr">
        <is>
          <t>Kg</t>
        </is>
      </c>
      <c r="I67" s="79" t="n"/>
      <c r="J67" s="78" t="n"/>
      <c r="K67" s="79" t="n"/>
      <c r="L67" s="80" t="n"/>
      <c r="M67" s="80" t="n"/>
      <c r="N67" s="80" t="n"/>
      <c r="O67" s="4" t="n"/>
      <c r="P67" s="4" t="n"/>
      <c r="Q67" s="4" t="n"/>
    </row>
    <row r="68">
      <c r="B68" s="4" t="n"/>
      <c r="C68" s="96" t="inlineStr">
        <is>
          <t>VECARENT001</t>
        </is>
      </c>
      <c r="D68" s="18" t="inlineStr">
        <is>
          <t>Atún Apanado</t>
        </is>
      </c>
      <c r="E68" s="207">
        <f>IFERROR(
IF(
INDEX($K$272:$K$977,MATCH(C68,$B$272:$B$977,0))&lt;&gt;0,
INDEX($K$272:$K$977,MATCH(C68,$B$272:$B$977,0)),
INDEX($L$272:$L$977,MATCH(C68,$B$272:$B$977,0))
),
0)</f>
        <v/>
      </c>
      <c r="F68" s="1" t="inlineStr">
        <is>
          <t>Atún Steak</t>
        </is>
      </c>
      <c r="G68" s="52" t="n">
        <v>0.18</v>
      </c>
      <c r="H68" s="81" t="inlineStr">
        <is>
          <t>Kg</t>
        </is>
      </c>
      <c r="I68" s="79" t="n"/>
      <c r="J68" s="78" t="n"/>
      <c r="K68" s="79" t="n"/>
      <c r="L68" s="80" t="n"/>
      <c r="M68" s="80" t="n"/>
      <c r="N68" s="80" t="n"/>
      <c r="O68" s="20" t="n"/>
      <c r="P68" s="4" t="n"/>
      <c r="Q68" s="4" t="n"/>
    </row>
    <row r="69">
      <c r="B69" s="4" t="n"/>
      <c r="C69" s="96" t="inlineStr">
        <is>
          <t>VECARFJT001</t>
        </is>
      </c>
      <c r="D69" s="18" t="inlineStr">
        <is>
          <t>Atún Sellado JT</t>
        </is>
      </c>
      <c r="E69" s="207">
        <f>IFERROR(
IF(
INDEX($K$272:$K$977,MATCH(C69,$B$272:$B$977,0))&lt;&gt;0,
INDEX($K$272:$K$977,MATCH(C69,$B$272:$B$977,0)),
INDEX($L$272:$L$977,MATCH(C69,$B$272:$B$977,0))
),
0)</f>
        <v/>
      </c>
      <c r="F69" s="1" t="inlineStr">
        <is>
          <t>Atún Steak</t>
        </is>
      </c>
      <c r="G69" s="52" t="n">
        <v>0.18</v>
      </c>
      <c r="H69" s="81" t="inlineStr">
        <is>
          <t>Kg</t>
        </is>
      </c>
      <c r="I69" s="79" t="n"/>
      <c r="J69" s="78" t="n"/>
      <c r="K69" s="79" t="n"/>
      <c r="L69" s="80" t="n"/>
      <c r="M69" s="80" t="n"/>
      <c r="N69" s="80" t="n"/>
      <c r="O69" s="20" t="n"/>
      <c r="P69" s="4" t="n"/>
      <c r="Q69" s="4" t="n"/>
    </row>
    <row r="70">
      <c r="B70" s="4" t="n"/>
      <c r="C70" s="96" t="inlineStr">
        <is>
          <t>VECARFON002</t>
        </is>
      </c>
      <c r="D70" s="18" t="inlineStr">
        <is>
          <t>Atún Risotto</t>
        </is>
      </c>
      <c r="E70" s="207">
        <f>IFERROR(
IF(
INDEX($K$272:$K$977,MATCH(C70,$B$272:$B$977,0))&lt;&gt;0,
INDEX($K$272:$K$977,MATCH(C70,$B$272:$B$977,0)),
INDEX($L$272:$L$977,MATCH(C70,$B$272:$B$977,0))
),
0)</f>
        <v/>
      </c>
      <c r="F70" s="1" t="inlineStr">
        <is>
          <t>Atún Steak</t>
        </is>
      </c>
      <c r="G70" s="52" t="n">
        <v>0.18</v>
      </c>
      <c r="H70" s="81" t="inlineStr">
        <is>
          <t>Kg</t>
        </is>
      </c>
      <c r="I70" s="79" t="n"/>
      <c r="J70" s="78" t="n"/>
      <c r="K70" s="79" t="n"/>
      <c r="L70" s="80" t="n"/>
      <c r="M70" s="80" t="n"/>
      <c r="N70" s="80" t="n"/>
      <c r="O70" s="20" t="n"/>
      <c r="P70" s="4" t="n"/>
      <c r="Q70" s="4" t="n"/>
    </row>
    <row r="71">
      <c r="B71" s="4" t="n"/>
      <c r="C71" s="96" t="inlineStr">
        <is>
          <t>VECARFUB001</t>
        </is>
      </c>
      <c r="D71" s="18" t="inlineStr">
        <is>
          <t>Atún Risotto PY</t>
        </is>
      </c>
      <c r="E71" s="207">
        <f>IFERROR(
IF(
INDEX($K$272:$K$977,MATCH(C71,$B$272:$B$977,0))&lt;&gt;0,
INDEX($K$272:$K$977,MATCH(C71,$B$272:$B$977,0)),
INDEX($L$272:$L$977,MATCH(C71,$B$272:$B$977,0))
),
0)</f>
        <v/>
      </c>
      <c r="F71" s="1" t="inlineStr">
        <is>
          <t>Atún Steak</t>
        </is>
      </c>
      <c r="G71" s="52" t="n">
        <v>0.18</v>
      </c>
      <c r="H71" s="81" t="inlineStr">
        <is>
          <t>Kg</t>
        </is>
      </c>
      <c r="I71" s="79" t="n"/>
      <c r="J71" s="78" t="n"/>
      <c r="K71" s="79" t="n"/>
      <c r="L71" s="80" t="n"/>
      <c r="M71" s="80" t="n"/>
      <c r="N71" s="80" t="n"/>
      <c r="O71" s="20" t="n"/>
      <c r="P71" s="4" t="n"/>
      <c r="Q71" s="4" t="n"/>
    </row>
    <row r="72">
      <c r="B72" s="4" t="n"/>
      <c r="C72" s="96" t="inlineStr">
        <is>
          <t>VECARENT034</t>
        </is>
      </c>
      <c r="D72" s="18" t="inlineStr">
        <is>
          <t>Brocheta Langostino</t>
        </is>
      </c>
      <c r="E72" s="207">
        <f>IFERROR(
IF(
INDEX($K$272:$K$977,MATCH(C72,$B$272:$B$977,0))&lt;&gt;0,
INDEX($K$272:$K$977,MATCH(C72,$B$272:$B$977,0)),
INDEX($L$272:$L$977,MATCH(C72,$B$272:$B$977,0))
),
0)</f>
        <v/>
      </c>
      <c r="F72" s="1" t="inlineStr">
        <is>
          <t>Langostinos</t>
        </is>
      </c>
      <c r="G72" s="52" t="n">
        <v>1</v>
      </c>
      <c r="H72" s="81" t="inlineStr">
        <is>
          <t>Und</t>
        </is>
      </c>
      <c r="I72" s="79" t="n"/>
      <c r="J72" s="78" t="n"/>
      <c r="K72" s="79" t="n"/>
      <c r="L72" s="80" t="n"/>
      <c r="M72" s="80" t="n"/>
      <c r="N72" s="80" t="n"/>
      <c r="O72" s="20" t="n"/>
      <c r="P72" s="4" t="n"/>
      <c r="Q72" s="4" t="n"/>
    </row>
    <row r="73">
      <c r="B73" s="4" t="n"/>
      <c r="C73" s="96" t="inlineStr">
        <is>
          <t>VECARPOS013</t>
        </is>
      </c>
      <c r="D73" s="18" t="inlineStr">
        <is>
          <t>Brownie Choc Vegano</t>
        </is>
      </c>
      <c r="E73" s="207">
        <f>IFERROR(
IF(
INDEX($K$272:$K$977,MATCH(C73,$B$272:$B$977,0))&lt;&gt;0,
INDEX($K$272:$K$977,MATCH(C73,$B$272:$B$977,0)),
INDEX($L$272:$L$977,MATCH(C73,$B$272:$B$977,0))
),
0)</f>
        <v/>
      </c>
      <c r="F73" s="18" t="inlineStr">
        <is>
          <t>Brownie Vegano</t>
        </is>
      </c>
      <c r="G73" s="52" t="n">
        <v>1</v>
      </c>
      <c r="H73" s="81" t="inlineStr">
        <is>
          <t>Kg</t>
        </is>
      </c>
      <c r="I73" s="79" t="n"/>
      <c r="J73" s="78" t="n"/>
      <c r="K73" s="79" t="n"/>
      <c r="L73" s="80" t="n"/>
      <c r="M73" s="80" t="n"/>
      <c r="N73" s="80" t="n"/>
      <c r="O73" s="20" t="n"/>
      <c r="P73" s="4" t="n"/>
      <c r="Q73" s="4" t="n"/>
    </row>
    <row r="74">
      <c r="B74" s="4" t="n"/>
      <c r="C74" s="96" t="inlineStr">
        <is>
          <t>VECARPOS024</t>
        </is>
      </c>
      <c r="D74" s="18" t="inlineStr">
        <is>
          <t>Brownie Nutella</t>
        </is>
      </c>
      <c r="E74" s="207">
        <f>IFERROR(
IF(
INDEX($K$272:$K$977,MATCH(C74,$B$272:$B$977,0))&lt;&gt;0,
INDEX($K$272:$K$977,MATCH(C74,$B$272:$B$977,0)),
INDEX($L$272:$L$977,MATCH(C74,$B$272:$B$977,0))
),
0)</f>
        <v/>
      </c>
      <c r="F74" s="18" t="inlineStr">
        <is>
          <t>Brownie Nutella</t>
        </is>
      </c>
      <c r="G74" s="52" t="n">
        <v>1</v>
      </c>
      <c r="H74" s="81" t="inlineStr">
        <is>
          <t>Kg</t>
        </is>
      </c>
      <c r="I74" s="79" t="n"/>
      <c r="J74" s="78" t="n"/>
      <c r="K74" s="79" t="n"/>
      <c r="L74" s="80" t="n"/>
      <c r="M74" s="80" t="n"/>
      <c r="N74" s="80" t="n"/>
      <c r="O74" s="4" t="n"/>
      <c r="P74" s="4" t="n"/>
      <c r="Q74" s="4" t="n"/>
    </row>
    <row r="75">
      <c r="B75" s="4" t="n"/>
      <c r="C75" s="96" t="inlineStr">
        <is>
          <t>VECARPUB012</t>
        </is>
      </c>
      <c r="D75" s="18" t="inlineStr">
        <is>
          <t>Brownie Nutella  PY</t>
        </is>
      </c>
      <c r="E75" s="207">
        <f>IFERROR(
IF(
INDEX($K$272:$K$977,MATCH(C75,$B$272:$B$977,0))&lt;&gt;0,
INDEX($K$272:$K$977,MATCH(C75,$B$272:$B$977,0)),
INDEX($L$272:$L$977,MATCH(C75,$B$272:$B$977,0))
),
0)</f>
        <v/>
      </c>
      <c r="F75" s="18" t="inlineStr">
        <is>
          <t>Brownie Nutella</t>
        </is>
      </c>
      <c r="G75" s="52" t="n">
        <v>1</v>
      </c>
      <c r="H75" s="81" t="inlineStr">
        <is>
          <t>Kg</t>
        </is>
      </c>
      <c r="I75" s="79" t="n"/>
      <c r="J75" s="78" t="n"/>
      <c r="K75" s="79" t="n"/>
      <c r="L75" s="80" t="n"/>
      <c r="M75" s="80" t="n"/>
      <c r="N75" s="80" t="n"/>
      <c r="O75" s="4" t="n"/>
      <c r="P75" s="4" t="n"/>
      <c r="Q75" s="4" t="n"/>
    </row>
    <row r="76">
      <c r="B76" s="4" t="n"/>
      <c r="C76" s="96" t="inlineStr">
        <is>
          <t>VECARPJT005</t>
        </is>
      </c>
      <c r="D76" s="18" t="inlineStr">
        <is>
          <t>Brownie Vegano JT</t>
        </is>
      </c>
      <c r="E76" s="207">
        <f>IFERROR(
IF(
INDEX($K$272:$K$977,MATCH(C76,$B$272:$B$977,0))&lt;&gt;0,
INDEX($K$272:$K$977,MATCH(C76,$B$272:$B$977,0)),
INDEX($L$272:$L$977,MATCH(C76,$B$272:$B$977,0))
),
0)</f>
        <v/>
      </c>
      <c r="F76" s="18" t="inlineStr">
        <is>
          <t>Brownie Vegano</t>
        </is>
      </c>
      <c r="G76" s="52" t="n">
        <v>1</v>
      </c>
      <c r="H76" s="81" t="inlineStr">
        <is>
          <t>Kg</t>
        </is>
      </c>
      <c r="I76" s="79" t="n"/>
      <c r="J76" s="78" t="n"/>
      <c r="K76" s="79" t="n"/>
      <c r="L76" s="80" t="n"/>
      <c r="M76" s="80" t="n"/>
      <c r="N76" s="80" t="n"/>
      <c r="O76" s="4" t="n"/>
      <c r="P76" s="4" t="n"/>
      <c r="Q76" s="4" t="n"/>
    </row>
    <row r="77">
      <c r="B77" s="4" t="n"/>
      <c r="C77" s="96" t="inlineStr">
        <is>
          <t>VECARPUB005</t>
        </is>
      </c>
      <c r="D77" s="18" t="inlineStr">
        <is>
          <t>Brownie Vegano PY</t>
        </is>
      </c>
      <c r="E77" s="207">
        <f>IFERROR(
IF(
INDEX($K$272:$K$977,MATCH(C77,$B$272:$B$977,0))&lt;&gt;0,
INDEX($K$272:$K$977,MATCH(C77,$B$272:$B$977,0)),
INDEX($L$272:$L$977,MATCH(C77,$B$272:$B$977,0))
),
0)</f>
        <v/>
      </c>
      <c r="F77" s="18" t="inlineStr">
        <is>
          <t>Brownie Vegano</t>
        </is>
      </c>
      <c r="G77" s="52" t="n">
        <v>1</v>
      </c>
      <c r="H77" s="81" t="inlineStr">
        <is>
          <t>Kg</t>
        </is>
      </c>
      <c r="I77" s="79" t="n"/>
      <c r="J77" s="78" t="n"/>
      <c r="K77" s="79" t="n"/>
      <c r="L77" s="80" t="n"/>
      <c r="M77" s="80" t="n"/>
      <c r="N77" s="80" t="n"/>
      <c r="O77" s="20" t="n"/>
      <c r="P77" s="4" t="n"/>
      <c r="Q77" s="4" t="n"/>
    </row>
    <row r="78">
      <c r="B78" s="4" t="n"/>
      <c r="C78" s="96" t="inlineStr">
        <is>
          <t>VECARFON067</t>
        </is>
      </c>
      <c r="D78" s="18" t="inlineStr">
        <is>
          <t>Carne Desmechada con Ñoquis</t>
        </is>
      </c>
      <c r="E78" s="207">
        <f>IFERROR(
IF(
INDEX($K$272:$K$977,MATCH(C78,$B$272:$B$977,0))&lt;&gt;0,
INDEX($K$272:$K$977,MATCH(C78,$B$272:$B$977,0)),
INDEX($L$272:$L$977,MATCH(C78,$B$272:$B$977,0))
),
0)</f>
        <v/>
      </c>
      <c r="F78" s="18" t="inlineStr">
        <is>
          <t>Ganso</t>
        </is>
      </c>
      <c r="G78" s="52" t="n">
        <v>0.12</v>
      </c>
      <c r="H78" s="81" t="inlineStr">
        <is>
          <t>Kg</t>
        </is>
      </c>
      <c r="I78" s="79" t="n"/>
      <c r="J78" s="78" t="n"/>
      <c r="K78" s="79" t="n"/>
      <c r="L78" s="80" t="n"/>
      <c r="M78" s="80" t="n"/>
      <c r="N78" s="80" t="n"/>
      <c r="O78" s="20" t="n"/>
      <c r="P78" s="4" t="n"/>
      <c r="Q78" s="4" t="n"/>
    </row>
    <row r="79">
      <c r="B79" s="4" t="n"/>
      <c r="C79" s="96" t="inlineStr">
        <is>
          <t>VECARAUB013</t>
        </is>
      </c>
      <c r="D79" s="18" t="inlineStr">
        <is>
          <t>Carpaccio de Res Margó PY</t>
        </is>
      </c>
      <c r="E79" s="207">
        <f>IFERROR(
IF(
INDEX($K$272:$K$977,MATCH(C79,$B$272:$B$977,0))&lt;&gt;0,
INDEX($K$272:$K$977,MATCH(C79,$B$272:$B$977,0)),
INDEX($L$272:$L$977,MATCH(C79,$B$272:$B$977,0))
),
0)</f>
        <v/>
      </c>
      <c r="F79" s="1" t="inlineStr">
        <is>
          <t>Carpaccio de res</t>
        </is>
      </c>
      <c r="G79" s="52" t="n">
        <v>0.12</v>
      </c>
      <c r="H79" s="81" t="inlineStr">
        <is>
          <t>Kg</t>
        </is>
      </c>
      <c r="I79" s="79" t="n"/>
      <c r="J79" s="78" t="n"/>
      <c r="K79" s="79" t="n"/>
      <c r="L79" s="80" t="n"/>
      <c r="M79" s="80" t="n"/>
      <c r="N79" s="80" t="n"/>
      <c r="O79" s="20" t="n"/>
      <c r="P79" s="4" t="n"/>
      <c r="Q79" s="4" t="n"/>
    </row>
    <row r="80">
      <c r="B80" s="4" t="n"/>
      <c r="C80" s="96" t="inlineStr">
        <is>
          <t>VECARENT002</t>
        </is>
      </c>
      <c r="D80" s="18" t="inlineStr">
        <is>
          <t>Carpaccio Filete Res</t>
        </is>
      </c>
      <c r="E80" s="207">
        <f>IFERROR(
IF(
INDEX($K$272:$K$977,MATCH(C80,$B$272:$B$977,0))&lt;&gt;0,
INDEX($K$272:$K$977,MATCH(C80,$B$272:$B$977,0)),
INDEX($L$272:$L$977,MATCH(C80,$B$272:$B$977,0))
),
0)</f>
        <v/>
      </c>
      <c r="F80" s="1" t="inlineStr">
        <is>
          <t>Carpaccio de res</t>
        </is>
      </c>
      <c r="G80" s="52" t="n">
        <v>0.12</v>
      </c>
      <c r="H80" s="81" t="inlineStr">
        <is>
          <t>Kg</t>
        </is>
      </c>
      <c r="I80" s="79" t="n"/>
      <c r="J80" s="78" t="n"/>
      <c r="K80" s="79" t="n"/>
      <c r="L80" s="80" t="n"/>
      <c r="M80" s="80" t="n"/>
      <c r="N80" s="80" t="n"/>
      <c r="O80" s="20" t="n"/>
      <c r="P80" s="4" t="n"/>
      <c r="Q80" s="4" t="n"/>
    </row>
    <row r="81">
      <c r="B81" s="4" t="n"/>
      <c r="C81" s="96" t="inlineStr">
        <is>
          <t>VECARFON004</t>
        </is>
      </c>
      <c r="D81" s="18" t="inlineStr">
        <is>
          <t>Caldillo de Congrio</t>
        </is>
      </c>
      <c r="E81" s="207">
        <f>IFERROR(
IF(
INDEX($K$272:$K$977,MATCH(C81,$B$272:$B$977,0))&lt;&gt;0,
INDEX($K$272:$K$977,MATCH(C81,$B$272:$B$977,0)),
INDEX($L$272:$L$977,MATCH(C81,$B$272:$B$977,0))
),
0)</f>
        <v/>
      </c>
      <c r="F81" s="1" t="inlineStr">
        <is>
          <t>Congrio</t>
        </is>
      </c>
      <c r="G81" s="52" t="n">
        <v>0.15</v>
      </c>
      <c r="H81" s="81" t="inlineStr">
        <is>
          <t>Kg</t>
        </is>
      </c>
      <c r="I81" s="79" t="n"/>
      <c r="J81" s="78" t="n"/>
      <c r="K81" s="79" t="n"/>
      <c r="L81" s="80" t="n"/>
      <c r="M81" s="80" t="n"/>
      <c r="N81" s="80" t="n"/>
      <c r="O81" s="20" t="n"/>
      <c r="P81" s="4" t="n"/>
      <c r="Q81" s="4" t="n"/>
    </row>
    <row r="82">
      <c r="B82" s="4" t="n"/>
      <c r="C82" s="96" t="inlineStr">
        <is>
          <t>VECARFON004</t>
        </is>
      </c>
      <c r="D82" s="18" t="inlineStr">
        <is>
          <t>Caldillo de Congrio</t>
        </is>
      </c>
      <c r="E82" s="207">
        <f>IFERROR(
IF(
INDEX($K$272:$K$977,MATCH(C82,$B$272:$B$977,0))&lt;&gt;0,
INDEX($K$272:$K$977,MATCH(C82,$B$272:$B$977,0)),
INDEX($L$272:$L$977,MATCH(C82,$B$272:$B$977,0))
),
0)</f>
        <v/>
      </c>
      <c r="F82" s="1" t="inlineStr">
        <is>
          <t>Mix Conchas</t>
        </is>
      </c>
      <c r="G82" s="52" t="n">
        <v>1</v>
      </c>
      <c r="H82" s="81" t="inlineStr">
        <is>
          <t>Porción</t>
        </is>
      </c>
      <c r="I82" s="79" t="n"/>
      <c r="J82" s="78" t="n"/>
      <c r="K82" s="79" t="n"/>
      <c r="L82" s="80" t="n"/>
      <c r="M82" s="80" t="n"/>
      <c r="N82" s="80" t="n"/>
      <c r="O82" s="20" t="n"/>
      <c r="P82" s="4" t="n"/>
      <c r="Q82" s="4" t="n"/>
    </row>
    <row r="83">
      <c r="B83" s="4" t="n"/>
      <c r="C83" s="97" t="inlineStr">
        <is>
          <t>VECARENT003</t>
        </is>
      </c>
      <c r="D83" s="18" t="inlineStr">
        <is>
          <t>Ceviche Margo</t>
        </is>
      </c>
      <c r="E83" s="207">
        <f>IFERROR(
IF(
INDEX($K$272:$K$977,MATCH(C83,$B$272:$B$977,0))&lt;&gt;0,
INDEX($K$272:$K$977,MATCH(C83,$B$272:$B$977,0)),
INDEX($L$272:$L$977,MATCH(C83,$B$272:$B$977,0))
),
0)</f>
        <v/>
      </c>
      <c r="F83" s="1" t="inlineStr">
        <is>
          <t>Reineta</t>
        </is>
      </c>
      <c r="G83" s="52" t="n">
        <v>0.1</v>
      </c>
      <c r="H83" s="81" t="inlineStr">
        <is>
          <t>Kg</t>
        </is>
      </c>
      <c r="I83" s="79" t="n"/>
      <c r="J83" s="78" t="n"/>
      <c r="K83" s="79" t="n"/>
      <c r="L83" s="80" t="n"/>
      <c r="M83" s="80" t="n"/>
      <c r="N83" s="80" t="n"/>
      <c r="O83" s="20" t="n"/>
      <c r="P83" s="4" t="n"/>
      <c r="Q83" s="4" t="n"/>
    </row>
    <row r="84">
      <c r="B84" s="4" t="n"/>
      <c r="C84" s="96" t="inlineStr">
        <is>
          <t>VECARPOS015</t>
        </is>
      </c>
      <c r="D84" s="122" t="inlineStr">
        <is>
          <t>Cheesecake Berries</t>
        </is>
      </c>
      <c r="E84" s="207">
        <f>IFERROR(
IF(
INDEX($K$272:$K$977,MATCH(C84,$B$272:$B$977,0))&lt;&gt;0,
INDEX($K$272:$K$977,MATCH(C84,$B$272:$B$977,0)),
INDEX($L$272:$L$977,MATCH(C84,$B$272:$B$977,0))
),
0)</f>
        <v/>
      </c>
      <c r="F84" s="1" t="inlineStr">
        <is>
          <t>Cheesecake Berries</t>
        </is>
      </c>
      <c r="G84" s="52" t="n">
        <v>1</v>
      </c>
      <c r="H84" s="81" t="inlineStr">
        <is>
          <t>Kg</t>
        </is>
      </c>
      <c r="I84" s="79" t="n"/>
      <c r="J84" s="78" t="n"/>
      <c r="K84" s="79" t="n"/>
      <c r="L84" s="80" t="n"/>
      <c r="M84" s="80" t="n"/>
      <c r="N84" s="80" t="n"/>
      <c r="O84" s="20" t="n"/>
      <c r="P84" s="4" t="n"/>
      <c r="Q84" s="4" t="n"/>
    </row>
    <row r="85">
      <c r="B85" s="4" t="n"/>
      <c r="C85" s="96" t="inlineStr">
        <is>
          <t>VECARPUB006</t>
        </is>
      </c>
      <c r="D85" s="122" t="inlineStr">
        <is>
          <t>Cheesecake Berries PY</t>
        </is>
      </c>
      <c r="E85" s="207">
        <f>IFERROR(
IF(
INDEX($K$272:$K$977,MATCH(C85,$B$272:$B$977,0))&lt;&gt;0,
INDEX($K$272:$K$977,MATCH(C85,$B$272:$B$977,0)),
INDEX($L$272:$L$977,MATCH(C85,$B$272:$B$977,0))
),
0)</f>
        <v/>
      </c>
      <c r="F85" s="1" t="inlineStr">
        <is>
          <t>Cheesecake Berries</t>
        </is>
      </c>
      <c r="G85" s="52" t="n">
        <v>1</v>
      </c>
      <c r="H85" s="81" t="inlineStr">
        <is>
          <t>Kg</t>
        </is>
      </c>
      <c r="I85" s="79" t="n"/>
      <c r="J85" s="78" t="n"/>
      <c r="K85" s="79" t="n"/>
      <c r="L85" s="80" t="n"/>
      <c r="M85" s="80" t="n"/>
      <c r="N85" s="80" t="n"/>
      <c r="O85" s="20" t="n"/>
      <c r="P85" s="4" t="n"/>
      <c r="Q85" s="4" t="n"/>
    </row>
    <row r="86">
      <c r="B86" s="4" t="n"/>
      <c r="C86" s="96" t="inlineStr">
        <is>
          <t>VECARPJT006</t>
        </is>
      </c>
      <c r="D86" s="122" t="inlineStr">
        <is>
          <t>Cheesecake Berries JT</t>
        </is>
      </c>
      <c r="E86" s="207">
        <f>IFERROR(
IF(
INDEX($K$272:$K$977,MATCH(C86,$B$272:$B$977,0))&lt;&gt;0,
INDEX($K$272:$K$977,MATCH(C86,$B$272:$B$977,0)),
INDEX($L$272:$L$977,MATCH(C86,$B$272:$B$977,0))
),
0)</f>
        <v/>
      </c>
      <c r="F86" s="1" t="inlineStr">
        <is>
          <t>Cheesecake Berries</t>
        </is>
      </c>
      <c r="G86" s="52" t="n">
        <v>1</v>
      </c>
      <c r="H86" s="81" t="inlineStr">
        <is>
          <t>Kg</t>
        </is>
      </c>
      <c r="I86" s="79" t="n"/>
      <c r="J86" s="78" t="n"/>
      <c r="K86" s="79" t="n"/>
      <c r="L86" s="80" t="n"/>
      <c r="M86" s="80" t="n"/>
      <c r="N86" s="80" t="n"/>
      <c r="O86" s="20" t="n"/>
      <c r="P86" s="4" t="n"/>
      <c r="Q86" s="4" t="n"/>
    </row>
    <row r="87" ht="15" customHeight="1" s="95">
      <c r="B87" s="4" t="n"/>
      <c r="C87" s="96" t="inlineStr">
        <is>
          <t>VECARPOS003</t>
        </is>
      </c>
      <c r="D87" s="18" t="inlineStr">
        <is>
          <t>Cheesecake Limón</t>
        </is>
      </c>
      <c r="E87" s="207">
        <f>IFERROR(
IF(
INDEX($K$272:$K$977,MATCH(C87,$B$272:$B$977,0))&lt;&gt;0,
INDEX($K$272:$K$977,MATCH(C87,$B$272:$B$977,0)),
INDEX($L$272:$L$977,MATCH(C87,$B$272:$B$977,0))
),
0)</f>
        <v/>
      </c>
      <c r="F87" s="1" t="inlineStr">
        <is>
          <t>Cheesecake de Limón</t>
        </is>
      </c>
      <c r="G87" s="52" t="n">
        <v>1</v>
      </c>
      <c r="H87" s="81" t="inlineStr">
        <is>
          <t>Kg</t>
        </is>
      </c>
      <c r="I87" s="79" t="n"/>
      <c r="J87" s="78" t="n"/>
      <c r="K87" s="79" t="n"/>
      <c r="L87" s="80" t="n"/>
      <c r="M87" s="80" t="n"/>
      <c r="N87" s="80" t="n"/>
      <c r="O87" s="20" t="n"/>
      <c r="P87" s="4" t="n"/>
      <c r="Q87" s="4" t="n"/>
    </row>
    <row r="88" ht="15" customHeight="1" s="95">
      <c r="B88" s="4" t="n"/>
      <c r="C88" s="96" t="inlineStr">
        <is>
          <t>VECARPJT011</t>
        </is>
      </c>
      <c r="D88" s="18" t="inlineStr">
        <is>
          <t>Cheesecake Limón JT</t>
        </is>
      </c>
      <c r="E88" s="207">
        <f>IFERROR(
IF(
INDEX($K$272:$K$977,MATCH(C88,$B$272:$B$977,0))&lt;&gt;0,
INDEX($K$272:$K$977,MATCH(C88,$B$272:$B$977,0)),
INDEX($L$272:$L$977,MATCH(C88,$B$272:$B$977,0))
),
0)</f>
        <v/>
      </c>
      <c r="F88" s="1" t="inlineStr">
        <is>
          <t>Cheesecake de Limón</t>
        </is>
      </c>
      <c r="G88" s="52" t="n">
        <v>1</v>
      </c>
      <c r="H88" s="81" t="inlineStr">
        <is>
          <t>Kg</t>
        </is>
      </c>
      <c r="I88" s="79" t="n"/>
      <c r="J88" s="78" t="n"/>
      <c r="K88" s="79" t="n"/>
      <c r="L88" s="80" t="n"/>
      <c r="M88" s="80" t="n"/>
      <c r="N88" s="80" t="n"/>
      <c r="O88" s="20" t="n"/>
      <c r="P88" s="4" t="n"/>
      <c r="Q88" s="4" t="n"/>
    </row>
    <row r="89">
      <c r="B89" s="4" t="n"/>
      <c r="C89" s="96" t="inlineStr">
        <is>
          <t>VECARPUB011</t>
        </is>
      </c>
      <c r="D89" s="18" t="inlineStr">
        <is>
          <t>Cheesecake Limón PY</t>
        </is>
      </c>
      <c r="E89" s="207">
        <f>IFERROR(
IF(
INDEX($K$272:$K$977,MATCH(C89,$B$272:$B$977,0))&lt;&gt;0,
INDEX($K$272:$K$977,MATCH(C89,$B$272:$B$977,0)),
INDEX($L$272:$L$977,MATCH(C89,$B$272:$B$977,0))
),
0)</f>
        <v/>
      </c>
      <c r="F89" s="1" t="inlineStr">
        <is>
          <t>Cheesecake de Limón</t>
        </is>
      </c>
      <c r="G89" s="52" t="n">
        <v>1</v>
      </c>
      <c r="H89" s="81" t="inlineStr">
        <is>
          <t>Kg</t>
        </is>
      </c>
      <c r="I89" s="79" t="n"/>
      <c r="J89" s="78" t="n"/>
      <c r="K89" s="79" t="n"/>
      <c r="L89" s="80" t="n"/>
      <c r="M89" s="80" t="n"/>
      <c r="N89" s="80" t="n"/>
      <c r="O89" s="20" t="n"/>
      <c r="P89" s="4" t="n"/>
      <c r="Q89" s="4" t="n"/>
    </row>
    <row r="90">
      <c r="B90" s="4" t="n"/>
      <c r="C90" s="96" t="inlineStr">
        <is>
          <t>VECARFON061</t>
        </is>
      </c>
      <c r="D90" s="18" t="inlineStr">
        <is>
          <t>Chupe de salmón ahumado</t>
        </is>
      </c>
      <c r="E90" s="207">
        <f>IFERROR(
IF(
INDEX($K$272:$K$977,MATCH(C90,$B$272:$B$977,0))&lt;&gt;0,
INDEX($K$272:$K$977,MATCH(C90,$B$272:$B$977,0)),
INDEX($L$272:$L$977,MATCH(C90,$B$272:$B$977,0))
),
0)</f>
        <v/>
      </c>
      <c r="F90" s="1" t="inlineStr">
        <is>
          <t>Chupe</t>
        </is>
      </c>
      <c r="G90" s="52" t="n">
        <v>1</v>
      </c>
      <c r="H90" s="81" t="inlineStr">
        <is>
          <t>Porción</t>
        </is>
      </c>
      <c r="I90" s="79" t="n"/>
      <c r="J90" s="78" t="n"/>
      <c r="K90" s="79" t="n"/>
      <c r="L90" s="80" t="n"/>
      <c r="M90" s="80" t="n"/>
      <c r="N90" s="80" t="n"/>
      <c r="O90" s="20" t="n"/>
      <c r="P90" s="4" t="n"/>
      <c r="Q90" s="4" t="n"/>
    </row>
    <row r="91">
      <c r="B91" s="4" t="n"/>
      <c r="C91" s="96" t="inlineStr">
        <is>
          <t>VECARPOS006</t>
        </is>
      </c>
      <c r="D91" s="18" t="inlineStr">
        <is>
          <t>Discos de Chocolate</t>
        </is>
      </c>
      <c r="E91" s="207">
        <f>IFERROR(
IF(
INDEX($K$272:$K$977,MATCH(C91,$B$272:$B$977,0))&lt;&gt;0,
INDEX($K$272:$K$977,MATCH(C91,$B$272:$B$977,0)),
INDEX($L$272:$L$977,MATCH(C91,$B$272:$B$977,0))
),
0)</f>
        <v/>
      </c>
      <c r="F91" s="18" t="inlineStr">
        <is>
          <t>Discos de Chocolate</t>
        </is>
      </c>
      <c r="G91" s="52" t="n">
        <v>3</v>
      </c>
      <c r="H91" s="81" t="inlineStr">
        <is>
          <t>Und</t>
        </is>
      </c>
      <c r="I91" s="79" t="n"/>
      <c r="J91" s="78" t="n"/>
      <c r="K91" s="79" t="n"/>
      <c r="L91" s="80" t="n"/>
      <c r="M91" s="80" t="n"/>
      <c r="N91" s="80" t="n"/>
      <c r="O91" s="20" t="n"/>
      <c r="P91" s="4" t="n"/>
      <c r="Q91" s="4" t="n"/>
    </row>
    <row r="92">
      <c r="B92" s="4" t="n"/>
      <c r="C92" s="96" t="inlineStr">
        <is>
          <t>VECARENT004</t>
        </is>
      </c>
      <c r="D92" s="18" t="inlineStr">
        <is>
          <t>Emp Frita Mechada</t>
        </is>
      </c>
      <c r="E92" s="207">
        <f>IFERROR(
IF(
INDEX($K$272:$K$977,MATCH(C92,$B$272:$B$977,0))&lt;&gt;0,
INDEX($K$272:$K$977,MATCH(C92,$B$272:$B$977,0)),
INDEX($L$272:$L$977,MATCH(C92,$B$272:$B$977,0))
),
0)</f>
        <v/>
      </c>
      <c r="F92" s="1" t="inlineStr">
        <is>
          <t>Empanada Mechada</t>
        </is>
      </c>
      <c r="G92" s="52" t="n">
        <v>4</v>
      </c>
      <c r="H92" s="81" t="inlineStr">
        <is>
          <t>Und</t>
        </is>
      </c>
      <c r="I92" s="79" t="n"/>
      <c r="J92" s="78" t="n"/>
      <c r="K92" s="79" t="n"/>
      <c r="L92" s="80" t="n"/>
      <c r="M92" s="80" t="n"/>
      <c r="N92" s="80" t="n"/>
      <c r="O92" s="20" t="n"/>
      <c r="P92" s="4" t="n"/>
      <c r="Q92" s="4" t="n"/>
    </row>
    <row r="93">
      <c r="B93" s="4" t="n"/>
      <c r="C93" s="96" t="inlineStr">
        <is>
          <t>VECARAJT001</t>
        </is>
      </c>
      <c r="D93" s="18" t="inlineStr">
        <is>
          <t>Emp Mechada JT</t>
        </is>
      </c>
      <c r="E93" s="207">
        <f>IFERROR(
IF(
INDEX($K$272:$K$977,MATCH(C93,$B$272:$B$977,0))&lt;&gt;0,
INDEX($K$272:$K$977,MATCH(C93,$B$272:$B$977,0)),
INDEX($L$272:$L$977,MATCH(C93,$B$272:$B$977,0))
),
0)</f>
        <v/>
      </c>
      <c r="F93" s="1" t="inlineStr">
        <is>
          <t>Empanada Mechada</t>
        </is>
      </c>
      <c r="G93" s="52" t="n">
        <v>4</v>
      </c>
      <c r="H93" s="81" t="inlineStr">
        <is>
          <t>Und</t>
        </is>
      </c>
      <c r="I93" s="79" t="n"/>
      <c r="J93" s="78" t="n"/>
      <c r="K93" s="79" t="n"/>
      <c r="L93" s="80" t="n"/>
      <c r="M93" s="80" t="n"/>
      <c r="N93" s="80" t="n"/>
      <c r="O93" s="20" t="n"/>
      <c r="P93" s="4" t="n"/>
      <c r="Q93" s="4" t="n"/>
    </row>
    <row r="94">
      <c r="B94" s="4" t="n"/>
      <c r="C94" s="96" t="inlineStr">
        <is>
          <t>VECARAUB001</t>
        </is>
      </c>
      <c r="D94" s="18" t="inlineStr">
        <is>
          <t>Emp Mechada PY</t>
        </is>
      </c>
      <c r="E94" s="207">
        <f>IFERROR(
IF(
INDEX($K$272:$K$977,MATCH(C94,$B$272:$B$977,0))&lt;&gt;0,
INDEX($K$272:$K$977,MATCH(C94,$B$272:$B$977,0)),
INDEX($L$272:$L$977,MATCH(C94,$B$272:$B$977,0))
),
0)</f>
        <v/>
      </c>
      <c r="F94" s="1" t="inlineStr">
        <is>
          <t>Empanada Mechada</t>
        </is>
      </c>
      <c r="G94" s="52" t="n">
        <v>4</v>
      </c>
      <c r="H94" s="81" t="inlineStr">
        <is>
          <t>Und</t>
        </is>
      </c>
      <c r="I94" s="79" t="n"/>
      <c r="J94" s="78" t="n"/>
      <c r="K94" s="79" t="n"/>
      <c r="L94" s="80" t="n"/>
      <c r="M94" s="80" t="n"/>
      <c r="N94" s="80" t="n"/>
      <c r="O94" s="20" t="n"/>
      <c r="P94" s="4" t="n"/>
      <c r="Q94" s="4" t="n"/>
    </row>
    <row r="95">
      <c r="B95" s="4" t="n"/>
      <c r="C95" s="96" t="inlineStr">
        <is>
          <t>VECARENT035</t>
        </is>
      </c>
      <c r="D95" s="18" t="inlineStr">
        <is>
          <t>Emp Pulpo Camarón</t>
        </is>
      </c>
      <c r="E95" s="207">
        <f>IFERROR(
IF(
INDEX($K$272:$K$977,MATCH(C95,$B$272:$B$977,0))&lt;&gt;0,
INDEX($K$272:$K$977,MATCH(C95,$B$272:$B$977,0)),
INDEX($L$272:$L$977,MATCH(C95,$B$272:$B$977,0))
),
0)</f>
        <v/>
      </c>
      <c r="F95" s="1" t="inlineStr">
        <is>
          <t>Empanada Pulpo</t>
        </is>
      </c>
      <c r="G95" s="52" t="n">
        <v>4</v>
      </c>
      <c r="H95" s="81" t="inlineStr">
        <is>
          <t>Und</t>
        </is>
      </c>
      <c r="I95" s="79" t="n"/>
      <c r="J95" s="78" t="n"/>
      <c r="K95" s="79" t="n"/>
      <c r="L95" s="80" t="n"/>
      <c r="M95" s="80" t="n"/>
      <c r="N95" s="80" t="n"/>
      <c r="O95" s="20" t="n"/>
      <c r="P95" s="4" t="n"/>
      <c r="Q95" s="4" t="n"/>
    </row>
    <row r="96">
      <c r="B96" s="4" t="n"/>
      <c r="C96" s="96" t="inlineStr">
        <is>
          <t>VECARENS003</t>
        </is>
      </c>
      <c r="D96" s="18" t="inlineStr">
        <is>
          <t>Ens Atún Mango</t>
        </is>
      </c>
      <c r="E96" s="207">
        <f>IFERROR(
IF(
INDEX($K$272:$K$977,MATCH(C96,$B$272:$B$977,0))&lt;&gt;0,
INDEX($K$272:$K$977,MATCH(C96,$B$272:$B$977,0)),
INDEX($L$272:$L$977,MATCH(C96,$B$272:$B$977,0))
),
0)</f>
        <v/>
      </c>
      <c r="F96" s="1" t="inlineStr">
        <is>
          <t>Atún Steak</t>
        </is>
      </c>
      <c r="G96" s="52" t="n">
        <v>0.18</v>
      </c>
      <c r="H96" s="81" t="inlineStr">
        <is>
          <t>Kg</t>
        </is>
      </c>
      <c r="I96" s="79" t="n"/>
      <c r="J96" s="78" t="n"/>
      <c r="K96" s="79" t="n"/>
      <c r="L96" s="80" t="n"/>
      <c r="M96" s="80" t="n"/>
      <c r="N96" s="80" t="n"/>
      <c r="O96" s="20" t="n"/>
      <c r="P96" s="4" t="n"/>
      <c r="Q96" s="4" t="n"/>
    </row>
    <row r="97">
      <c r="B97" s="4" t="n"/>
      <c r="C97" s="96" t="inlineStr">
        <is>
          <t>VECAREJT001</t>
        </is>
      </c>
      <c r="D97" s="18" t="inlineStr">
        <is>
          <t>Ens Atún Mango JT</t>
        </is>
      </c>
      <c r="E97" s="207">
        <f>IFERROR(
IF(
INDEX($K$272:$K$977,MATCH(C97,$B$272:$B$977,0))&lt;&gt;0,
INDEX($K$272:$K$977,MATCH(C97,$B$272:$B$977,0)),
INDEX($L$272:$L$977,MATCH(C97,$B$272:$B$977,0))
),
0)</f>
        <v/>
      </c>
      <c r="F97" s="1" t="inlineStr">
        <is>
          <t>Atún Steak</t>
        </is>
      </c>
      <c r="G97" s="52" t="n">
        <v>0.18</v>
      </c>
      <c r="H97" s="81" t="inlineStr">
        <is>
          <t>Kg</t>
        </is>
      </c>
      <c r="I97" s="79" t="n"/>
      <c r="J97" s="78" t="n"/>
      <c r="K97" s="79" t="n"/>
      <c r="L97" s="80" t="n"/>
      <c r="M97" s="80" t="n"/>
      <c r="N97" s="80" t="n"/>
      <c r="O97" s="20" t="n"/>
      <c r="P97" s="4" t="n"/>
      <c r="Q97" s="4" t="n"/>
    </row>
    <row r="98">
      <c r="B98" s="4" t="n"/>
      <c r="C98" s="96" t="inlineStr">
        <is>
          <t>VECAREUB001</t>
        </is>
      </c>
      <c r="D98" s="18" t="inlineStr">
        <is>
          <t>Ens Atún Mango PY</t>
        </is>
      </c>
      <c r="E98" s="207">
        <f>IFERROR(
IF(
INDEX($K$272:$K$977,MATCH(C98,$B$272:$B$977,0))&lt;&gt;0,
INDEX($K$272:$K$977,MATCH(C98,$B$272:$B$977,0)),
INDEX($L$272:$L$977,MATCH(C98,$B$272:$B$977,0))
),
0)</f>
        <v/>
      </c>
      <c r="F98" s="1" t="inlineStr">
        <is>
          <t>Atún Steak</t>
        </is>
      </c>
      <c r="G98" s="52" t="n">
        <v>0.18</v>
      </c>
      <c r="H98" s="81" t="inlineStr">
        <is>
          <t>Kg</t>
        </is>
      </c>
      <c r="I98" s="79" t="n"/>
      <c r="J98" s="78" t="n"/>
      <c r="K98" s="79" t="n"/>
      <c r="L98" s="80" t="n"/>
      <c r="M98" s="80" t="n"/>
      <c r="N98" s="80" t="n"/>
      <c r="O98" s="20" t="n"/>
      <c r="P98" s="4" t="n"/>
      <c r="Q98" s="4" t="n"/>
    </row>
    <row r="99">
      <c r="B99" s="4" t="n"/>
      <c r="C99" s="96" t="inlineStr">
        <is>
          <t>VECAREJT004</t>
        </is>
      </c>
      <c r="D99" s="18" t="inlineStr">
        <is>
          <t>Ens Caprese JT</t>
        </is>
      </c>
      <c r="E99" s="207">
        <f>IFERROR(
IF(
INDEX($K$272:$K$977,MATCH(C99,$B$272:$B$977,0))&lt;&gt;0,
INDEX($K$272:$K$977,MATCH(C99,$B$272:$B$977,0)),
INDEX($L$272:$L$977,MATCH(C99,$B$272:$B$977,0))
),
0)</f>
        <v/>
      </c>
      <c r="F99" s="1" t="inlineStr">
        <is>
          <t>Queso Mozzarella</t>
        </is>
      </c>
      <c r="G99" s="52" t="n">
        <v>1</v>
      </c>
      <c r="H99" s="81" t="inlineStr">
        <is>
          <t>Und</t>
        </is>
      </c>
      <c r="I99" s="79" t="n"/>
      <c r="J99" s="78" t="n"/>
      <c r="K99" s="79" t="n"/>
      <c r="L99" s="80" t="n"/>
      <c r="M99" s="80" t="n"/>
      <c r="N99" s="80" t="n"/>
      <c r="O99" s="20" t="n"/>
      <c r="P99" s="4" t="n"/>
      <c r="Q99" s="4" t="n"/>
    </row>
    <row r="100" ht="15" customHeight="1" s="95">
      <c r="B100" s="4" t="n"/>
      <c r="C100" s="96" t="inlineStr">
        <is>
          <t>VECARENS002</t>
        </is>
      </c>
      <c r="D100" s="18" t="inlineStr">
        <is>
          <t>Ens Capresse</t>
        </is>
      </c>
      <c r="E100" s="207">
        <f>IFERROR(
IF(
INDEX($K$272:$K$977,MATCH(C100,$B$272:$B$977,0))&lt;&gt;0,
INDEX($K$272:$K$977,MATCH(C100,$B$272:$B$977,0)),
INDEX($L$272:$L$977,MATCH(C100,$B$272:$B$977,0))
),
0)</f>
        <v/>
      </c>
      <c r="F100" s="1" t="inlineStr">
        <is>
          <t>Queso Mozzarella</t>
        </is>
      </c>
      <c r="G100" s="52" t="n">
        <v>1</v>
      </c>
      <c r="H100" s="81" t="inlineStr">
        <is>
          <t>Und</t>
        </is>
      </c>
      <c r="I100" s="79" t="n"/>
      <c r="J100" s="78" t="n"/>
      <c r="K100" s="79" t="n"/>
      <c r="L100" s="80" t="n"/>
      <c r="M100" s="80" t="n"/>
      <c r="N100" s="80" t="n"/>
      <c r="O100" s="20" t="n"/>
      <c r="P100" s="4" t="n"/>
      <c r="Q100" s="4" t="n"/>
    </row>
    <row r="101" ht="15" customHeight="1" s="95">
      <c r="B101" s="4" t="n"/>
      <c r="C101" s="96" t="inlineStr">
        <is>
          <t>VECARENS023</t>
        </is>
      </c>
      <c r="D101" s="18" t="inlineStr">
        <is>
          <t>Ens Pera Queso Azul</t>
        </is>
      </c>
      <c r="E101" s="207">
        <f>IFERROR(
IF(
INDEX($K$272:$K$977,MATCH(C101,$B$272:$B$977,0))&lt;&gt;0,
INDEX($K$272:$K$977,MATCH(C101,$B$272:$B$977,0)),
INDEX($L$272:$L$977,MATCH(C101,$B$272:$B$977,0))
),
0)</f>
        <v/>
      </c>
      <c r="F101" s="1" t="inlineStr">
        <is>
          <t>Jamón serrano</t>
        </is>
      </c>
      <c r="G101" s="52" t="n">
        <v>0.04</v>
      </c>
      <c r="H101" s="81" t="inlineStr">
        <is>
          <t>Kg</t>
        </is>
      </c>
      <c r="I101" s="79" t="n"/>
      <c r="J101" s="78" t="n"/>
      <c r="K101" s="79" t="n"/>
      <c r="L101" s="80" t="n"/>
      <c r="M101" s="80" t="n"/>
      <c r="N101" s="80" t="n"/>
      <c r="O101" s="20" t="n"/>
      <c r="P101" s="4" t="n"/>
      <c r="Q101" s="4" t="n"/>
    </row>
    <row r="102" ht="15" customHeight="1" s="95">
      <c r="B102" s="4" t="n"/>
      <c r="C102" s="96" t="inlineStr">
        <is>
          <t>VECAREJT016</t>
        </is>
      </c>
      <c r="D102" s="18" t="inlineStr">
        <is>
          <t>Ens Pera Oporto JT</t>
        </is>
      </c>
      <c r="E102" s="207">
        <f>IFERROR(
IF(
INDEX($K$272:$K$977,MATCH(C102,$B$272:$B$977,0))&lt;&gt;0,
INDEX($K$272:$K$977,MATCH(C102,$B$272:$B$977,0)),
INDEX($L$272:$L$977,MATCH(C102,$B$272:$B$977,0))
),
0)</f>
        <v/>
      </c>
      <c r="F102" s="1" t="inlineStr">
        <is>
          <t>Jamón serrano</t>
        </is>
      </c>
      <c r="G102" s="52" t="n">
        <v>0.04</v>
      </c>
      <c r="H102" s="81" t="inlineStr">
        <is>
          <t>Kg</t>
        </is>
      </c>
      <c r="I102" s="79" t="n"/>
      <c r="J102" s="78" t="n"/>
      <c r="K102" s="79" t="n"/>
      <c r="L102" s="80" t="n"/>
      <c r="M102" s="80" t="n"/>
      <c r="N102" s="80" t="n"/>
      <c r="O102" s="20" t="n"/>
      <c r="P102" s="4" t="n"/>
      <c r="Q102" s="4" t="n"/>
    </row>
    <row r="103">
      <c r="B103" s="4" t="n"/>
      <c r="C103" s="96" t="inlineStr">
        <is>
          <t>VECAREUB016</t>
        </is>
      </c>
      <c r="D103" s="18" t="inlineStr">
        <is>
          <t>Ens Peras Oporto  PY</t>
        </is>
      </c>
      <c r="E103" s="207">
        <f>IFERROR(
IF(
INDEX($K$272:$K$977,MATCH(C103,$B$272:$B$977,0))&lt;&gt;0,
INDEX($K$272:$K$977,MATCH(C103,$B$272:$B$977,0)),
INDEX($L$272:$L$977,MATCH(C103,$B$272:$B$977,0))
),
0)</f>
        <v/>
      </c>
      <c r="F103" s="18" t="inlineStr">
        <is>
          <t>Jamón serrano</t>
        </is>
      </c>
      <c r="G103" s="52" t="n">
        <v>0.04</v>
      </c>
      <c r="H103" s="81" t="inlineStr">
        <is>
          <t>Kg</t>
        </is>
      </c>
      <c r="I103" s="79" t="n"/>
      <c r="J103" s="78" t="n"/>
      <c r="K103" s="79" t="n"/>
      <c r="L103" s="80" t="n"/>
      <c r="M103" s="80" t="n"/>
      <c r="N103" s="80" t="n"/>
      <c r="O103" s="20" t="n"/>
      <c r="P103" s="4" t="n"/>
      <c r="Q103" s="4" t="n"/>
    </row>
    <row r="104" ht="15" customHeight="1" s="95">
      <c r="B104" s="4" t="n"/>
      <c r="C104" s="96" t="inlineStr">
        <is>
          <t>VECARENS006</t>
        </is>
      </c>
      <c r="D104" s="18" t="inlineStr">
        <is>
          <t>Ens Salmon Q.Cabra</t>
        </is>
      </c>
      <c r="E104" s="207">
        <f>IFERROR(
IF(
INDEX($K$272:$K$977,MATCH(C104,$B$272:$B$977,0))&lt;&gt;0,
INDEX($K$272:$K$977,MATCH(C104,$B$272:$B$977,0)),
INDEX($L$272:$L$977,MATCH(C104,$B$272:$B$977,0))
),
0)</f>
        <v/>
      </c>
      <c r="F104" s="1" t="inlineStr">
        <is>
          <t>Salmón ahumado en Caliente</t>
        </is>
      </c>
      <c r="G104" s="52" t="n">
        <v>0.12</v>
      </c>
      <c r="H104" s="81" t="inlineStr">
        <is>
          <t>Kg</t>
        </is>
      </c>
      <c r="I104" s="79" t="n"/>
      <c r="J104" s="78" t="n"/>
      <c r="K104" s="79" t="n"/>
      <c r="L104" s="80" t="n"/>
      <c r="M104" s="80" t="n"/>
      <c r="N104" s="80" t="n"/>
      <c r="O104" s="20" t="n"/>
      <c r="P104" s="4" t="n"/>
      <c r="Q104" s="4" t="n"/>
    </row>
    <row r="105" ht="15" customHeight="1" s="95">
      <c r="B105" s="4" t="n"/>
      <c r="C105" s="96" t="inlineStr">
        <is>
          <t>VECAREJT003</t>
        </is>
      </c>
      <c r="D105" s="18" t="inlineStr">
        <is>
          <t>Ens Salmon Q.Cabra JT</t>
        </is>
      </c>
      <c r="E105" s="207">
        <f>IFERROR(
IF(
INDEX($K$272:$K$977,MATCH(C105,$B$272:$B$977,0))&lt;&gt;0,
INDEX($K$272:$K$977,MATCH(C105,$B$272:$B$977,0)),
INDEX($L$272:$L$977,MATCH(C105,$B$272:$B$977,0))
),
0)</f>
        <v/>
      </c>
      <c r="F105" s="1" t="inlineStr">
        <is>
          <t>Salmón ahumado en Caliente</t>
        </is>
      </c>
      <c r="G105" s="52" t="n">
        <v>0.12</v>
      </c>
      <c r="H105" s="81" t="inlineStr">
        <is>
          <t>Kg</t>
        </is>
      </c>
      <c r="I105" s="79" t="n"/>
      <c r="J105" s="78" t="n"/>
      <c r="K105" s="79" t="n"/>
      <c r="L105" s="80" t="n"/>
      <c r="M105" s="80" t="n"/>
      <c r="N105" s="80" t="n"/>
      <c r="O105" s="20" t="n"/>
      <c r="P105" s="4" t="n"/>
      <c r="Q105" s="4" t="n"/>
    </row>
    <row r="106" ht="15" customHeight="1" s="95">
      <c r="B106" s="4" t="n"/>
      <c r="C106" s="96" t="inlineStr">
        <is>
          <t>VECAREUB003</t>
        </is>
      </c>
      <c r="D106" s="18" t="inlineStr">
        <is>
          <t>Ens Salmon Q.Cabra PY</t>
        </is>
      </c>
      <c r="E106" s="207">
        <f>IFERROR(
IF(
INDEX($K$272:$K$977,MATCH(C106,$B$272:$B$977,0))&lt;&gt;0,
INDEX($K$272:$K$977,MATCH(C106,$B$272:$B$977,0)),
INDEX($L$272:$L$977,MATCH(C106,$B$272:$B$977,0))
),
0)</f>
        <v/>
      </c>
      <c r="F106" s="1" t="inlineStr">
        <is>
          <t>Salmón ahumado en Caliente</t>
        </is>
      </c>
      <c r="G106" s="52" t="n">
        <v>0.12</v>
      </c>
      <c r="H106" s="81" t="inlineStr">
        <is>
          <t>Kg</t>
        </is>
      </c>
      <c r="I106" s="79" t="n"/>
      <c r="J106" s="78" t="n"/>
      <c r="K106" s="79" t="n"/>
      <c r="L106" s="80" t="n"/>
      <c r="M106" s="80" t="n"/>
      <c r="N106" s="80" t="n"/>
      <c r="O106" s="20" t="n"/>
      <c r="P106" s="4" t="n"/>
      <c r="Q106" s="4" t="n"/>
    </row>
    <row r="107" ht="15" customHeight="1" s="95">
      <c r="B107" s="4" t="n"/>
      <c r="C107" s="96" t="inlineStr">
        <is>
          <t>VECARENS009</t>
        </is>
      </c>
      <c r="D107" s="18" t="inlineStr">
        <is>
          <t>Ens Verduras Asadas</t>
        </is>
      </c>
      <c r="E107" s="207">
        <f>IFERROR(
IF(
INDEX($K$272:$K$977,MATCH(C107,$B$272:$B$977,0))&lt;&gt;0,
INDEX($K$272:$K$977,MATCH(C107,$B$272:$B$977,0)),
INDEX($L$272:$L$977,MATCH(C107,$B$272:$B$977,0))
),
0)</f>
        <v/>
      </c>
      <c r="F107" s="1" t="inlineStr">
        <is>
          <t>Granola Salada</t>
        </is>
      </c>
      <c r="G107" s="52" t="n">
        <v>0.025</v>
      </c>
      <c r="H107" s="81" t="inlineStr">
        <is>
          <t>Kg</t>
        </is>
      </c>
      <c r="I107" s="79" t="n"/>
      <c r="J107" s="78" t="n"/>
      <c r="K107" s="79" t="n"/>
      <c r="L107" s="80" t="n"/>
      <c r="M107" s="80" t="n"/>
      <c r="N107" s="80" t="n"/>
      <c r="O107" s="20" t="n"/>
      <c r="P107" s="4" t="n"/>
      <c r="Q107" s="4" t="n"/>
    </row>
    <row r="108" ht="15" customHeight="1" s="95">
      <c r="B108" s="4" t="n"/>
      <c r="C108" s="96" t="inlineStr">
        <is>
          <t>VECAREJT015</t>
        </is>
      </c>
      <c r="D108" s="18" t="inlineStr">
        <is>
          <t>Ens Verduras Asadas JT</t>
        </is>
      </c>
      <c r="E108" s="207">
        <f>IFERROR(
IF(
INDEX($K$272:$K$977,MATCH(C108,$B$272:$B$977,0))&lt;&gt;0,
INDEX($K$272:$K$977,MATCH(C108,$B$272:$B$977,0)),
INDEX($L$272:$L$977,MATCH(C108,$B$272:$B$977,0))
),
0)</f>
        <v/>
      </c>
      <c r="F108" s="1" t="inlineStr">
        <is>
          <t>Granola Salada</t>
        </is>
      </c>
      <c r="G108" s="52" t="n">
        <v>0.025</v>
      </c>
      <c r="H108" s="81" t="inlineStr">
        <is>
          <t>Kg</t>
        </is>
      </c>
      <c r="I108" s="79" t="n"/>
      <c r="J108" s="78" t="n"/>
      <c r="K108" s="79" t="n"/>
      <c r="L108" s="80" t="n"/>
      <c r="M108" s="80" t="n"/>
      <c r="N108" s="80" t="n"/>
      <c r="O108" s="20" t="n"/>
      <c r="P108" s="4" t="n"/>
      <c r="Q108" s="4" t="n"/>
    </row>
    <row r="109" ht="15" customHeight="1" s="95">
      <c r="B109" s="4" t="n"/>
      <c r="C109" s="96" t="inlineStr">
        <is>
          <t>VECAREUB015</t>
        </is>
      </c>
      <c r="D109" s="18" t="inlineStr">
        <is>
          <t>Ens Verdura Asada PY</t>
        </is>
      </c>
      <c r="E109" s="207">
        <f>IFERROR(
IF(
INDEX($K$272:$K$977,MATCH(C109,$B$272:$B$977,0))&lt;&gt;0,
INDEX($K$272:$K$977,MATCH(C109,$B$272:$B$977,0)),
INDEX($L$272:$L$977,MATCH(C109,$B$272:$B$977,0))
),
0)</f>
        <v/>
      </c>
      <c r="F109" s="1" t="inlineStr">
        <is>
          <t>Granola Salada</t>
        </is>
      </c>
      <c r="G109" s="52" t="n">
        <v>0.025</v>
      </c>
      <c r="H109" s="81" t="inlineStr">
        <is>
          <t>Kg</t>
        </is>
      </c>
      <c r="I109" s="79" t="n"/>
      <c r="J109" s="78" t="n"/>
      <c r="K109" s="79" t="n"/>
      <c r="L109" s="80" t="n"/>
      <c r="M109" s="80" t="n"/>
      <c r="N109" s="80" t="n"/>
      <c r="O109" s="20" t="n"/>
      <c r="P109" s="4" t="n"/>
      <c r="Q109" s="4" t="n"/>
    </row>
    <row r="110" ht="15" customHeight="1" s="95">
      <c r="B110" s="4" t="n"/>
      <c r="C110" s="96" t="inlineStr">
        <is>
          <t>VECAREUB004</t>
        </is>
      </c>
      <c r="D110" s="18" t="inlineStr">
        <is>
          <t>Ens.Caprese PY</t>
        </is>
      </c>
      <c r="E110" s="207">
        <f>IFERROR(
IF(
INDEX($K$272:$K$977,MATCH(C110,$B$272:$B$977,0))&lt;&gt;0,
INDEX($K$272:$K$977,MATCH(C110,$B$272:$B$977,0)),
INDEX($L$272:$L$977,MATCH(C110,$B$272:$B$977,0))
),
0)</f>
        <v/>
      </c>
      <c r="F110" s="1" t="inlineStr">
        <is>
          <t>Queso Mozzarella</t>
        </is>
      </c>
      <c r="G110" s="52" t="n">
        <v>1</v>
      </c>
      <c r="H110" s="81" t="inlineStr">
        <is>
          <t>Und</t>
        </is>
      </c>
      <c r="I110" s="79" t="n"/>
      <c r="J110" s="78" t="n"/>
      <c r="K110" s="79" t="n"/>
      <c r="L110" s="80" t="n"/>
      <c r="M110" s="80" t="n"/>
      <c r="N110" s="80" t="n"/>
      <c r="O110" s="20" t="n"/>
      <c r="P110" s="4" t="n"/>
      <c r="Q110" s="4" t="n"/>
    </row>
    <row r="111" ht="15" customHeight="1" s="95">
      <c r="B111" s="4" t="n"/>
      <c r="C111" s="96" t="inlineStr">
        <is>
          <t>VECARFUB024</t>
        </is>
      </c>
      <c r="D111" s="18" t="inlineStr">
        <is>
          <t>Fettuccini Salsa Jamón Py</t>
        </is>
      </c>
      <c r="E111" s="207">
        <f>IFERROR(
IF(
INDEX($K$272:$K$977,MATCH(C111,$B$272:$B$977,0))&lt;&gt;0,
INDEX($K$272:$K$977,MATCH(C111,$B$272:$B$977,0)),
INDEX($L$272:$L$977,MATCH(C111,$B$272:$B$977,0))
),
0)</f>
        <v/>
      </c>
      <c r="F111" s="1" t="inlineStr">
        <is>
          <t>Jamón de Pavo</t>
        </is>
      </c>
      <c r="G111" s="52" t="n">
        <v>0.07000000000000001</v>
      </c>
      <c r="H111" s="81" t="inlineStr">
        <is>
          <t>Kg</t>
        </is>
      </c>
      <c r="I111" s="79" t="n"/>
      <c r="J111" s="78" t="n"/>
      <c r="K111" s="79" t="n"/>
      <c r="L111" s="80" t="n"/>
      <c r="M111" s="80" t="n"/>
      <c r="N111" s="80" t="n"/>
      <c r="O111" s="20" t="n"/>
      <c r="P111" s="4" t="n"/>
      <c r="Q111" s="4" t="n"/>
    </row>
    <row r="112" ht="15" customHeight="1" s="95">
      <c r="B112" s="4" t="n"/>
      <c r="C112" s="96" t="inlineStr">
        <is>
          <t>VECARNIN002</t>
        </is>
      </c>
      <c r="D112" s="18" t="inlineStr">
        <is>
          <t>Fetuccini Salsa Jamón</t>
        </is>
      </c>
      <c r="E112" s="207">
        <f>IFERROR(
IF(
INDEX($K$272:$K$977,MATCH(C112,$B$272:$B$977,0))&lt;&gt;0,
INDEX($K$272:$K$977,MATCH(C112,$B$272:$B$977,0)),
INDEX($L$272:$L$977,MATCH(C112,$B$272:$B$977,0))
),
0)</f>
        <v/>
      </c>
      <c r="F112" s="1" t="inlineStr">
        <is>
          <t>Jamón de Pavo</t>
        </is>
      </c>
      <c r="G112" s="52" t="n">
        <v>0.07000000000000001</v>
      </c>
      <c r="H112" s="81" t="inlineStr">
        <is>
          <t>Kg</t>
        </is>
      </c>
      <c r="I112" s="79" t="n"/>
      <c r="J112" s="78" t="n"/>
      <c r="K112" s="79" t="n"/>
      <c r="L112" s="80" t="n"/>
      <c r="M112" s="80" t="n"/>
      <c r="N112" s="80" t="n"/>
      <c r="O112" s="20" t="n"/>
      <c r="P112" s="4" t="n"/>
      <c r="Q112" s="4" t="n"/>
    </row>
    <row r="113" ht="15" customHeight="1" s="95">
      <c r="B113" s="4" t="n"/>
      <c r="C113" s="96" t="inlineStr">
        <is>
          <t>VECARFUB028</t>
        </is>
      </c>
      <c r="D113" s="18" t="inlineStr">
        <is>
          <t>Filete Saltado con Arroz y Papas PY</t>
        </is>
      </c>
      <c r="E113" s="207">
        <f>IFERROR(
IF(
INDEX($K$272:$K$977,MATCH(C113,$B$272:$B$977,0))&lt;&gt;0,
INDEX($K$272:$K$977,MATCH(C113,$B$272:$B$977,0)),
INDEX($L$272:$L$977,MATCH(C113,$B$272:$B$977,0))
),
0)</f>
        <v/>
      </c>
      <c r="F113" s="1" t="inlineStr">
        <is>
          <t>Filete Salteado</t>
        </is>
      </c>
      <c r="G113" s="52" t="n">
        <v>0.16</v>
      </c>
      <c r="H113" s="81" t="inlineStr">
        <is>
          <t>Kg</t>
        </is>
      </c>
      <c r="I113" s="79" t="n"/>
      <c r="J113" s="78" t="n"/>
      <c r="K113" s="79" t="n"/>
      <c r="L113" s="80" t="n"/>
      <c r="M113" s="80" t="n"/>
      <c r="N113" s="80" t="n"/>
      <c r="O113" s="20" t="n"/>
      <c r="P113" s="4" t="n"/>
      <c r="Q113" s="4" t="n"/>
    </row>
    <row r="114" ht="15" customHeight="1" s="95">
      <c r="B114" s="4" t="n"/>
      <c r="C114" s="96" t="inlineStr">
        <is>
          <t>VECARFON010</t>
        </is>
      </c>
      <c r="D114" s="18" t="inlineStr">
        <is>
          <t>Filete Salteado Fritas</t>
        </is>
      </c>
      <c r="E114" s="207">
        <f>IFERROR(
IF(
INDEX($K$272:$K$977,MATCH(C114,$B$272:$B$977,0))&lt;&gt;0,
INDEX($K$272:$K$977,MATCH(C114,$B$272:$B$977,0)),
INDEX($L$272:$L$977,MATCH(C114,$B$272:$B$977,0))
),
0)</f>
        <v/>
      </c>
      <c r="F114" s="1" t="inlineStr">
        <is>
          <t>Filete Salteado</t>
        </is>
      </c>
      <c r="G114" s="52" t="n">
        <v>0.16</v>
      </c>
      <c r="H114" s="81" t="inlineStr">
        <is>
          <t>Kg</t>
        </is>
      </c>
      <c r="I114" s="79" t="n"/>
      <c r="J114" s="78" t="n"/>
      <c r="K114" s="79" t="n"/>
      <c r="L114" s="80" t="n"/>
      <c r="M114" s="80" t="n"/>
      <c r="N114" s="80" t="n"/>
      <c r="O114" s="20" t="n"/>
      <c r="P114" s="4" t="n"/>
      <c r="Q114" s="4" t="n"/>
    </row>
    <row r="115" ht="15" customHeight="1" s="95">
      <c r="B115" s="4" t="n"/>
      <c r="C115" s="96" t="inlineStr">
        <is>
          <t>VECARPUB002</t>
        </is>
      </c>
      <c r="D115" s="18" t="inlineStr">
        <is>
          <t>Flan Caluga  PY</t>
        </is>
      </c>
      <c r="E115" s="207">
        <f>IFERROR(
IF(
INDEX($K$272:$K$977,MATCH(C115,$B$272:$B$977,0))&lt;&gt;0,
INDEX($K$272:$K$977,MATCH(C115,$B$272:$B$977,0)),
INDEX($L$272:$L$977,MATCH(C115,$B$272:$B$977,0))
),
0)</f>
        <v/>
      </c>
      <c r="F115" s="1" t="inlineStr">
        <is>
          <t>Flan de Caluga</t>
        </is>
      </c>
      <c r="G115" s="52" t="n">
        <v>1</v>
      </c>
      <c r="H115" s="81" t="inlineStr">
        <is>
          <t>Kg</t>
        </is>
      </c>
      <c r="I115" s="79" t="n"/>
      <c r="J115" s="78" t="n"/>
      <c r="K115" s="79" t="n"/>
      <c r="L115" s="80" t="n"/>
      <c r="M115" s="80" t="n"/>
      <c r="N115" s="80" t="n"/>
      <c r="O115" s="20" t="n"/>
      <c r="P115" s="4" t="n"/>
      <c r="Q115" s="4" t="n"/>
    </row>
    <row r="116" ht="15" customHeight="1" s="95">
      <c r="B116" s="4" t="n"/>
      <c r="C116" s="96" t="inlineStr">
        <is>
          <t>VECARPJT002</t>
        </is>
      </c>
      <c r="D116" s="18" t="inlineStr">
        <is>
          <t>Flan Caluga JT</t>
        </is>
      </c>
      <c r="E116" s="207">
        <f>IFERROR(
IF(
INDEX($K$272:$K$977,MATCH(C116,$B$272:$B$977,0))&lt;&gt;0,
INDEX($K$272:$K$977,MATCH(C116,$B$272:$B$977,0)),
INDEX($L$272:$L$977,MATCH(C116,$B$272:$B$977,0))
),
0)</f>
        <v/>
      </c>
      <c r="F116" s="1" t="inlineStr">
        <is>
          <t>Flan de Caluga</t>
        </is>
      </c>
      <c r="G116" s="52" t="n">
        <v>1</v>
      </c>
      <c r="H116" s="81" t="inlineStr">
        <is>
          <t>Kg</t>
        </is>
      </c>
      <c r="I116" s="79" t="n"/>
      <c r="J116" s="78" t="n"/>
      <c r="K116" s="79" t="n"/>
      <c r="L116" s="80" t="n"/>
      <c r="M116" s="80" t="n"/>
      <c r="N116" s="80" t="n"/>
      <c r="O116" s="20" t="n"/>
      <c r="P116" s="4" t="n"/>
      <c r="Q116" s="4" t="n"/>
    </row>
    <row r="117" ht="15" customHeight="1" s="95">
      <c r="B117" s="4" t="n"/>
      <c r="C117" s="96" t="inlineStr">
        <is>
          <t>VECARPOS007</t>
        </is>
      </c>
      <c r="D117" s="18" t="inlineStr">
        <is>
          <t>Flan de Caluga</t>
        </is>
      </c>
      <c r="E117" s="207">
        <f>IFERROR(
IF(
INDEX($K$272:$K$977,MATCH(C117,$B$272:$B$977,0))&lt;&gt;0,
INDEX($K$272:$K$977,MATCH(C117,$B$272:$B$977,0)),
INDEX($L$272:$L$977,MATCH(C117,$B$272:$B$977,0))
),
0)</f>
        <v/>
      </c>
      <c r="F117" s="1" t="inlineStr">
        <is>
          <t>Flan de Caluga</t>
        </is>
      </c>
      <c r="G117" s="52" t="n">
        <v>1</v>
      </c>
      <c r="H117" s="81" t="inlineStr">
        <is>
          <t>Kg</t>
        </is>
      </c>
      <c r="I117" s="79" t="n"/>
      <c r="J117" s="78" t="n"/>
      <c r="K117" s="79" t="n"/>
      <c r="L117" s="80" t="n"/>
      <c r="M117" s="80" t="n"/>
      <c r="N117" s="80" t="n"/>
      <c r="O117" s="20" t="n"/>
      <c r="P117" s="4" t="n"/>
      <c r="Q117" s="4" t="n"/>
    </row>
    <row r="118" ht="15" customHeight="1" s="95">
      <c r="B118" s="4" t="n"/>
      <c r="C118" s="96" t="inlineStr">
        <is>
          <t>VECARNIN004</t>
        </is>
      </c>
      <c r="D118" s="18" t="inlineStr">
        <is>
          <t>Hamburguesa Niños</t>
        </is>
      </c>
      <c r="E118" s="207">
        <f>IFERROR(
IF(
INDEX($K$272:$K$977,MATCH(C118,$B$272:$B$977,0))&lt;&gt;0,
INDEX($K$272:$K$977,MATCH(C118,$B$272:$B$977,0)),
INDEX($L$272:$L$977,MATCH(C118,$B$272:$B$977,0))
),
0)</f>
        <v/>
      </c>
      <c r="F118" s="1" t="inlineStr">
        <is>
          <t>Hamburguesas</t>
        </is>
      </c>
      <c r="G118" s="52" t="n">
        <v>0.2</v>
      </c>
      <c r="H118" s="81" t="inlineStr">
        <is>
          <t>Kg</t>
        </is>
      </c>
      <c r="I118" s="79" t="n"/>
      <c r="J118" s="78" t="n"/>
      <c r="K118" s="79" t="n"/>
      <c r="L118" s="80" t="n"/>
      <c r="M118" s="80" t="n"/>
      <c r="N118" s="80" t="n"/>
      <c r="O118" s="20" t="n"/>
      <c r="P118" s="4" t="n"/>
      <c r="Q118" s="4" t="n"/>
    </row>
    <row r="119" ht="15" customHeight="1" s="95">
      <c r="B119" s="4" t="n"/>
      <c r="C119" s="96" t="inlineStr">
        <is>
          <t>VECARFON088</t>
        </is>
      </c>
      <c r="D119" s="18" t="inlineStr">
        <is>
          <t>Hojaldre de Carne Desmechada</t>
        </is>
      </c>
      <c r="E119" s="207">
        <f>IFERROR(
IF(
INDEX($K$272:$K$977,MATCH(C119,$B$272:$B$977,0))&lt;&gt;0,
INDEX($K$272:$K$977,MATCH(C119,$B$272:$B$977,0)),
INDEX($L$272:$L$977,MATCH(C119,$B$272:$B$977,0))
),
0)</f>
        <v/>
      </c>
      <c r="F119" s="1" t="inlineStr">
        <is>
          <t>Ganso</t>
        </is>
      </c>
      <c r="G119" s="52" t="n">
        <v>0.12</v>
      </c>
      <c r="H119" s="81" t="inlineStr">
        <is>
          <t>Kg</t>
        </is>
      </c>
      <c r="I119" s="79" t="n"/>
      <c r="J119" s="78" t="n"/>
      <c r="K119" s="79" t="n"/>
      <c r="L119" s="80" t="n"/>
      <c r="M119" s="80" t="n"/>
      <c r="N119" s="80" t="n"/>
      <c r="O119" s="20" t="n"/>
      <c r="P119" s="4" t="n"/>
      <c r="Q119" s="4" t="n"/>
    </row>
    <row r="120" ht="15" customHeight="1" s="95">
      <c r="B120" s="4" t="n"/>
      <c r="C120" s="96" t="inlineStr">
        <is>
          <t>VECARFON048</t>
        </is>
      </c>
      <c r="D120" s="18" t="inlineStr">
        <is>
          <t>Lasagna Ragout</t>
        </is>
      </c>
      <c r="E120" s="207">
        <f>IFERROR(
IF(
INDEX($K$272:$K$977,MATCH(C120,$B$272:$B$977,0))&lt;&gt;0,
INDEX($K$272:$K$977,MATCH(C120,$B$272:$B$977,0)),
INDEX($L$272:$L$977,MATCH(C120,$B$272:$B$977,0))
),
0)</f>
        <v/>
      </c>
      <c r="F120" s="1" t="inlineStr">
        <is>
          <t>Lasagna de Berenjenas</t>
        </is>
      </c>
      <c r="G120" s="52" t="n">
        <v>1</v>
      </c>
      <c r="H120" s="81" t="inlineStr">
        <is>
          <t>Porción</t>
        </is>
      </c>
      <c r="I120" s="79" t="n"/>
      <c r="J120" s="78" t="n"/>
      <c r="K120" s="79" t="n"/>
      <c r="L120" s="80" t="n"/>
      <c r="M120" s="80" t="n"/>
      <c r="N120" s="80" t="n"/>
      <c r="O120" s="20" t="n"/>
      <c r="P120" s="4" t="n"/>
      <c r="Q120" s="4" t="n"/>
    </row>
    <row r="121" ht="15" customHeight="1" s="95">
      <c r="B121" s="4" t="n"/>
      <c r="C121" s="96" t="inlineStr">
        <is>
          <t>VECARFON066</t>
        </is>
      </c>
      <c r="D121" s="18" t="inlineStr">
        <is>
          <t>Lomo Liso con Risotto Funghi</t>
        </is>
      </c>
      <c r="E121" s="207">
        <f>IFERROR(
IF(
INDEX($K$272:$K$977,MATCH(C121,$B$272:$B$977,0))&lt;&gt;0,
INDEX($K$272:$K$977,MATCH(C121,$B$272:$B$977,0)),
INDEX($L$272:$L$977,MATCH(C121,$B$272:$B$977,0))
),
0)</f>
        <v/>
      </c>
      <c r="F121" s="1" t="inlineStr">
        <is>
          <t>Lomo liso</t>
        </is>
      </c>
      <c r="G121" s="52" t="n">
        <v>0.18</v>
      </c>
      <c r="H121" s="81" t="inlineStr">
        <is>
          <t>Kg</t>
        </is>
      </c>
      <c r="I121" s="79" t="n"/>
      <c r="J121" s="78" t="n"/>
      <c r="K121" s="79" t="n"/>
      <c r="L121" s="80" t="n"/>
      <c r="M121" s="80" t="n"/>
      <c r="N121" s="80" t="n"/>
      <c r="O121" s="20" t="n"/>
      <c r="P121" s="4" t="n"/>
      <c r="Q121" s="4" t="n"/>
    </row>
    <row r="122" ht="15" customHeight="1" s="95">
      <c r="B122" s="4" t="n"/>
      <c r="C122" s="96" t="inlineStr">
        <is>
          <t>VECARFUB035</t>
        </is>
      </c>
      <c r="D122" s="18" t="inlineStr">
        <is>
          <t>Lomo Liso con Risotto Funghi PY</t>
        </is>
      </c>
      <c r="E122" s="207">
        <f>IFERROR(
IF(
INDEX($K$272:$K$977,MATCH(C122,$B$272:$B$977,0))&lt;&gt;0,
INDEX($K$272:$K$977,MATCH(C122,$B$272:$B$977,0)),
INDEX($L$272:$L$977,MATCH(C122,$B$272:$B$977,0))
),
0)</f>
        <v/>
      </c>
      <c r="F122" s="1" t="inlineStr">
        <is>
          <t>Lomo liso</t>
        </is>
      </c>
      <c r="G122" s="52" t="n">
        <v>0.18</v>
      </c>
      <c r="H122" s="81" t="inlineStr">
        <is>
          <t>Kg</t>
        </is>
      </c>
      <c r="I122" s="79" t="n"/>
      <c r="J122" s="78" t="n"/>
      <c r="K122" s="79" t="n"/>
      <c r="L122" s="80" t="n"/>
      <c r="M122" s="80" t="n"/>
      <c r="N122" s="80" t="n"/>
      <c r="O122" s="20" t="n"/>
      <c r="P122" s="4" t="n"/>
      <c r="Q122" s="4" t="n"/>
    </row>
    <row r="123" ht="15" customHeight="1" s="95">
      <c r="B123" s="4" t="n"/>
      <c r="C123" s="96" t="inlineStr">
        <is>
          <t>VECARFON012</t>
        </is>
      </c>
      <c r="D123" s="18" t="inlineStr">
        <is>
          <t>Merluza Austral</t>
        </is>
      </c>
      <c r="E123" s="207">
        <f>IFERROR(
IF(
INDEX($K$272:$K$977,MATCH(C123,$B$272:$B$977,0))&lt;&gt;0,
INDEX($K$272:$K$977,MATCH(C123,$B$272:$B$977,0)),
INDEX($L$272:$L$977,MATCH(C123,$B$272:$B$977,0))
),
0)</f>
        <v/>
      </c>
      <c r="F123" s="1" t="inlineStr">
        <is>
          <t>Merluza</t>
        </is>
      </c>
      <c r="G123" s="52" t="n">
        <v>0.18</v>
      </c>
      <c r="H123" s="81" t="inlineStr">
        <is>
          <t>Kg</t>
        </is>
      </c>
      <c r="I123" s="79" t="n"/>
      <c r="J123" s="78" t="n"/>
      <c r="K123" s="79" t="n"/>
      <c r="L123" s="80" t="n"/>
      <c r="M123" s="80" t="n"/>
      <c r="N123" s="80" t="n"/>
      <c r="O123" s="20" t="n"/>
      <c r="P123" s="4" t="n"/>
      <c r="Q123" s="4" t="n"/>
    </row>
    <row r="124" ht="15" customHeight="1" s="95">
      <c r="B124" s="4" t="n"/>
      <c r="C124" s="96" t="inlineStr">
        <is>
          <t>VECARFJT027</t>
        </is>
      </c>
      <c r="D124" s="18" t="inlineStr">
        <is>
          <t>Merluza Austral JT</t>
        </is>
      </c>
      <c r="E124" s="207">
        <f>IFERROR(
IF(
INDEX($K$272:$K$977,MATCH(C124,$B$272:$B$977,0))&lt;&gt;0,
INDEX($K$272:$K$977,MATCH(C124,$B$272:$B$977,0)),
INDEX($L$272:$L$977,MATCH(C124,$B$272:$B$977,0))
),
0)</f>
        <v/>
      </c>
      <c r="F124" s="1" t="inlineStr">
        <is>
          <t>Merluza</t>
        </is>
      </c>
      <c r="G124" s="52" t="n">
        <v>0.18</v>
      </c>
      <c r="H124" s="81" t="inlineStr">
        <is>
          <t>Kg</t>
        </is>
      </c>
      <c r="I124" s="79" t="n"/>
      <c r="J124" s="78" t="n"/>
      <c r="K124" s="79" t="n"/>
      <c r="L124" s="80" t="n"/>
      <c r="M124" s="80" t="n"/>
      <c r="N124" s="80" t="n"/>
      <c r="O124" s="20" t="n"/>
      <c r="P124" s="4" t="n"/>
      <c r="Q124" s="4" t="n"/>
    </row>
    <row r="125" ht="15" customHeight="1" s="95">
      <c r="B125" s="4" t="n"/>
      <c r="C125" s="96" t="inlineStr">
        <is>
          <t>VECARFUB027</t>
        </is>
      </c>
      <c r="D125" s="18" t="inlineStr">
        <is>
          <t>Merluza Austral PY</t>
        </is>
      </c>
      <c r="E125" s="207">
        <f>IFERROR(
IF(
INDEX($K$272:$K$977,MATCH(C125,$B$272:$B$977,0))&lt;&gt;0,
INDEX($K$272:$K$977,MATCH(C125,$B$272:$B$977,0)),
INDEX($L$272:$L$977,MATCH(C125,$B$272:$B$977,0))
),
0)</f>
        <v/>
      </c>
      <c r="F125" s="1" t="inlineStr">
        <is>
          <t>Merluza</t>
        </is>
      </c>
      <c r="G125" s="52" t="n">
        <v>0.18</v>
      </c>
      <c r="H125" s="81" t="inlineStr">
        <is>
          <t>Kg</t>
        </is>
      </c>
      <c r="I125" s="79" t="n"/>
      <c r="J125" s="78" t="n"/>
      <c r="K125" s="79" t="n"/>
      <c r="L125" s="80" t="n"/>
      <c r="M125" s="80" t="n"/>
      <c r="N125" s="80" t="n"/>
      <c r="O125" s="20" t="n"/>
      <c r="P125" s="4" t="n"/>
      <c r="Q125" s="4" t="n"/>
    </row>
    <row r="126" ht="15" customHeight="1" s="95">
      <c r="B126" s="4" t="n"/>
      <c r="C126" s="96" t="inlineStr">
        <is>
          <t>VECARENT042</t>
        </is>
      </c>
      <c r="D126" s="18" t="inlineStr">
        <is>
          <t>Ostiones con Cebolla</t>
        </is>
      </c>
      <c r="E126" s="207">
        <f>IFERROR(
IF(
INDEX($K$272:$K$977,MATCH(C126,$B$272:$B$977,0))&lt;&gt;0,
INDEX($K$272:$K$977,MATCH(C126,$B$272:$B$977,0)),
INDEX($L$272:$L$977,MATCH(C126,$B$272:$B$977,0))
),
0)</f>
        <v/>
      </c>
      <c r="F126" s="1" t="inlineStr">
        <is>
          <t>Ostiones</t>
        </is>
      </c>
      <c r="G126" s="52" t="n">
        <v>1</v>
      </c>
      <c r="H126" s="81" t="inlineStr">
        <is>
          <t>Kg</t>
        </is>
      </c>
      <c r="I126" s="79" t="n"/>
      <c r="J126" s="78" t="n"/>
      <c r="K126" s="79" t="n"/>
      <c r="L126" s="80" t="n"/>
      <c r="M126" s="80" t="n"/>
      <c r="N126" s="80" t="n"/>
      <c r="O126" s="20" t="n"/>
      <c r="P126" s="4" t="n"/>
      <c r="Q126" s="4" t="n"/>
    </row>
    <row r="127" ht="15" customHeight="1" s="95">
      <c r="B127" s="4" t="n"/>
      <c r="C127" s="96" t="inlineStr">
        <is>
          <t>VECARFON068</t>
        </is>
      </c>
      <c r="D127" s="18" t="inlineStr">
        <is>
          <t>Paila de Carne Mechada</t>
        </is>
      </c>
      <c r="E127" s="207">
        <f>IFERROR(
IF(
INDEX($K$272:$K$977,MATCH(C127,$B$272:$B$977,0))&lt;&gt;0,
INDEX($K$272:$K$977,MATCH(C127,$B$272:$B$977,0)),
INDEX($L$272:$L$977,MATCH(C127,$B$272:$B$977,0))
),
0)</f>
        <v/>
      </c>
      <c r="F127" s="18" t="inlineStr">
        <is>
          <t>Ganso</t>
        </is>
      </c>
      <c r="G127" s="52" t="n">
        <v>0.12</v>
      </c>
      <c r="H127" s="81" t="inlineStr">
        <is>
          <t>Kg</t>
        </is>
      </c>
      <c r="I127" s="79" t="n"/>
      <c r="J127" s="78" t="n"/>
      <c r="K127" s="79" t="n"/>
      <c r="L127" s="80" t="n"/>
      <c r="M127" s="80" t="n"/>
      <c r="N127" s="80" t="n"/>
      <c r="O127" s="20" t="n"/>
      <c r="P127" s="4" t="n"/>
      <c r="Q127" s="4" t="n"/>
    </row>
    <row r="128" ht="15" customHeight="1" s="95">
      <c r="B128" s="4" t="n"/>
      <c r="C128" s="96" t="inlineStr">
        <is>
          <t>VECARFUB011</t>
        </is>
      </c>
      <c r="D128" s="18" t="inlineStr">
        <is>
          <t>Plateada Pastel PY</t>
        </is>
      </c>
      <c r="E128" s="207">
        <f>IFERROR(
IF(
INDEX($K$272:$K$977,MATCH(C128,$B$272:$B$977,0))&lt;&gt;0,
INDEX($K$272:$K$977,MATCH(C128,$B$272:$B$977,0)),
INDEX($L$272:$L$977,MATCH(C128,$B$272:$B$977,0))
),
0)</f>
        <v/>
      </c>
      <c r="F128" s="1" t="inlineStr">
        <is>
          <t>Plateada</t>
        </is>
      </c>
      <c r="G128" s="52" t="n">
        <v>0.18</v>
      </c>
      <c r="H128" s="81" t="inlineStr">
        <is>
          <t>Kg</t>
        </is>
      </c>
      <c r="I128" s="79" t="n"/>
      <c r="J128" s="78" t="n"/>
      <c r="K128" s="79" t="n"/>
      <c r="L128" s="80" t="n"/>
      <c r="M128" s="80" t="n"/>
      <c r="N128" s="80" t="n"/>
      <c r="O128" s="20" t="n"/>
      <c r="P128" s="4" t="n"/>
      <c r="Q128" s="4" t="n"/>
    </row>
    <row r="129" ht="15" customHeight="1" s="95">
      <c r="B129" s="4" t="n"/>
      <c r="C129" s="96" t="inlineStr">
        <is>
          <t>VECARFJT011</t>
        </is>
      </c>
      <c r="D129" s="18" t="inlineStr">
        <is>
          <t>Plateada Pastele JT</t>
        </is>
      </c>
      <c r="E129" s="207">
        <f>IFERROR(
IF(
INDEX($K$272:$K$977,MATCH(C129,$B$272:$B$977,0))&lt;&gt;0,
INDEX($K$272:$K$977,MATCH(C129,$B$272:$B$977,0)),
INDEX($L$272:$L$977,MATCH(C129,$B$272:$B$977,0))
),
0)</f>
        <v/>
      </c>
      <c r="F129" s="1" t="inlineStr">
        <is>
          <t>Plateada</t>
        </is>
      </c>
      <c r="G129" s="52" t="n">
        <v>0.18</v>
      </c>
      <c r="H129" s="81" t="inlineStr">
        <is>
          <t>Kg</t>
        </is>
      </c>
      <c r="I129" s="79" t="n"/>
      <c r="J129" s="78" t="n"/>
      <c r="K129" s="79" t="n"/>
      <c r="L129" s="80" t="n"/>
      <c r="M129" s="80" t="n"/>
      <c r="N129" s="80" t="n"/>
      <c r="O129" s="20" t="n"/>
      <c r="P129" s="4" t="n"/>
      <c r="Q129" s="4" t="n"/>
    </row>
    <row r="130" ht="15" customHeight="1" s="95">
      <c r="B130" s="4" t="n"/>
      <c r="C130" s="96" t="inlineStr">
        <is>
          <t>VECARFON017</t>
        </is>
      </c>
      <c r="D130" s="18" t="inlineStr">
        <is>
          <t>Plateada Pastelera</t>
        </is>
      </c>
      <c r="E130" s="207">
        <f>IFERROR(
IF(
INDEX($K$272:$K$977,MATCH(C130,$B$272:$B$977,0))&lt;&gt;0,
INDEX($K$272:$K$977,MATCH(C130,$B$272:$B$977,0)),
INDEX($L$272:$L$977,MATCH(C130,$B$272:$B$977,0))
),
0)</f>
        <v/>
      </c>
      <c r="F130" s="1" t="inlineStr">
        <is>
          <t>Plateada</t>
        </is>
      </c>
      <c r="G130" s="52" t="n">
        <v>0.18</v>
      </c>
      <c r="H130" s="81" t="inlineStr">
        <is>
          <t>Kg</t>
        </is>
      </c>
      <c r="I130" s="79" t="n"/>
      <c r="J130" s="78" t="n"/>
      <c r="K130" s="79" t="n"/>
      <c r="L130" s="80" t="n"/>
      <c r="M130" s="80" t="n"/>
      <c r="N130" s="80" t="n"/>
      <c r="O130" s="20" t="n"/>
      <c r="P130" s="4" t="n"/>
      <c r="Q130" s="4" t="n"/>
    </row>
    <row r="131" ht="15" customHeight="1" s="95">
      <c r="B131" s="4" t="n"/>
      <c r="C131" s="96" t="inlineStr">
        <is>
          <t>VECARPRU089</t>
        </is>
      </c>
      <c r="D131" s="18" t="inlineStr">
        <is>
          <t>Promo Ens. Jamón Serrano + Beb. PY</t>
        </is>
      </c>
      <c r="E131" s="207">
        <f>IFERROR(
IF(
INDEX($K$272:$K$977,MATCH(C131,$B$272:$B$977,0))&lt;&gt;0,
INDEX($K$272:$K$977,MATCH(C131,$B$272:$B$977,0)),
INDEX($L$272:$L$977,MATCH(C131,$B$272:$B$977,0))
),
0)</f>
        <v/>
      </c>
      <c r="F131" s="1" t="inlineStr">
        <is>
          <t>Jamón serrano</t>
        </is>
      </c>
      <c r="G131" s="52" t="n">
        <v>0.04</v>
      </c>
      <c r="H131" s="81" t="inlineStr">
        <is>
          <t>Kg</t>
        </is>
      </c>
      <c r="I131" s="79" t="n"/>
      <c r="J131" s="78" t="n"/>
      <c r="K131" s="79" t="n"/>
      <c r="L131" s="80" t="n"/>
      <c r="M131" s="80" t="n"/>
      <c r="N131" s="80" t="n"/>
      <c r="O131" s="20" t="n"/>
      <c r="P131" s="4" t="n"/>
      <c r="Q131" s="4" t="n"/>
    </row>
    <row r="132" ht="15" customHeight="1" s="95">
      <c r="B132" s="4" t="n"/>
      <c r="C132" s="96" t="inlineStr">
        <is>
          <t>VECARFON054</t>
        </is>
      </c>
      <c r="D132" s="18" t="inlineStr">
        <is>
          <t>Pulpo Mote</t>
        </is>
      </c>
      <c r="E132" s="207">
        <f>IFERROR(
IF(
INDEX($K$272:$K$977,MATCH(C132,$B$272:$B$977,0))&lt;&gt;0,
INDEX($K$272:$K$977,MATCH(C132,$B$272:$B$977,0)),
INDEX($L$272:$L$977,MATCH(C132,$B$272:$B$977,0))
),
0)</f>
        <v/>
      </c>
      <c r="F132" s="18" t="inlineStr">
        <is>
          <t>Pulpo</t>
        </is>
      </c>
      <c r="G132" s="52" t="n">
        <v>0.145</v>
      </c>
      <c r="H132" s="81" t="inlineStr">
        <is>
          <t>Kg</t>
        </is>
      </c>
      <c r="I132" s="79" t="n"/>
      <c r="J132" s="78" t="n"/>
      <c r="K132" s="79" t="n"/>
      <c r="L132" s="80" t="n"/>
      <c r="M132" s="80" t="n"/>
      <c r="N132" s="80" t="n"/>
      <c r="O132" s="20" t="n"/>
      <c r="P132" s="4" t="n"/>
      <c r="Q132" s="4" t="n"/>
    </row>
    <row r="133" ht="15" customHeight="1" s="95">
      <c r="B133" s="4" t="n"/>
      <c r="C133" s="96" t="inlineStr">
        <is>
          <t>VECARFON085</t>
        </is>
      </c>
      <c r="D133" s="18" t="inlineStr">
        <is>
          <t>Rigatoni con Ragout de Filete</t>
        </is>
      </c>
      <c r="E133" s="207">
        <f>IFERROR(
IF(
INDEX($K$272:$K$977,MATCH(C133,$B$272:$B$977,0))&lt;&gt;0,
INDEX($K$272:$K$977,MATCH(C133,$B$272:$B$977,0)),
INDEX($L$272:$L$977,MATCH(C133,$B$272:$B$977,0))
),
0)</f>
        <v/>
      </c>
      <c r="F133" s="18" t="inlineStr">
        <is>
          <t>Ragout Rigatoni</t>
        </is>
      </c>
      <c r="G133" s="52" t="n">
        <v>0.15</v>
      </c>
      <c r="H133" s="81" t="inlineStr">
        <is>
          <t>Kg</t>
        </is>
      </c>
      <c r="I133" s="79" t="n"/>
      <c r="J133" s="78" t="n"/>
      <c r="K133" s="79" t="n"/>
      <c r="L133" s="80" t="n"/>
      <c r="M133" s="80" t="n"/>
      <c r="N133" s="80" t="n"/>
      <c r="O133" s="20" t="n"/>
      <c r="P133" s="4" t="n"/>
      <c r="Q133" s="4" t="n"/>
    </row>
    <row r="134" ht="15" customHeight="1" s="95">
      <c r="B134" s="4" t="n"/>
      <c r="C134" s="96" t="inlineStr">
        <is>
          <t>VECARSND012</t>
        </is>
      </c>
      <c r="D134" s="18" t="inlineStr">
        <is>
          <t>Sándwich de Filete Italiano</t>
        </is>
      </c>
      <c r="E134" s="207">
        <f>IFERROR(
IF(
INDEX($K$272:$K$977,MATCH(C134,$B$272:$B$977,0))&lt;&gt;0,
INDEX($K$272:$K$977,MATCH(C134,$B$272:$B$977,0)),
INDEX($L$272:$L$977,MATCH(C134,$B$272:$B$977,0))
),
0)</f>
        <v/>
      </c>
      <c r="F134" s="18" t="inlineStr">
        <is>
          <t>Filete para churrasco</t>
        </is>
      </c>
      <c r="G134" s="52" t="n">
        <v>0.12</v>
      </c>
      <c r="H134" s="81" t="inlineStr">
        <is>
          <t>Kg</t>
        </is>
      </c>
      <c r="I134" s="79" t="n"/>
      <c r="J134" s="78" t="n"/>
      <c r="K134" s="79" t="n"/>
      <c r="L134" s="80" t="n"/>
      <c r="M134" s="80" t="n"/>
      <c r="N134" s="80" t="n"/>
      <c r="O134" s="20" t="n"/>
      <c r="P134" s="4" t="n"/>
      <c r="Q134" s="4" t="n"/>
    </row>
    <row r="135" ht="15" customHeight="1" s="95">
      <c r="B135" s="4" t="n"/>
      <c r="C135" s="96" t="inlineStr">
        <is>
          <t>VECARFON020</t>
        </is>
      </c>
      <c r="D135" s="18" t="inlineStr">
        <is>
          <t>Salmon Cancato</t>
        </is>
      </c>
      <c r="E135" s="207">
        <f>IFERROR(
IF(
INDEX($K$272:$K$977,MATCH(C135,$B$272:$B$977,0))&lt;&gt;0,
INDEX($K$272:$K$977,MATCH(C135,$B$272:$B$977,0)),
INDEX($L$272:$L$977,MATCH(C135,$B$272:$B$977,0))
),
0)</f>
        <v/>
      </c>
      <c r="F135" s="1" t="inlineStr">
        <is>
          <t>Salmón cancato</t>
        </is>
      </c>
      <c r="G135" s="52" t="n">
        <v>0.16</v>
      </c>
      <c r="H135" s="81" t="inlineStr">
        <is>
          <t>Kg</t>
        </is>
      </c>
      <c r="I135" s="79" t="n"/>
      <c r="J135" s="78" t="n"/>
      <c r="K135" s="79" t="n"/>
      <c r="L135" s="80" t="n"/>
      <c r="M135" s="80" t="n"/>
      <c r="N135" s="80" t="n"/>
      <c r="O135" s="20" t="n"/>
      <c r="P135" s="4" t="n"/>
      <c r="Q135" s="4" t="n"/>
    </row>
    <row r="136" ht="15" customHeight="1" s="95">
      <c r="B136" s="4" t="n"/>
      <c r="C136" s="96" t="inlineStr">
        <is>
          <t>VECARFJT006</t>
        </is>
      </c>
      <c r="D136" s="18" t="inlineStr">
        <is>
          <t>Salmon Cancato JT</t>
        </is>
      </c>
      <c r="E136" s="207">
        <f>IFERROR(
IF(
INDEX($K$272:$K$977,MATCH(C136,$B$272:$B$977,0))&lt;&gt;0,
INDEX($K$272:$K$977,MATCH(C136,$B$272:$B$977,0)),
INDEX($L$272:$L$977,MATCH(C136,$B$272:$B$977,0))
),
0)</f>
        <v/>
      </c>
      <c r="F136" s="1" t="inlineStr">
        <is>
          <t>Salmón cancato</t>
        </is>
      </c>
      <c r="G136" s="52" t="n">
        <v>0.16</v>
      </c>
      <c r="H136" s="81" t="inlineStr">
        <is>
          <t>Kg</t>
        </is>
      </c>
      <c r="I136" s="79" t="n"/>
      <c r="J136" s="78" t="n"/>
      <c r="K136" s="79" t="n"/>
      <c r="L136" s="80" t="n"/>
      <c r="M136" s="80" t="n"/>
      <c r="N136" s="80" t="n"/>
      <c r="O136" s="20" t="n"/>
      <c r="P136" s="4" t="n"/>
      <c r="Q136" s="4" t="n"/>
    </row>
    <row r="137" ht="15" customHeight="1" s="95">
      <c r="B137" s="4" t="n"/>
      <c r="C137" s="96" t="inlineStr">
        <is>
          <t>VECARFUB006</t>
        </is>
      </c>
      <c r="D137" s="18" t="inlineStr">
        <is>
          <t>Salmon Cancato PY</t>
        </is>
      </c>
      <c r="E137" s="207">
        <f>IFERROR(
IF(
INDEX($K$272:$K$977,MATCH(C137,$B$272:$B$977,0))&lt;&gt;0,
INDEX($K$272:$K$977,MATCH(C137,$B$272:$B$977,0)),
INDEX($L$272:$L$977,MATCH(C137,$B$272:$B$977,0))
),
0)</f>
        <v/>
      </c>
      <c r="F137" s="1" t="inlineStr">
        <is>
          <t>Salmón cancato</t>
        </is>
      </c>
      <c r="G137" s="52" t="n">
        <v>0.16</v>
      </c>
      <c r="H137" s="81" t="inlineStr">
        <is>
          <t>Kg</t>
        </is>
      </c>
      <c r="I137" s="79" t="n"/>
      <c r="J137" s="78" t="n"/>
      <c r="K137" s="79" t="n"/>
      <c r="L137" s="80" t="n"/>
      <c r="M137" s="80" t="n"/>
      <c r="N137" s="80" t="n"/>
      <c r="O137" s="20" t="n"/>
      <c r="P137" s="4" t="n"/>
      <c r="Q137" s="4" t="n"/>
    </row>
    <row r="138" ht="15" customHeight="1" s="95">
      <c r="B138" s="4" t="n"/>
      <c r="C138" s="96" t="inlineStr">
        <is>
          <t>VECARFON021</t>
        </is>
      </c>
      <c r="D138" s="18" t="inlineStr">
        <is>
          <t>Sorrentino Mechada</t>
        </is>
      </c>
      <c r="E138" s="207">
        <f>IFERROR(
IF(
INDEX($K$272:$K$977,MATCH(C138,$B$272:$B$977,0))&lt;&gt;0,
INDEX($K$272:$K$977,MATCH(C138,$B$272:$B$977,0)),
INDEX($L$272:$L$977,MATCH(C138,$B$272:$B$977,0))
),
0)</f>
        <v/>
      </c>
      <c r="F138" s="1" t="inlineStr">
        <is>
          <t>Sorrentinos carne mechada</t>
        </is>
      </c>
      <c r="G138" s="52" t="n">
        <v>1</v>
      </c>
      <c r="H138" s="81" t="inlineStr">
        <is>
          <t>Und</t>
        </is>
      </c>
      <c r="I138" s="79" t="n"/>
      <c r="J138" s="78" t="n"/>
      <c r="K138" s="79" t="n"/>
      <c r="L138" s="80" t="n"/>
      <c r="M138" s="80" t="n"/>
      <c r="N138" s="80" t="n"/>
      <c r="O138" s="20" t="n"/>
      <c r="P138" s="4" t="n"/>
      <c r="Q138" s="4" t="n"/>
    </row>
    <row r="139" ht="15" customHeight="1" s="95">
      <c r="B139" s="4" t="n"/>
      <c r="C139" s="96" t="inlineStr">
        <is>
          <t>VECARFON022</t>
        </is>
      </c>
      <c r="D139" s="18" t="inlineStr">
        <is>
          <t>Sorrentino Zapallo</t>
        </is>
      </c>
      <c r="E139" s="207">
        <f>IFERROR(
IF(
INDEX($K$272:$K$977,MATCH(C139,$B$272:$B$977,0))&lt;&gt;0,
INDEX($K$272:$K$977,MATCH(C139,$B$272:$B$977,0)),
INDEX($L$272:$L$977,MATCH(C139,$B$272:$B$977,0))
),
0)</f>
        <v/>
      </c>
      <c r="F139" s="1" t="inlineStr">
        <is>
          <t>Sorrentinos zapallo</t>
        </is>
      </c>
      <c r="G139" s="52" t="n">
        <v>1</v>
      </c>
      <c r="H139" s="81" t="inlineStr">
        <is>
          <t>Und</t>
        </is>
      </c>
      <c r="I139" s="79" t="n"/>
      <c r="J139" s="78" t="n"/>
      <c r="K139" s="79" t="n"/>
      <c r="L139" s="80" t="n"/>
      <c r="M139" s="80" t="n"/>
      <c r="N139" s="80" t="n"/>
      <c r="O139" s="20" t="n"/>
      <c r="P139" s="4" t="n"/>
      <c r="Q139" s="4" t="n"/>
    </row>
    <row r="140" ht="15" customHeight="1" s="95">
      <c r="B140" s="4" t="n"/>
      <c r="C140" s="96" t="inlineStr">
        <is>
          <t>VECARFUB036</t>
        </is>
      </c>
      <c r="D140" s="18" t="inlineStr">
        <is>
          <t>Sorrentinos de Carne Mechada PY</t>
        </is>
      </c>
      <c r="E140" s="207">
        <f>IFERROR(
IF(
INDEX($K$272:$K$977,MATCH(C140,$B$272:$B$977,0))&lt;&gt;0,
INDEX($K$272:$K$977,MATCH(C140,$B$272:$B$977,0)),
INDEX($L$272:$L$977,MATCH(C140,$B$272:$B$977,0))
),
0)</f>
        <v/>
      </c>
      <c r="F140" s="1" t="inlineStr">
        <is>
          <t>Sorrentinos carne mechada</t>
        </is>
      </c>
      <c r="G140" s="52" t="n">
        <v>1</v>
      </c>
      <c r="H140" s="81" t="inlineStr">
        <is>
          <t>Und</t>
        </is>
      </c>
      <c r="I140" s="79" t="n"/>
      <c r="J140" s="78" t="n"/>
      <c r="K140" s="79" t="n"/>
      <c r="L140" s="80" t="n"/>
      <c r="M140" s="80" t="n"/>
      <c r="N140" s="80" t="n"/>
      <c r="O140" s="20" t="n"/>
      <c r="P140" s="4" t="n"/>
      <c r="Q140" s="4" t="n"/>
    </row>
    <row r="141" ht="15" customHeight="1" s="95">
      <c r="B141" s="4" t="n"/>
      <c r="C141" s="96" t="inlineStr">
        <is>
          <t>VECARFON062</t>
        </is>
      </c>
      <c r="D141" s="18" t="inlineStr">
        <is>
          <t>Sorrentinos de pulpo y salmón</t>
        </is>
      </c>
      <c r="E141" s="207">
        <f>IFERROR(
IF(
INDEX($K$272:$K$977,MATCH(C141,$B$272:$B$977,0))&lt;&gt;0,
INDEX($K$272:$K$977,MATCH(C141,$B$272:$B$977,0)),
INDEX($L$272:$L$977,MATCH(C141,$B$272:$B$977,0))
),
0)</f>
        <v/>
      </c>
      <c r="F141" s="1" t="inlineStr">
        <is>
          <t>Sorrentinos pulpo y salmón</t>
        </is>
      </c>
      <c r="G141" s="52" t="n">
        <v>1</v>
      </c>
      <c r="H141" s="81" t="inlineStr">
        <is>
          <t>Und</t>
        </is>
      </c>
      <c r="I141" s="79" t="n"/>
      <c r="J141" s="78" t="n"/>
      <c r="K141" s="79" t="n"/>
      <c r="L141" s="80" t="n"/>
      <c r="M141" s="80" t="n"/>
      <c r="N141" s="80" t="n"/>
      <c r="O141" s="20" t="n"/>
      <c r="P141" s="4" t="n"/>
      <c r="Q141" s="4" t="n"/>
    </row>
    <row r="142" ht="15" customHeight="1" s="95">
      <c r="B142" s="4" t="n"/>
      <c r="C142" s="96" t="inlineStr">
        <is>
          <t>VECARFUB007</t>
        </is>
      </c>
      <c r="D142" s="18" t="inlineStr">
        <is>
          <t>Strogonof Arroz PY</t>
        </is>
      </c>
      <c r="E142" s="207">
        <f>IFERROR(
IF(
INDEX($K$272:$K$977,MATCH(C142,$B$272:$B$977,0))&lt;&gt;0,
INDEX($K$272:$K$977,MATCH(C142,$B$272:$B$977,0)),
INDEX($L$272:$L$977,MATCH(C142,$B$272:$B$977,0))
),
0)</f>
        <v/>
      </c>
      <c r="F142" s="1" t="inlineStr">
        <is>
          <t>Filete Salteado</t>
        </is>
      </c>
      <c r="G142" s="52" t="n">
        <v>0.16</v>
      </c>
      <c r="H142" s="81" t="inlineStr">
        <is>
          <t>Kg</t>
        </is>
      </c>
      <c r="I142" s="79" t="n"/>
      <c r="J142" s="78" t="n"/>
      <c r="K142" s="79" t="n"/>
      <c r="L142" s="80" t="n"/>
      <c r="M142" s="80" t="n"/>
      <c r="N142" s="80" t="n"/>
      <c r="O142" s="20" t="n"/>
      <c r="P142" s="4" t="n"/>
      <c r="Q142" s="4" t="n"/>
    </row>
    <row r="143" ht="15" customHeight="1" s="95">
      <c r="B143" s="4" t="n"/>
      <c r="C143" s="96" t="inlineStr">
        <is>
          <t>VECARFJT007</t>
        </is>
      </c>
      <c r="D143" s="18" t="inlineStr">
        <is>
          <t>Strogonof Arroz JT</t>
        </is>
      </c>
      <c r="E143" s="207">
        <f>IFERROR(
IF(
INDEX($K$272:$K$977,MATCH(C143,$B$272:$B$977,0))&lt;&gt;0,
INDEX($K$272:$K$977,MATCH(C143,$B$272:$B$977,0)),
INDEX($L$272:$L$977,MATCH(C143,$B$272:$B$977,0))
),
0)</f>
        <v/>
      </c>
      <c r="F143" s="1" t="inlineStr">
        <is>
          <t>Filete Salteado</t>
        </is>
      </c>
      <c r="G143" s="52" t="n">
        <v>0.16</v>
      </c>
      <c r="H143" s="81" t="inlineStr">
        <is>
          <t>Kg</t>
        </is>
      </c>
      <c r="I143" s="79" t="n"/>
      <c r="J143" s="78" t="n"/>
      <c r="K143" s="79" t="n"/>
      <c r="L143" s="80" t="n"/>
      <c r="M143" s="80" t="n"/>
      <c r="N143" s="80" t="n"/>
      <c r="O143" s="20" t="n"/>
      <c r="P143" s="4" t="n"/>
      <c r="Q143" s="4" t="n"/>
    </row>
    <row r="144" ht="15" customHeight="1" s="95">
      <c r="B144" s="4" t="n"/>
      <c r="C144" s="96" t="inlineStr">
        <is>
          <t>VECARFON023</t>
        </is>
      </c>
      <c r="D144" s="18" t="inlineStr">
        <is>
          <t>Strogonoff Arroz</t>
        </is>
      </c>
      <c r="E144" s="207">
        <f>IFERROR(
IF(
INDEX($K$272:$K$977,MATCH(C144,$B$272:$B$977,0))&lt;&gt;0,
INDEX($K$272:$K$977,MATCH(C144,$B$272:$B$977,0)),
INDEX($L$272:$L$977,MATCH(C144,$B$272:$B$977,0))
),
0)</f>
        <v/>
      </c>
      <c r="F144" s="1" t="inlineStr">
        <is>
          <t>Filete Salteado</t>
        </is>
      </c>
      <c r="G144" s="52" t="n">
        <v>0.16</v>
      </c>
      <c r="H144" s="81" t="inlineStr">
        <is>
          <t>Kg</t>
        </is>
      </c>
      <c r="I144" s="79" t="n"/>
      <c r="J144" s="78" t="n"/>
      <c r="K144" s="79" t="n"/>
      <c r="L144" s="80" t="n"/>
      <c r="M144" s="80" t="n"/>
      <c r="N144" s="80" t="n"/>
      <c r="O144" s="20" t="n"/>
      <c r="P144" s="4" t="n"/>
      <c r="Q144" s="4" t="n"/>
    </row>
    <row r="145" ht="15" customHeight="1" s="95">
      <c r="B145" s="4" t="n"/>
      <c r="C145" s="96" t="inlineStr">
        <is>
          <t>VECARENT008</t>
        </is>
      </c>
      <c r="D145" s="18" t="inlineStr">
        <is>
          <t>Tartar Atún</t>
        </is>
      </c>
      <c r="E145" s="207">
        <f>IFERROR(
IF(
INDEX($K$272:$K$977,MATCH(C145,$B$272:$B$977,0))&lt;&gt;0,
INDEX($K$272:$K$977,MATCH(C145,$B$272:$B$977,0)),
INDEX($L$272:$L$977,MATCH(C145,$B$272:$B$977,0))
),
0)</f>
        <v/>
      </c>
      <c r="F145" s="1" t="inlineStr">
        <is>
          <t>Atún Trozos</t>
        </is>
      </c>
      <c r="G145" s="52" t="n">
        <v>0.18</v>
      </c>
      <c r="H145" s="81" t="inlineStr">
        <is>
          <t>Kg</t>
        </is>
      </c>
      <c r="I145" s="79" t="n"/>
      <c r="J145" s="78" t="n"/>
      <c r="K145" s="79" t="n"/>
      <c r="L145" s="80" t="n"/>
      <c r="M145" s="80" t="n"/>
      <c r="N145" s="80" t="n"/>
      <c r="O145" s="20" t="n"/>
      <c r="P145" s="4" t="n"/>
      <c r="Q145" s="4" t="n"/>
    </row>
    <row r="146" ht="15" customHeight="1" s="95">
      <c r="B146" s="4" t="n"/>
      <c r="C146" s="96" t="inlineStr">
        <is>
          <t>VECARAJT002</t>
        </is>
      </c>
      <c r="D146" s="18" t="inlineStr">
        <is>
          <t>Tartar Atún JT</t>
        </is>
      </c>
      <c r="E146" s="207">
        <f>IFERROR(
IF(
INDEX($K$272:$K$977,MATCH(C146,$B$272:$B$977,0))&lt;&gt;0,
INDEX($K$272:$K$977,MATCH(C146,$B$272:$B$977,0)),
INDEX($L$272:$L$977,MATCH(C146,$B$272:$B$977,0))
),
0)</f>
        <v/>
      </c>
      <c r="F146" s="1" t="inlineStr">
        <is>
          <t>Atún Trozos</t>
        </is>
      </c>
      <c r="G146" s="52" t="n">
        <v>0.18</v>
      </c>
      <c r="H146" s="81" t="inlineStr">
        <is>
          <t>Kg</t>
        </is>
      </c>
      <c r="I146" s="79" t="n"/>
      <c r="J146" s="78" t="n"/>
      <c r="K146" s="79" t="n"/>
      <c r="L146" s="80" t="n"/>
      <c r="M146" s="80" t="n"/>
      <c r="N146" s="80" t="n"/>
      <c r="O146" s="20" t="n"/>
      <c r="P146" s="4" t="n"/>
      <c r="Q146" s="4" t="n"/>
    </row>
    <row r="147" ht="15" customHeight="1" s="95">
      <c r="B147" s="4" t="n"/>
      <c r="C147" s="96" t="inlineStr">
        <is>
          <t>VECARAUB002</t>
        </is>
      </c>
      <c r="D147" s="18" t="inlineStr">
        <is>
          <t>Tartar Atún Palta  PY</t>
        </is>
      </c>
      <c r="E147" s="207">
        <f>IFERROR(
IF(
INDEX($K$272:$K$977,MATCH(C147,$B$272:$B$977,0))&lt;&gt;0,
INDEX($K$272:$K$977,MATCH(C147,$B$272:$B$977,0)),
INDEX($L$272:$L$977,MATCH(C147,$B$272:$B$977,0))
),
0)</f>
        <v/>
      </c>
      <c r="F147" s="1" t="inlineStr">
        <is>
          <t>Atún Trozos</t>
        </is>
      </c>
      <c r="G147" s="52" t="n">
        <v>0.18</v>
      </c>
      <c r="H147" s="81" t="inlineStr">
        <is>
          <t>Kg</t>
        </is>
      </c>
      <c r="I147" s="79" t="n"/>
      <c r="J147" s="78" t="n"/>
      <c r="K147" s="79" t="n"/>
      <c r="L147" s="80" t="n"/>
      <c r="M147" s="80" t="n"/>
      <c r="N147" s="80" t="n"/>
      <c r="O147" s="20" t="n"/>
      <c r="P147" s="4" t="n"/>
      <c r="Q147" s="4" t="n"/>
    </row>
    <row r="148" ht="15" customHeight="1" s="95">
      <c r="B148" s="4" t="n"/>
      <c r="C148" s="96" t="inlineStr">
        <is>
          <t>VECARAUB012</t>
        </is>
      </c>
      <c r="D148" s="18" t="inlineStr">
        <is>
          <t>Tártaro Filete PY</t>
        </is>
      </c>
      <c r="E148" s="207">
        <f>IFERROR(
IF(
INDEX($K$272:$K$977,MATCH(C148,$B$272:$B$977,0))&lt;&gt;0,
INDEX($K$272:$K$977,MATCH(C148,$B$272:$B$977,0)),
INDEX($L$272:$L$977,MATCH(C148,$B$272:$B$977,0))
),
0)</f>
        <v/>
      </c>
      <c r="F148" s="18" t="inlineStr">
        <is>
          <t>Filete para crudo</t>
        </is>
      </c>
      <c r="G148" s="52" t="n">
        <v>0.17</v>
      </c>
      <c r="H148" s="81" t="inlineStr">
        <is>
          <t>Kg</t>
        </is>
      </c>
      <c r="I148" s="79" t="n"/>
      <c r="J148" s="78" t="n"/>
      <c r="K148" s="79" t="n"/>
      <c r="L148" s="80" t="n"/>
      <c r="M148" s="80" t="n"/>
      <c r="N148" s="80" t="n"/>
      <c r="O148" s="20" t="n"/>
      <c r="P148" s="4" t="n"/>
      <c r="Q148" s="4" t="n"/>
    </row>
    <row r="149" ht="15" customHeight="1" s="95">
      <c r="B149" s="4" t="n"/>
      <c r="C149" s="96" t="inlineStr">
        <is>
          <t>VECARAJT012</t>
        </is>
      </c>
      <c r="D149" s="18" t="inlineStr">
        <is>
          <t>Tartaro Filete JT</t>
        </is>
      </c>
      <c r="E149" s="207">
        <f>IFERROR(
IF(
INDEX($K$272:$K$977,MATCH(C149,$B$272:$B$977,0))&lt;&gt;0,
INDEX($K$272:$K$977,MATCH(C149,$B$272:$B$977,0)),
INDEX($L$272:$L$977,MATCH(C149,$B$272:$B$977,0))
),
0)</f>
        <v/>
      </c>
      <c r="F149" s="18" t="inlineStr">
        <is>
          <t>Filete para crudo</t>
        </is>
      </c>
      <c r="G149" s="52" t="n">
        <v>0.17</v>
      </c>
      <c r="H149" s="81" t="inlineStr">
        <is>
          <t>Kg</t>
        </is>
      </c>
      <c r="I149" s="79" t="n"/>
      <c r="J149" s="78" t="n"/>
      <c r="K149" s="79" t="n"/>
      <c r="L149" s="80" t="n"/>
      <c r="M149" s="80" t="n"/>
      <c r="N149" s="80" t="n"/>
      <c r="O149" s="20" t="n"/>
      <c r="P149" s="4" t="n"/>
      <c r="Q149" s="4" t="n"/>
    </row>
    <row r="150" ht="15" customHeight="1" s="95">
      <c r="B150" s="4" t="n"/>
      <c r="C150" s="96" t="inlineStr">
        <is>
          <t>VECARENT027</t>
        </is>
      </c>
      <c r="D150" s="18" t="inlineStr">
        <is>
          <t>Tártaro Res</t>
        </is>
      </c>
      <c r="E150" s="207">
        <f>IFERROR(
IF(
INDEX($K$272:$K$977,MATCH(C150,$B$272:$B$977,0))&lt;&gt;0,
INDEX($K$272:$K$977,MATCH(C150,$B$272:$B$977,0)),
INDEX($L$272:$L$977,MATCH(C150,$B$272:$B$977,0))
),
0)</f>
        <v/>
      </c>
      <c r="F150" s="18" t="inlineStr">
        <is>
          <t>Filete para crudo</t>
        </is>
      </c>
      <c r="G150" s="52" t="n">
        <v>0.17</v>
      </c>
      <c r="H150" s="81" t="inlineStr">
        <is>
          <t>Kg</t>
        </is>
      </c>
      <c r="I150" s="79" t="n"/>
      <c r="J150" s="78" t="n"/>
      <c r="K150" s="79" t="n"/>
      <c r="L150" s="80" t="n"/>
      <c r="M150" s="80" t="n"/>
      <c r="N150" s="80" t="n"/>
      <c r="O150" s="20" t="n"/>
      <c r="P150" s="4" t="n"/>
      <c r="Q150" s="4" t="n"/>
    </row>
    <row r="151" ht="15" customHeight="1" s="95">
      <c r="B151" s="4" t="n"/>
      <c r="C151" s="96" t="inlineStr">
        <is>
          <t>VECARENT041</t>
        </is>
      </c>
      <c r="D151" s="18" t="inlineStr">
        <is>
          <t>Tiradito de Locos</t>
        </is>
      </c>
      <c r="E151" s="207">
        <f>IFERROR(
IF(
INDEX($K$272:$K$977,MATCH(C151,$B$272:$B$977,0))&lt;&gt;0,
INDEX($K$272:$K$977,MATCH(C151,$B$272:$B$977,0)),
INDEX($L$272:$L$977,MATCH(C151,$B$272:$B$977,0))
),
0)</f>
        <v/>
      </c>
      <c r="F151" s="18" t="inlineStr">
        <is>
          <t>Locos</t>
        </is>
      </c>
      <c r="G151" s="52" t="n">
        <v>0.09</v>
      </c>
      <c r="H151" s="81" t="inlineStr">
        <is>
          <t>Kg</t>
        </is>
      </c>
      <c r="I151" s="79" t="n"/>
      <c r="J151" s="78" t="n"/>
      <c r="K151" s="79" t="n"/>
      <c r="L151" s="80" t="n"/>
      <c r="M151" s="80" t="n"/>
      <c r="N151" s="80" t="n"/>
      <c r="O151" s="20" t="n"/>
      <c r="P151" s="4" t="n"/>
      <c r="Q151" s="4" t="n"/>
    </row>
    <row r="152" ht="15" customHeight="1" s="95">
      <c r="B152" s="4" t="n"/>
      <c r="C152" s="97" t="inlineStr">
        <is>
          <t>VECARENT036</t>
        </is>
      </c>
      <c r="D152" s="18" t="inlineStr">
        <is>
          <t>Tiradito Salmón</t>
        </is>
      </c>
      <c r="E152" s="207">
        <f>IFERROR(
IF(
INDEX($K$272:$K$977,MATCH(C152,$B$272:$B$977,0))&lt;&gt;0,
INDEX($K$272:$K$977,MATCH(C152,$B$272:$B$977,0)),
INDEX($L$272:$L$977,MATCH(C152,$B$272:$B$977,0))
),
0)</f>
        <v/>
      </c>
      <c r="F152" s="1" t="inlineStr">
        <is>
          <t>Salmón fresco premium</t>
        </is>
      </c>
      <c r="G152" s="52" t="n">
        <v>0.09</v>
      </c>
      <c r="H152" s="81" t="inlineStr">
        <is>
          <t>Kg</t>
        </is>
      </c>
      <c r="I152" s="79" t="n"/>
      <c r="J152" s="78" t="n"/>
      <c r="K152" s="79" t="n"/>
      <c r="L152" s="80" t="n"/>
      <c r="M152" s="80" t="n"/>
      <c r="N152" s="80" t="n"/>
      <c r="O152" s="20" t="n"/>
      <c r="P152" s="4" t="n"/>
      <c r="Q152" s="4" t="n"/>
    </row>
    <row r="153" ht="15" customHeight="1" s="95" thickBot="1">
      <c r="B153" s="4" t="n"/>
      <c r="C153" s="82" t="inlineStr">
        <is>
          <t>VECARPOS011</t>
        </is>
      </c>
      <c r="D153" s="83" t="inlineStr">
        <is>
          <t>Volcán de Chocolate</t>
        </is>
      </c>
      <c r="E153" s="208">
        <f>IFERROR(
IF(
INDEX($K$272:$K$977,MATCH(C153,$B$272:$B$977,0))&lt;&gt;0,
INDEX($K$272:$K$977,MATCH(C153,$B$272:$B$977,0)),
INDEX($L$272:$L$977,MATCH(C153,$B$272:$B$977,0))
),
0)</f>
        <v/>
      </c>
      <c r="F153" s="31" t="inlineStr">
        <is>
          <t>Volcán de Chocolate</t>
        </is>
      </c>
      <c r="G153" s="84" t="n">
        <v>1</v>
      </c>
      <c r="H153" s="85" t="inlineStr">
        <is>
          <t>Kg</t>
        </is>
      </c>
      <c r="I153" s="79" t="n"/>
      <c r="J153" s="78" t="n"/>
      <c r="K153" s="79" t="n"/>
      <c r="L153" s="80" t="n"/>
      <c r="M153" s="80" t="n"/>
      <c r="N153" s="80" t="n"/>
      <c r="O153" s="20" t="n"/>
      <c r="P153" s="4" t="n"/>
      <c r="Q153" s="4" t="n"/>
    </row>
    <row r="154" ht="15.75" customHeight="1" s="95"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20" t="n"/>
      <c r="M154" s="20" t="n"/>
      <c r="N154" s="20" t="n"/>
      <c r="O154" s="20" t="n"/>
      <c r="P154" s="4" t="n"/>
      <c r="Q154" s="4" t="n"/>
    </row>
    <row r="155"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5" t="n"/>
      <c r="M155" s="5" t="n"/>
      <c r="N155" s="5" t="n"/>
      <c r="O155" s="5" t="n"/>
      <c r="P155" s="5" t="n"/>
      <c r="Q155" s="5" t="n"/>
      <c r="R155" s="209" t="n"/>
    </row>
    <row r="156" ht="13.5" customHeight="1" s="95" thickBot="1"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209" t="n"/>
    </row>
    <row r="157" ht="15.75" customHeight="1" s="95">
      <c r="B157" s="134" t="inlineStr">
        <is>
          <t>GRAMAJE</t>
        </is>
      </c>
      <c r="C157" s="309" t="inlineStr">
        <is>
          <t>MEDIDA</t>
        </is>
      </c>
      <c r="D157" s="309" t="inlineStr">
        <is>
          <t>PRODUCTOS</t>
        </is>
      </c>
      <c r="E157" s="144" t="inlineStr">
        <is>
          <t>STOCK INFORMADO</t>
        </is>
      </c>
      <c r="F157" s="310" t="inlineStr">
        <is>
          <t>* MERMAS EN KILOGRAMOS</t>
        </is>
      </c>
      <c r="G157" s="308" t="n"/>
      <c r="H157" s="308" t="n"/>
      <c r="I157" s="308" t="n"/>
      <c r="J157" s="311" t="n"/>
      <c r="K157" s="28" t="n"/>
      <c r="L157" s="65" t="n"/>
      <c r="M157" s="148" t="n"/>
      <c r="R157" s="209" t="n"/>
    </row>
    <row r="158" ht="26.25" customHeight="1" s="95" thickBot="1">
      <c r="B158" s="312" t="n"/>
      <c r="C158" s="313" t="n"/>
      <c r="D158" s="313" t="n"/>
      <c r="E158" s="314" t="n"/>
      <c r="F158" s="185" t="inlineStr">
        <is>
          <t>PRODUCCIÓN</t>
        </is>
      </c>
      <c r="G158" s="185" t="inlineStr">
        <is>
          <t>DEFECTUOSOS</t>
        </is>
      </c>
      <c r="H158" s="185" t="inlineStr">
        <is>
          <t>CLIENTES</t>
        </is>
      </c>
      <c r="I158" s="185" t="inlineStr">
        <is>
          <t>CORTESÍA</t>
        </is>
      </c>
      <c r="J158" s="76" t="inlineStr">
        <is>
          <t>REUTILIZAR</t>
        </is>
      </c>
      <c r="K158" s="28" t="n"/>
      <c r="L158" s="65" t="n"/>
      <c r="M158" s="148" t="n"/>
      <c r="N158" s="148" t="n"/>
      <c r="O158" s="148" t="n"/>
      <c r="P158" s="148" t="n"/>
      <c r="R158" s="209" t="n"/>
    </row>
    <row r="159" ht="13.5" customHeight="1" s="95" thickBot="1">
      <c r="B159" s="187" t="n">
        <v>0.18</v>
      </c>
      <c r="C159" s="188" t="inlineStr">
        <is>
          <t>Kg</t>
        </is>
      </c>
      <c r="D159" s="189" t="inlineStr">
        <is>
          <t>Atún apanado</t>
        </is>
      </c>
      <c r="E159" s="190" t="n"/>
      <c r="F159" s="190" t="n"/>
      <c r="G159" s="190" t="n"/>
      <c r="H159" s="190" t="n"/>
      <c r="I159" s="191" t="n"/>
      <c r="J159" s="246" t="n"/>
      <c r="K159" s="28" t="n"/>
      <c r="L159" s="65" t="n"/>
      <c r="M159" s="210" t="n"/>
      <c r="N159" s="6" t="n"/>
      <c r="O159" s="6" t="n"/>
      <c r="P159" s="210" t="n"/>
      <c r="R159" s="209" t="n"/>
    </row>
    <row r="160">
      <c r="B160" s="68" t="n">
        <v>0.25</v>
      </c>
      <c r="C160" s="23" t="inlineStr">
        <is>
          <t>Kg</t>
        </is>
      </c>
      <c r="D160" s="25" t="inlineStr">
        <is>
          <t>Atún Trozos</t>
        </is>
      </c>
      <c r="E160" s="26" t="n"/>
      <c r="F160" s="26" t="n"/>
      <c r="G160" s="26" t="n"/>
      <c r="H160" s="26" t="n"/>
      <c r="I160" s="67" t="n"/>
      <c r="J160" s="210" t="n"/>
      <c r="K160" s="28" t="n"/>
      <c r="L160" s="65" t="n"/>
      <c r="M160" s="210" t="n"/>
      <c r="N160" s="210" t="n"/>
      <c r="O160" s="210" t="n"/>
      <c r="P160" s="210" t="n"/>
      <c r="R160" s="209" t="n"/>
    </row>
    <row r="161">
      <c r="B161" s="68" t="n">
        <v>1</v>
      </c>
      <c r="C161" s="23" t="inlineStr">
        <is>
          <t>Kg</t>
        </is>
      </c>
      <c r="D161" s="25" t="inlineStr">
        <is>
          <t>Almejas Julianas</t>
        </is>
      </c>
      <c r="E161" s="26" t="n"/>
      <c r="F161" s="26" t="n"/>
      <c r="G161" s="26" t="n"/>
      <c r="H161" s="26" t="n"/>
      <c r="I161" s="67" t="n"/>
      <c r="J161" s="210" t="n"/>
      <c r="K161" s="28" t="n"/>
      <c r="L161" s="65" t="n"/>
      <c r="M161" s="210" t="n"/>
      <c r="N161" s="210" t="n"/>
      <c r="O161" s="210" t="n"/>
      <c r="P161" s="210" t="n"/>
      <c r="Q161" s="210" t="n"/>
      <c r="R161" s="209" t="n"/>
    </row>
    <row r="162">
      <c r="B162" s="68" t="n">
        <v>0.12</v>
      </c>
      <c r="C162" s="23" t="inlineStr">
        <is>
          <t>Kg</t>
        </is>
      </c>
      <c r="D162" s="25" t="inlineStr">
        <is>
          <t>Carpaccio de res</t>
        </is>
      </c>
      <c r="E162" s="26" t="n"/>
      <c r="F162" s="26" t="n"/>
      <c r="G162" s="26" t="n"/>
      <c r="H162" s="26" t="n"/>
      <c r="I162" s="67" t="n"/>
      <c r="J162" s="210" t="n"/>
      <c r="K162" s="28" t="n"/>
      <c r="L162" s="65" t="n"/>
      <c r="M162" s="43" t="n"/>
      <c r="N162" s="43" t="n"/>
      <c r="O162" s="43" t="n"/>
      <c r="P162" s="43" t="n"/>
      <c r="Q162" s="43" t="n"/>
      <c r="R162" s="209" t="n"/>
    </row>
    <row r="163">
      <c r="B163" s="68" t="n">
        <v>0.1</v>
      </c>
      <c r="C163" s="23" t="inlineStr">
        <is>
          <t>Kg</t>
        </is>
      </c>
      <c r="D163" s="27" t="inlineStr">
        <is>
          <t>Ceviche de Reineta</t>
        </is>
      </c>
      <c r="E163" s="26" t="n"/>
      <c r="F163" s="26" t="n"/>
      <c r="G163" s="26" t="n"/>
      <c r="H163" s="26" t="n"/>
      <c r="I163" s="67" t="n"/>
      <c r="J163" s="210" t="n"/>
      <c r="K163" s="28" t="n"/>
      <c r="L163" s="65" t="n"/>
      <c r="M163" s="65" t="n"/>
      <c r="N163" s="65" t="n"/>
      <c r="O163" s="65" t="n"/>
      <c r="P163" s="65" t="n"/>
      <c r="Q163" s="65" t="n"/>
      <c r="R163" s="209" t="n"/>
    </row>
    <row r="164">
      <c r="B164" s="68" t="n">
        <v>0.15</v>
      </c>
      <c r="C164" s="23" t="inlineStr">
        <is>
          <t>Kg</t>
        </is>
      </c>
      <c r="D164" s="27" t="inlineStr">
        <is>
          <t>Congrio</t>
        </is>
      </c>
      <c r="E164" s="26" t="n"/>
      <c r="F164" s="26" t="n"/>
      <c r="G164" s="26" t="n"/>
      <c r="H164" s="26" t="n"/>
      <c r="I164" s="67" t="n"/>
      <c r="J164" s="210" t="n"/>
      <c r="K164" s="28" t="n"/>
      <c r="L164" s="65" t="n"/>
      <c r="M164" s="65" t="n"/>
      <c r="N164" s="65" t="n"/>
      <c r="O164" s="65" t="n"/>
      <c r="P164" s="65" t="n"/>
      <c r="Q164" s="65" t="n"/>
      <c r="R164" s="209" t="n"/>
    </row>
    <row r="165">
      <c r="B165" s="68" t="n">
        <v>1</v>
      </c>
      <c r="C165" s="23" t="inlineStr">
        <is>
          <t>Porción</t>
        </is>
      </c>
      <c r="D165" s="27" t="inlineStr">
        <is>
          <t>Chupe de Salmón</t>
        </is>
      </c>
      <c r="E165" s="26" t="n"/>
      <c r="F165" s="26" t="n"/>
      <c r="G165" s="26" t="n"/>
      <c r="H165" s="26" t="n"/>
      <c r="I165" s="67" t="n"/>
      <c r="J165" s="210" t="n"/>
      <c r="K165" s="28" t="n"/>
      <c r="L165" s="28" t="n"/>
      <c r="M165" s="28" t="n"/>
      <c r="N165" s="28" t="n"/>
      <c r="O165" s="28" t="n"/>
      <c r="P165" s="28" t="n"/>
      <c r="Q165" s="28" t="n"/>
    </row>
    <row r="166">
      <c r="B166" s="68" t="n">
        <v>1</v>
      </c>
      <c r="C166" s="23" t="inlineStr">
        <is>
          <t>Kg</t>
        </is>
      </c>
      <c r="D166" s="27" t="inlineStr">
        <is>
          <t>Despunte de pulpo</t>
        </is>
      </c>
      <c r="E166" s="26" t="n"/>
      <c r="F166" s="26" t="n"/>
      <c r="G166" s="26" t="n"/>
      <c r="H166" s="26" t="n"/>
      <c r="I166" s="67" t="n"/>
      <c r="J166" s="210" t="n"/>
      <c r="K166" s="28" t="n"/>
      <c r="L166" s="28" t="n"/>
      <c r="M166" s="28" t="n"/>
      <c r="N166" s="28" t="n"/>
      <c r="O166" s="28" t="n"/>
      <c r="P166" s="28" t="n"/>
      <c r="Q166" s="28" t="n"/>
    </row>
    <row r="167">
      <c r="B167" s="68" t="n">
        <v>1</v>
      </c>
      <c r="C167" s="23" t="inlineStr">
        <is>
          <t>Kg</t>
        </is>
      </c>
      <c r="D167" s="27" t="inlineStr">
        <is>
          <t>Filete despunte</t>
        </is>
      </c>
      <c r="E167" s="26" t="n"/>
      <c r="F167" s="26" t="n"/>
      <c r="G167" s="26" t="n"/>
      <c r="H167" s="26" t="n"/>
      <c r="I167" s="67" t="n"/>
      <c r="J167" s="210" t="n"/>
      <c r="K167" s="28" t="n"/>
      <c r="L167" s="28" t="n"/>
      <c r="M167" s="28" t="n"/>
      <c r="N167" s="28" t="n"/>
      <c r="O167" s="28" t="n"/>
      <c r="P167" s="28" t="n"/>
      <c r="Q167" s="28" t="n"/>
    </row>
    <row r="168">
      <c r="B168" s="68" t="n">
        <v>0.12</v>
      </c>
      <c r="C168" s="23" t="inlineStr">
        <is>
          <t>Kg</t>
        </is>
      </c>
      <c r="D168" s="27" t="inlineStr">
        <is>
          <t>Filete para churrasco</t>
        </is>
      </c>
      <c r="E168" s="26" t="n"/>
      <c r="F168" s="26" t="n"/>
      <c r="G168" s="26" t="n"/>
      <c r="H168" s="26" t="n"/>
      <c r="I168" s="67" t="n"/>
      <c r="J168" s="210" t="n"/>
      <c r="K168" s="28" t="n"/>
      <c r="L168" s="28" t="n"/>
      <c r="M168" s="28" t="n"/>
      <c r="N168" s="28" t="n"/>
      <c r="O168" s="28" t="n"/>
      <c r="P168" s="28" t="n"/>
      <c r="Q168" s="28" t="n"/>
    </row>
    <row r="169">
      <c r="B169" s="68" t="n">
        <v>0.48</v>
      </c>
      <c r="C169" s="23" t="inlineStr">
        <is>
          <t>Kg</t>
        </is>
      </c>
      <c r="D169" s="70" t="inlineStr">
        <is>
          <t>Filete para crudo</t>
        </is>
      </c>
      <c r="E169" s="26" t="n"/>
      <c r="F169" s="26" t="n"/>
      <c r="G169" s="26" t="n"/>
      <c r="H169" s="26" t="n"/>
      <c r="I169" s="67" t="n"/>
      <c r="J169" s="210" t="n"/>
      <c r="K169" s="28" t="n"/>
      <c r="L169" s="28" t="n"/>
      <c r="M169" s="28" t="n"/>
      <c r="N169" s="28" t="n"/>
      <c r="O169" s="28" t="n"/>
      <c r="P169" s="28" t="n"/>
      <c r="Q169" s="28" t="n"/>
    </row>
    <row r="170">
      <c r="B170" s="68" t="n">
        <v>0.16</v>
      </c>
      <c r="C170" s="23" t="inlineStr">
        <is>
          <t>Kg</t>
        </is>
      </c>
      <c r="D170" s="25" t="inlineStr">
        <is>
          <t>Filete salteado</t>
        </is>
      </c>
      <c r="E170" s="26" t="n"/>
      <c r="F170" s="26" t="n"/>
      <c r="G170" s="26" t="n"/>
      <c r="H170" s="26" t="n"/>
      <c r="I170" s="67" t="n"/>
      <c r="J170" s="210" t="n"/>
      <c r="K170" s="28" t="n"/>
      <c r="L170" s="28" t="n"/>
      <c r="M170" s="28" t="n"/>
      <c r="N170" s="28" t="n"/>
      <c r="O170" s="28" t="n"/>
      <c r="P170" s="28" t="n"/>
      <c r="Q170" s="28" t="n"/>
    </row>
    <row r="171">
      <c r="B171" s="68" t="n">
        <v>0.12</v>
      </c>
      <c r="C171" s="23" t="inlineStr">
        <is>
          <t>Kg</t>
        </is>
      </c>
      <c r="D171" s="25" t="inlineStr">
        <is>
          <t>Ganso</t>
        </is>
      </c>
      <c r="E171" s="26" t="n"/>
      <c r="F171" s="26" t="n"/>
      <c r="G171" s="26" t="n"/>
      <c r="H171" s="26" t="n"/>
      <c r="I171" s="67" t="n"/>
      <c r="J171" s="210" t="n"/>
      <c r="K171" s="28" t="n"/>
      <c r="L171" s="28" t="n"/>
      <c r="M171" s="28" t="n"/>
      <c r="N171" s="28" t="n"/>
      <c r="O171" s="28" t="n"/>
      <c r="P171" s="28" t="n"/>
      <c r="Q171" s="28" t="n"/>
    </row>
    <row r="172">
      <c r="B172" s="68" t="n">
        <v>0.2</v>
      </c>
      <c r="C172" s="23" t="inlineStr">
        <is>
          <t>Kg</t>
        </is>
      </c>
      <c r="D172" s="25" t="inlineStr">
        <is>
          <t>Hamburguesas</t>
        </is>
      </c>
      <c r="E172" s="26" t="n"/>
      <c r="F172" s="26" t="n"/>
      <c r="G172" s="26" t="n"/>
      <c r="H172" s="26" t="n"/>
      <c r="I172" s="67" t="n"/>
      <c r="J172" s="210" t="n"/>
      <c r="K172" s="28" t="n"/>
      <c r="L172" s="28" t="n"/>
      <c r="M172" s="28" t="n"/>
      <c r="N172" s="28" t="n"/>
      <c r="O172" s="28" t="n"/>
      <c r="P172" s="28" t="n"/>
      <c r="Q172" s="28" t="n"/>
    </row>
    <row r="173">
      <c r="B173" s="68" t="n">
        <v>1</v>
      </c>
      <c r="C173" s="23" t="inlineStr">
        <is>
          <t>Kg</t>
        </is>
      </c>
      <c r="D173" s="70" t="inlineStr">
        <is>
          <t>Langostinos</t>
        </is>
      </c>
      <c r="E173" s="26" t="n"/>
      <c r="F173" s="26" t="n"/>
      <c r="G173" s="26" t="n"/>
      <c r="H173" s="26" t="n"/>
      <c r="I173" s="67" t="n"/>
      <c r="J173" s="210" t="n"/>
      <c r="K173" s="28" t="n"/>
      <c r="L173" s="28" t="n"/>
      <c r="M173" s="28" t="n"/>
      <c r="N173" s="28" t="n"/>
      <c r="O173" s="28" t="n"/>
      <c r="P173" s="28" t="n"/>
      <c r="Q173" s="28" t="n"/>
    </row>
    <row r="174">
      <c r="B174" s="68" t="n">
        <v>1</v>
      </c>
      <c r="C174" s="23" t="inlineStr">
        <is>
          <t>Kg</t>
        </is>
      </c>
      <c r="D174" s="25" t="inlineStr">
        <is>
          <t>Jamón serrano</t>
        </is>
      </c>
      <c r="E174" s="26" t="n"/>
      <c r="F174" s="26" t="n"/>
      <c r="G174" s="26" t="n"/>
      <c r="H174" s="26" t="n"/>
      <c r="I174" s="67" t="n"/>
      <c r="J174" s="210" t="n"/>
      <c r="K174" s="28" t="n"/>
      <c r="L174" s="28" t="n"/>
      <c r="M174" s="4" t="n"/>
      <c r="N174" s="4" t="n"/>
      <c r="O174" s="28" t="n"/>
      <c r="P174" s="28" t="n"/>
      <c r="Q174" s="28" t="n"/>
    </row>
    <row r="175">
      <c r="B175" s="68" t="n">
        <v>1</v>
      </c>
      <c r="C175" s="23" t="inlineStr">
        <is>
          <t>Porción</t>
        </is>
      </c>
      <c r="D175" s="25" t="inlineStr">
        <is>
          <t>Lasagna Berenjenas</t>
        </is>
      </c>
      <c r="E175" s="186" t="n"/>
      <c r="F175" s="26" t="n"/>
      <c r="G175" s="26" t="n"/>
      <c r="H175" s="26" t="n"/>
      <c r="I175" s="67" t="n"/>
      <c r="J175" s="210" t="n"/>
      <c r="K175" s="28" t="n"/>
      <c r="L175" s="28" t="n"/>
      <c r="M175" s="28" t="n"/>
      <c r="N175" s="28" t="n"/>
      <c r="O175" s="28" t="n"/>
      <c r="P175" s="28" t="n"/>
      <c r="Q175" s="28" t="n"/>
    </row>
    <row r="176">
      <c r="B176" s="68" t="n">
        <v>0.18</v>
      </c>
      <c r="C176" s="23" t="inlineStr">
        <is>
          <t>Kg</t>
        </is>
      </c>
      <c r="D176" s="25" t="inlineStr">
        <is>
          <t>Lomo liso</t>
        </is>
      </c>
      <c r="E176" s="26" t="n"/>
      <c r="F176" s="26" t="n"/>
      <c r="G176" s="26" t="n"/>
      <c r="H176" s="26" t="n"/>
      <c r="I176" s="67" t="n"/>
      <c r="J176" s="210" t="n"/>
      <c r="K176" s="28" t="n"/>
      <c r="L176" s="28" t="n"/>
      <c r="M176" s="28" t="n"/>
      <c r="N176" s="28" t="n"/>
      <c r="O176" s="28" t="n"/>
      <c r="P176" s="28" t="n"/>
      <c r="Q176" s="28" t="n"/>
    </row>
    <row r="177">
      <c r="B177" s="68" t="n">
        <v>0.09</v>
      </c>
      <c r="C177" s="23" t="inlineStr">
        <is>
          <t>Kg</t>
        </is>
      </c>
      <c r="D177" s="25" t="inlineStr">
        <is>
          <t>Locos</t>
        </is>
      </c>
      <c r="E177" s="26" t="n"/>
      <c r="F177" s="26" t="n"/>
      <c r="G177" s="26" t="n"/>
      <c r="H177" s="26" t="n"/>
      <c r="I177" s="67" t="n"/>
      <c r="J177" s="210" t="n"/>
      <c r="K177" s="28" t="n"/>
      <c r="L177" s="28" t="n"/>
      <c r="M177" s="28" t="n"/>
      <c r="N177" s="28" t="n"/>
      <c r="O177" s="28" t="n"/>
      <c r="P177" s="28" t="n"/>
      <c r="Q177" s="28" t="n"/>
    </row>
    <row r="178">
      <c r="B178" s="68" t="n">
        <v>1</v>
      </c>
      <c r="C178" s="23" t="inlineStr">
        <is>
          <t>Kg</t>
        </is>
      </c>
      <c r="D178" s="25" t="inlineStr">
        <is>
          <t>Mejillones</t>
        </is>
      </c>
      <c r="E178" s="26" t="n"/>
      <c r="F178" s="26" t="n"/>
      <c r="G178" s="26" t="n"/>
      <c r="H178" s="26" t="n"/>
      <c r="I178" s="67" t="n"/>
      <c r="J178" s="210" t="n"/>
      <c r="K178" s="28" t="n"/>
      <c r="L178" s="28" t="n"/>
      <c r="M178" s="28" t="n"/>
      <c r="N178" s="28" t="n"/>
      <c r="O178" s="28" t="n"/>
      <c r="P178" s="28" t="n"/>
      <c r="Q178" s="28" t="n"/>
    </row>
    <row r="179">
      <c r="B179" s="68" t="n">
        <v>0.18</v>
      </c>
      <c r="C179" s="23" t="inlineStr">
        <is>
          <t>Kg</t>
        </is>
      </c>
      <c r="D179" s="25" t="inlineStr">
        <is>
          <t>Merluza</t>
        </is>
      </c>
      <c r="E179" s="26" t="n"/>
      <c r="F179" s="26" t="n"/>
      <c r="G179" s="26" t="n"/>
      <c r="H179" s="26" t="n"/>
      <c r="I179" s="67" t="n"/>
      <c r="J179" s="210" t="n"/>
      <c r="K179" s="28" t="n"/>
      <c r="L179" s="28" t="n"/>
      <c r="M179" s="28" t="n"/>
      <c r="N179" s="28" t="n"/>
      <c r="O179" s="28" t="n"/>
      <c r="P179" s="28" t="n"/>
      <c r="Q179" s="28" t="n"/>
    </row>
    <row r="180">
      <c r="B180" s="68" t="n">
        <v>0.12</v>
      </c>
      <c r="C180" s="23" t="inlineStr">
        <is>
          <t>Kg</t>
        </is>
      </c>
      <c r="D180" s="25" t="inlineStr">
        <is>
          <t>Paila de Carne</t>
        </is>
      </c>
      <c r="E180" s="26" t="n"/>
      <c r="F180" s="26" t="n"/>
      <c r="G180" s="26" t="n"/>
      <c r="H180" s="26" t="n"/>
      <c r="I180" s="67" t="n"/>
      <c r="J180" s="210" t="n"/>
      <c r="K180" s="28" t="n"/>
      <c r="L180" s="28" t="n"/>
      <c r="M180" s="28" t="n"/>
      <c r="N180" s="28" t="n"/>
      <c r="O180" s="28" t="n"/>
      <c r="P180" s="28" t="n"/>
      <c r="Q180" s="28" t="n"/>
    </row>
    <row r="181">
      <c r="B181" s="68" t="n">
        <v>0.18</v>
      </c>
      <c r="C181" s="23" t="inlineStr">
        <is>
          <t>Kg</t>
        </is>
      </c>
      <c r="D181" s="25" t="inlineStr">
        <is>
          <t>Plateada</t>
        </is>
      </c>
      <c r="E181" s="26" t="n"/>
      <c r="F181" s="26" t="n"/>
      <c r="G181" s="26" t="n"/>
      <c r="H181" s="26" t="n"/>
      <c r="I181" s="67" t="n"/>
      <c r="J181" s="210" t="n"/>
      <c r="K181" s="28" t="n"/>
      <c r="L181" s="28" t="n"/>
      <c r="M181" s="28" t="n"/>
      <c r="N181" s="28" t="n"/>
      <c r="O181" s="28" t="n"/>
      <c r="P181" s="28" t="n"/>
      <c r="Q181" s="28" t="n"/>
    </row>
    <row r="182">
      <c r="B182" s="68" t="n">
        <v>0.145</v>
      </c>
      <c r="C182" s="23" t="inlineStr">
        <is>
          <t>kg</t>
        </is>
      </c>
      <c r="D182" s="25" t="inlineStr">
        <is>
          <t>Pulpo</t>
        </is>
      </c>
      <c r="E182" s="26" t="n"/>
      <c r="F182" s="26" t="n"/>
      <c r="G182" s="26" t="n"/>
      <c r="H182" s="26" t="n"/>
      <c r="I182" s="67" t="n"/>
      <c r="J182" s="210" t="n"/>
      <c r="K182" s="28" t="n"/>
      <c r="L182" s="28" t="n"/>
      <c r="M182" s="4" t="n"/>
      <c r="N182" s="4" t="n"/>
      <c r="O182" s="28" t="n"/>
      <c r="P182" s="28" t="n"/>
      <c r="Q182" s="28" t="n"/>
    </row>
    <row r="183">
      <c r="B183" s="168" t="n">
        <v>0.411</v>
      </c>
      <c r="C183" s="23" t="inlineStr">
        <is>
          <t>Kg</t>
        </is>
      </c>
      <c r="D183" s="25" t="inlineStr">
        <is>
          <t>Ragout Lasagna</t>
        </is>
      </c>
      <c r="E183" s="26" t="n"/>
      <c r="F183" s="26" t="n"/>
      <c r="G183" s="26" t="n"/>
      <c r="H183" s="26" t="n"/>
      <c r="I183" s="67" t="n"/>
      <c r="J183" s="210" t="n"/>
      <c r="K183" s="28" t="n"/>
      <c r="L183" s="28" t="n"/>
      <c r="M183" s="4" t="n"/>
      <c r="N183" s="4" t="n"/>
      <c r="O183" s="28" t="n"/>
      <c r="P183" s="28" t="n"/>
      <c r="Q183" s="28" t="n"/>
    </row>
    <row r="184">
      <c r="B184" s="168" t="n">
        <v>0.36</v>
      </c>
      <c r="C184" s="23" t="inlineStr">
        <is>
          <t>Kg</t>
        </is>
      </c>
      <c r="D184" s="25" t="inlineStr">
        <is>
          <t>Ragout Rigatoni</t>
        </is>
      </c>
      <c r="E184" s="26" t="n"/>
      <c r="F184" s="26" t="n"/>
      <c r="G184" s="26" t="n"/>
      <c r="H184" s="26" t="n"/>
      <c r="I184" s="67" t="n"/>
      <c r="J184" s="210" t="n"/>
      <c r="K184" s="28" t="n"/>
      <c r="L184" s="28" t="n"/>
      <c r="M184" s="4" t="n"/>
      <c r="N184" s="4" t="n"/>
      <c r="O184" s="28" t="n"/>
      <c r="P184" s="28" t="n"/>
      <c r="Q184" s="28" t="n"/>
    </row>
    <row r="185">
      <c r="B185" s="68" t="n">
        <v>1</v>
      </c>
      <c r="C185" s="23" t="inlineStr">
        <is>
          <t>Kg</t>
        </is>
      </c>
      <c r="D185" s="25" t="inlineStr">
        <is>
          <t>Salmon ahumado en frío</t>
        </is>
      </c>
      <c r="E185" s="26" t="n"/>
      <c r="F185" s="26" t="n"/>
      <c r="G185" s="26" t="n"/>
      <c r="H185" s="26" t="n"/>
      <c r="I185" s="67" t="n"/>
      <c r="J185" s="210" t="n"/>
      <c r="K185" s="28" t="n"/>
      <c r="L185" s="28" t="n"/>
      <c r="M185" s="4" t="n"/>
      <c r="N185" s="4" t="n"/>
      <c r="O185" s="28" t="n"/>
      <c r="P185" s="28" t="n"/>
      <c r="Q185" s="28" t="n"/>
    </row>
    <row r="186">
      <c r="B186" s="68" t="n">
        <v>0.12</v>
      </c>
      <c r="C186" s="23" t="inlineStr">
        <is>
          <t>Kg</t>
        </is>
      </c>
      <c r="D186" s="25" t="inlineStr">
        <is>
          <t>Salmón ahumado en caliente</t>
        </is>
      </c>
      <c r="E186" s="26" t="n"/>
      <c r="F186" s="26" t="n"/>
      <c r="G186" s="26" t="n"/>
      <c r="H186" s="26" t="n"/>
      <c r="I186" s="67" t="n"/>
      <c r="J186" s="210" t="n"/>
      <c r="K186" s="28" t="n"/>
      <c r="L186" s="28" t="n"/>
      <c r="M186" s="28" t="n"/>
      <c r="N186" s="28" t="n"/>
      <c r="O186" s="28" t="n"/>
      <c r="P186" s="28" t="n"/>
      <c r="Q186" s="28" t="n"/>
    </row>
    <row r="187">
      <c r="B187" s="68" t="n">
        <v>0.16</v>
      </c>
      <c r="C187" s="23" t="inlineStr">
        <is>
          <t>Kg</t>
        </is>
      </c>
      <c r="D187" s="25" t="inlineStr">
        <is>
          <t>Salmón cancato</t>
        </is>
      </c>
      <c r="E187" s="26" t="n"/>
      <c r="F187" s="26" t="n"/>
      <c r="G187" s="26" t="n"/>
      <c r="H187" s="26" t="n"/>
      <c r="I187" s="67" t="n"/>
      <c r="J187" s="210" t="n"/>
      <c r="K187" s="28" t="n"/>
      <c r="L187" s="28" t="n"/>
      <c r="M187" s="28" t="n"/>
      <c r="N187" s="28" t="n"/>
      <c r="O187" s="28" t="n"/>
      <c r="P187" s="28" t="n"/>
      <c r="Q187" s="28" t="n"/>
    </row>
    <row r="188">
      <c r="B188" s="68" t="n">
        <v>0.09</v>
      </c>
      <c r="C188" s="23" t="inlineStr">
        <is>
          <t>Kg</t>
        </is>
      </c>
      <c r="D188" s="25" t="inlineStr">
        <is>
          <t>Salmón fresco premium</t>
        </is>
      </c>
      <c r="E188" s="26" t="n"/>
      <c r="F188" s="26" t="n"/>
      <c r="G188" s="26" t="n"/>
      <c r="H188" s="26" t="n"/>
      <c r="I188" s="67" t="n"/>
      <c r="J188" s="210" t="n"/>
      <c r="K188" s="28" t="n"/>
      <c r="L188" s="28" t="n"/>
      <c r="M188" s="28" t="n"/>
      <c r="N188" s="28" t="n"/>
      <c r="O188" s="28" t="n"/>
      <c r="P188" s="28" t="n"/>
      <c r="Q188" s="28" t="n"/>
    </row>
    <row r="189">
      <c r="B189" s="68" t="n">
        <v>0.17</v>
      </c>
      <c r="C189" s="23" t="inlineStr">
        <is>
          <t>Kg</t>
        </is>
      </c>
      <c r="D189" s="25" t="inlineStr">
        <is>
          <t>Tartar de res</t>
        </is>
      </c>
      <c r="E189" s="26" t="n"/>
      <c r="F189" s="26" t="n"/>
      <c r="G189" s="26" t="n"/>
      <c r="H189" s="26" t="n"/>
      <c r="I189" s="67" t="n"/>
      <c r="J189" s="210" t="n"/>
      <c r="K189" s="28" t="n"/>
      <c r="L189" s="28" t="n"/>
      <c r="M189" s="28" t="n"/>
      <c r="N189" s="28" t="n"/>
      <c r="O189" s="28" t="n"/>
      <c r="P189" s="28" t="n"/>
      <c r="Q189" s="28" t="n"/>
    </row>
    <row r="190" ht="13.5" customHeight="1" s="95" thickBot="1">
      <c r="B190" s="71" t="n">
        <v>0.18</v>
      </c>
      <c r="C190" s="75" t="inlineStr">
        <is>
          <t>Kg</t>
        </is>
      </c>
      <c r="D190" s="174" t="inlineStr">
        <is>
          <t xml:space="preserve">Tártaro de atún </t>
        </is>
      </c>
      <c r="E190" s="72" t="n"/>
      <c r="F190" s="72" t="n"/>
      <c r="G190" s="72" t="n"/>
      <c r="H190" s="72" t="n"/>
      <c r="I190" s="73" t="n"/>
      <c r="J190" s="210" t="n"/>
      <c r="K190" s="28" t="n"/>
      <c r="L190" s="28" t="n"/>
      <c r="M190" s="28" t="n"/>
      <c r="N190" s="28" t="n"/>
      <c r="O190" s="28" t="n"/>
      <c r="P190" s="28" t="n"/>
      <c r="Q190" s="28" t="n"/>
    </row>
    <row r="191" ht="13.5" customHeight="1" s="95" thickBot="1">
      <c r="B191" s="210" t="n"/>
      <c r="C191" s="28" t="n"/>
      <c r="D191" s="65" t="n"/>
      <c r="E191" s="210" t="n"/>
      <c r="F191" s="210" t="n"/>
      <c r="G191" s="210" t="n"/>
      <c r="H191" s="210" t="n"/>
      <c r="I191" s="210" t="n"/>
      <c r="J191" s="210" t="n"/>
      <c r="K191" s="28" t="n"/>
      <c r="L191" s="28" t="n"/>
      <c r="M191" s="28" t="n"/>
      <c r="N191" s="28" t="n"/>
      <c r="O191" s="28" t="n"/>
      <c r="P191" s="28" t="n"/>
      <c r="Q191" s="28" t="n"/>
    </row>
    <row r="192" ht="15.75" customHeight="1" s="95">
      <c r="B192" s="169" t="inlineStr">
        <is>
          <t>UNIDADES</t>
        </is>
      </c>
      <c r="C192" s="170" t="inlineStr">
        <is>
          <t>MEDIDA</t>
        </is>
      </c>
      <c r="D192" s="170" t="inlineStr">
        <is>
          <t>PRODUCTOS</t>
        </is>
      </c>
      <c r="E192" s="171" t="n"/>
      <c r="F192" s="172" t="n"/>
      <c r="G192" s="308" t="n"/>
      <c r="H192" s="308" t="n"/>
      <c r="I192" s="300" t="n"/>
      <c r="J192" s="136" t="n"/>
      <c r="K192" s="28" t="n"/>
      <c r="L192" s="28" t="n"/>
      <c r="M192" s="28" t="n"/>
      <c r="N192" s="28" t="n"/>
      <c r="O192" s="28" t="n"/>
      <c r="P192" s="28" t="n"/>
      <c r="Q192" s="28" t="n"/>
    </row>
    <row r="193" ht="26.25" customHeight="1" s="95" thickBot="1">
      <c r="B193" s="315" t="n"/>
      <c r="C193" s="316" t="n"/>
      <c r="D193" s="316" t="n"/>
      <c r="E193" s="316" t="n"/>
      <c r="F193" s="180" t="n"/>
      <c r="G193" s="180" t="n"/>
      <c r="H193" s="180" t="n"/>
      <c r="I193" s="181" t="n"/>
      <c r="K193" s="28" t="n"/>
      <c r="L193" s="28" t="n"/>
      <c r="M193" s="28" t="n"/>
      <c r="N193" s="28" t="n"/>
      <c r="O193" s="28" t="n"/>
      <c r="P193" s="28" t="n"/>
      <c r="Q193" s="28" t="n"/>
    </row>
    <row r="194">
      <c r="B194" s="66" t="n">
        <v>1</v>
      </c>
      <c r="C194" s="74" t="inlineStr">
        <is>
          <t>Und</t>
        </is>
      </c>
      <c r="D194" s="24" t="inlineStr">
        <is>
          <t>Brownie Nutella</t>
        </is>
      </c>
      <c r="E194" s="175" t="n"/>
      <c r="F194" s="175" t="n"/>
      <c r="G194" s="175" t="n"/>
      <c r="H194" s="175" t="n"/>
      <c r="I194" s="176" t="n"/>
      <c r="J194" s="210" t="n"/>
      <c r="K194" s="28" t="n"/>
      <c r="L194" s="28" t="n"/>
      <c r="M194" s="28" t="n"/>
      <c r="N194" s="28" t="n"/>
      <c r="O194" s="28" t="n"/>
      <c r="P194" s="28" t="n"/>
      <c r="Q194" s="28" t="n"/>
    </row>
    <row r="195">
      <c r="B195" s="68" t="n">
        <v>4</v>
      </c>
      <c r="C195" s="23" t="inlineStr">
        <is>
          <t>Und</t>
        </is>
      </c>
      <c r="D195" s="25" t="inlineStr">
        <is>
          <t>Brownie Vegano</t>
        </is>
      </c>
      <c r="E195" s="26" t="n"/>
      <c r="F195" s="26" t="n"/>
      <c r="G195" s="26" t="n"/>
      <c r="H195" s="26" t="n"/>
      <c r="I195" s="67" t="n"/>
      <c r="J195" s="210" t="n"/>
      <c r="K195" s="28" t="n"/>
      <c r="L195" s="28" t="n"/>
      <c r="M195" s="28" t="n"/>
      <c r="N195" s="28" t="n"/>
      <c r="O195" s="28" t="n"/>
      <c r="P195" s="28" t="n"/>
      <c r="Q195" s="28" t="n"/>
    </row>
    <row r="196">
      <c r="B196" s="68" t="n">
        <v>1</v>
      </c>
      <c r="C196" s="23" t="inlineStr">
        <is>
          <t>Und</t>
        </is>
      </c>
      <c r="D196" s="25" t="inlineStr">
        <is>
          <t>Cheesecake de Berries</t>
        </is>
      </c>
      <c r="E196" s="26" t="n"/>
      <c r="F196" s="26" t="n"/>
      <c r="G196" s="26" t="n"/>
      <c r="H196" s="26" t="n"/>
      <c r="I196" s="67" t="n"/>
      <c r="J196" s="210" t="n"/>
      <c r="K196" s="28" t="n"/>
      <c r="L196" s="28" t="n"/>
      <c r="M196" s="28" t="n"/>
      <c r="N196" s="28" t="n"/>
      <c r="O196" s="28" t="n"/>
      <c r="P196" s="28" t="n"/>
      <c r="Q196" s="28" t="n"/>
    </row>
    <row r="197">
      <c r="B197" s="68" t="n">
        <v>1</v>
      </c>
      <c r="C197" s="23" t="inlineStr">
        <is>
          <t>Und</t>
        </is>
      </c>
      <c r="D197" s="25" t="inlineStr">
        <is>
          <t>Cheesecake de limón</t>
        </is>
      </c>
      <c r="E197" s="26" t="n"/>
      <c r="F197" s="26" t="n"/>
      <c r="G197" s="26" t="n"/>
      <c r="H197" s="26" t="n"/>
      <c r="I197" s="67" t="n"/>
      <c r="J197" s="210" t="n"/>
      <c r="K197" s="28" t="n"/>
      <c r="L197" s="28" t="n"/>
      <c r="M197" s="28" t="n"/>
      <c r="N197" s="28" t="n"/>
      <c r="O197" s="28" t="n"/>
      <c r="P197" s="28" t="n"/>
      <c r="Q197" s="28" t="n"/>
    </row>
    <row r="198">
      <c r="B198" s="68" t="n">
        <v>1</v>
      </c>
      <c r="C198" s="23" t="inlineStr">
        <is>
          <t>Kg</t>
        </is>
      </c>
      <c r="D198" s="25" t="inlineStr">
        <is>
          <t>Chocolate Blanco</t>
        </is>
      </c>
      <c r="E198" s="26" t="n"/>
      <c r="F198" s="26" t="n"/>
      <c r="G198" s="26" t="n"/>
      <c r="H198" s="26" t="n"/>
      <c r="I198" s="67" t="n"/>
      <c r="J198" s="210" t="n"/>
      <c r="K198" s="28" t="n"/>
      <c r="L198" s="28" t="n"/>
      <c r="M198" s="28" t="n"/>
      <c r="N198" s="28" t="n"/>
      <c r="O198" s="28" t="n"/>
      <c r="P198" s="28" t="n"/>
      <c r="Q198" s="28" t="n"/>
    </row>
    <row r="199">
      <c r="B199" s="68" t="n">
        <v>1</v>
      </c>
      <c r="C199" s="23" t="inlineStr">
        <is>
          <t>Kg</t>
        </is>
      </c>
      <c r="D199" s="25" t="inlineStr">
        <is>
          <t>Chocolate Leche</t>
        </is>
      </c>
      <c r="E199" s="26" t="n"/>
      <c r="F199" s="26" t="n"/>
      <c r="G199" s="26" t="n"/>
      <c r="H199" s="26" t="n"/>
      <c r="I199" s="67" t="n"/>
      <c r="J199" s="210" t="n"/>
      <c r="K199" s="28" t="n"/>
      <c r="L199" s="28" t="n"/>
      <c r="M199" s="28" t="n"/>
      <c r="N199" s="28" t="n"/>
      <c r="O199" s="28" t="n"/>
      <c r="P199" s="28" t="n"/>
      <c r="Q199" s="28" t="n"/>
    </row>
    <row r="200">
      <c r="B200" s="68" t="n">
        <v>1</v>
      </c>
      <c r="C200" s="23" t="inlineStr">
        <is>
          <t>Kg</t>
        </is>
      </c>
      <c r="D200" s="25" t="inlineStr">
        <is>
          <t>Chocolate Negro</t>
        </is>
      </c>
      <c r="E200" s="26" t="n"/>
      <c r="F200" s="26" t="n"/>
      <c r="G200" s="26" t="n"/>
      <c r="H200" s="26" t="n"/>
      <c r="I200" s="67" t="n"/>
      <c r="J200" s="210" t="n"/>
      <c r="K200" s="28" t="n"/>
      <c r="L200" s="28" t="n"/>
      <c r="M200" s="28" t="n"/>
      <c r="N200" s="28" t="n"/>
      <c r="O200" s="28" t="n"/>
      <c r="P200" s="28" t="n"/>
      <c r="Q200" s="28" t="n"/>
    </row>
    <row r="201">
      <c r="B201" s="68" t="n">
        <v>1</v>
      </c>
      <c r="C201" s="23" t="inlineStr">
        <is>
          <t>Kg</t>
        </is>
      </c>
      <c r="D201" s="25" t="inlineStr">
        <is>
          <t>Chocolate Neucober Cobertura</t>
        </is>
      </c>
      <c r="E201" s="26" t="n"/>
      <c r="F201" s="26" t="n"/>
      <c r="G201" s="26" t="n"/>
      <c r="H201" s="26" t="n"/>
      <c r="I201" s="67" t="n"/>
      <c r="J201" s="210" t="n"/>
      <c r="K201" s="28" t="n"/>
      <c r="L201" s="28" t="n"/>
      <c r="M201" s="28" t="n"/>
      <c r="N201" s="28" t="n"/>
      <c r="O201" s="28" t="n"/>
      <c r="P201" s="28" t="n"/>
      <c r="Q201" s="28" t="n"/>
    </row>
    <row r="202">
      <c r="B202" s="68" t="n">
        <v>1</v>
      </c>
      <c r="C202" s="23" t="inlineStr">
        <is>
          <t>Kg</t>
        </is>
      </c>
      <c r="D202" s="25" t="inlineStr">
        <is>
          <t>Chocolate Sicao Cobertura</t>
        </is>
      </c>
      <c r="E202" s="26" t="n"/>
      <c r="F202" s="26" t="n"/>
      <c r="G202" s="26" t="n"/>
      <c r="H202" s="26" t="n"/>
      <c r="I202" s="67" t="n"/>
      <c r="J202" s="210" t="n"/>
      <c r="K202" s="28" t="n"/>
      <c r="L202" s="28" t="n"/>
      <c r="M202" s="28" t="n"/>
      <c r="N202" s="28" t="n"/>
      <c r="O202" s="28" t="n"/>
      <c r="P202" s="28" t="n"/>
      <c r="Q202" s="28" t="n"/>
    </row>
    <row r="203">
      <c r="B203" s="68" t="n">
        <v>1</v>
      </c>
      <c r="C203" s="23" t="inlineStr">
        <is>
          <t>Und</t>
        </is>
      </c>
      <c r="D203" s="25" t="inlineStr">
        <is>
          <t>Discos de Chocolate</t>
        </is>
      </c>
      <c r="E203" s="26" t="n"/>
      <c r="F203" s="26" t="n"/>
      <c r="G203" s="26" t="n"/>
      <c r="H203" s="26" t="n"/>
      <c r="I203" s="67" t="n"/>
      <c r="J203" s="210" t="n"/>
      <c r="K203" s="28" t="n"/>
      <c r="L203" s="28" t="n"/>
      <c r="M203" s="28" t="n"/>
      <c r="N203" s="28" t="n"/>
      <c r="O203" s="28" t="n"/>
      <c r="P203" s="28" t="n"/>
      <c r="Q203" s="28" t="n"/>
    </row>
    <row r="204">
      <c r="B204" s="68" t="n">
        <v>4</v>
      </c>
      <c r="C204" s="23" t="inlineStr">
        <is>
          <t>Pax</t>
        </is>
      </c>
      <c r="D204" s="25" t="inlineStr">
        <is>
          <t>Empanada mechada</t>
        </is>
      </c>
      <c r="E204" s="26" t="n"/>
      <c r="F204" s="26" t="n"/>
      <c r="G204" s="26" t="n"/>
      <c r="H204" s="26" t="n"/>
      <c r="I204" s="67" t="n"/>
      <c r="J204" s="210" t="n"/>
      <c r="K204" s="28" t="n"/>
      <c r="L204" s="28" t="n"/>
      <c r="M204" s="28" t="n"/>
      <c r="N204" s="28" t="n"/>
      <c r="O204" s="28" t="n"/>
      <c r="P204" s="28" t="n"/>
      <c r="Q204" s="28" t="n"/>
    </row>
    <row r="205">
      <c r="B205" s="68" t="n">
        <v>1</v>
      </c>
      <c r="C205" s="23" t="inlineStr">
        <is>
          <t>Und</t>
        </is>
      </c>
      <c r="D205" s="25" t="inlineStr">
        <is>
          <t>Empanada mechada sueltas</t>
        </is>
      </c>
      <c r="E205" s="26" t="n"/>
      <c r="F205" s="26" t="n"/>
      <c r="G205" s="26" t="n"/>
      <c r="H205" s="26" t="n"/>
      <c r="I205" s="67" t="n"/>
      <c r="J205" s="210" t="n"/>
      <c r="K205" s="28" t="n"/>
      <c r="L205" s="28" t="n"/>
      <c r="M205" s="28" t="n"/>
      <c r="N205" s="28" t="n"/>
      <c r="O205" s="28" t="n"/>
      <c r="P205" s="28" t="n"/>
      <c r="Q205" s="28" t="n"/>
    </row>
    <row r="206">
      <c r="B206" s="68" t="n">
        <v>4</v>
      </c>
      <c r="C206" s="23" t="inlineStr">
        <is>
          <t>Pax</t>
        </is>
      </c>
      <c r="D206" s="25" t="inlineStr">
        <is>
          <t>Empanada pulpo</t>
        </is>
      </c>
      <c r="E206" s="26" t="n"/>
      <c r="F206" s="26" t="n"/>
      <c r="G206" s="26" t="n"/>
      <c r="H206" s="26" t="n"/>
      <c r="I206" s="67" t="n"/>
      <c r="J206" s="210" t="n"/>
      <c r="K206" s="28" t="n"/>
      <c r="L206" s="28" t="n"/>
      <c r="M206" s="28" t="n"/>
      <c r="N206" s="28" t="n"/>
      <c r="O206" s="28" t="n"/>
      <c r="P206" s="28" t="n"/>
      <c r="Q206" s="28" t="n"/>
    </row>
    <row r="207">
      <c r="B207" s="68" t="n">
        <v>1</v>
      </c>
      <c r="C207" s="23" t="inlineStr">
        <is>
          <t>Und</t>
        </is>
      </c>
      <c r="D207" s="25" t="inlineStr">
        <is>
          <t>Empanada pulpo sueltas</t>
        </is>
      </c>
      <c r="E207" s="26" t="n"/>
      <c r="F207" s="26" t="n"/>
      <c r="G207" s="26" t="n"/>
      <c r="H207" s="26" t="n"/>
      <c r="I207" s="67" t="n"/>
      <c r="J207" s="210" t="n"/>
      <c r="K207" s="28" t="n"/>
      <c r="L207" s="28" t="n"/>
      <c r="M207" s="28" t="n"/>
      <c r="N207" s="28" t="n"/>
      <c r="O207" s="28" t="n"/>
      <c r="P207" s="28" t="n"/>
      <c r="Q207" s="28" t="n"/>
    </row>
    <row r="208">
      <c r="B208" s="68" t="n">
        <v>1</v>
      </c>
      <c r="C208" s="23" t="inlineStr">
        <is>
          <t>Und</t>
        </is>
      </c>
      <c r="D208" s="27" t="inlineStr">
        <is>
          <t>Flan de caluga</t>
        </is>
      </c>
      <c r="E208" s="26" t="n"/>
      <c r="F208" s="26" t="n"/>
      <c r="G208" s="26" t="n"/>
      <c r="H208" s="26" t="n"/>
      <c r="I208" s="67" t="n"/>
      <c r="J208" s="210" t="n"/>
      <c r="K208" s="28" t="n"/>
      <c r="L208" s="28" t="n"/>
      <c r="M208" s="28" t="n"/>
      <c r="N208" s="28" t="n"/>
      <c r="O208" s="28" t="n"/>
      <c r="P208" s="28" t="n"/>
      <c r="Q208" s="28" t="n"/>
    </row>
    <row r="209">
      <c r="B209" s="68" t="n">
        <v>1</v>
      </c>
      <c r="C209" s="23" t="inlineStr">
        <is>
          <t>Und</t>
        </is>
      </c>
      <c r="D209" s="27" t="inlineStr">
        <is>
          <t>Granola salada</t>
        </is>
      </c>
      <c r="E209" s="26" t="n"/>
      <c r="F209" s="26" t="n"/>
      <c r="G209" s="26" t="n"/>
      <c r="H209" s="26" t="n"/>
      <c r="I209" s="67" t="n"/>
      <c r="J209" s="210" t="n"/>
      <c r="K209" s="28" t="n"/>
      <c r="L209" s="28" t="n"/>
      <c r="M209" s="28" t="n"/>
      <c r="N209" s="28" t="n"/>
      <c r="O209" s="28" t="n"/>
      <c r="P209" s="28" t="n"/>
      <c r="Q209" s="28" t="n"/>
    </row>
    <row r="210">
      <c r="B210" s="68" t="n">
        <v>1</v>
      </c>
      <c r="C210" s="23" t="inlineStr">
        <is>
          <t>Und</t>
        </is>
      </c>
      <c r="D210" s="25" t="inlineStr">
        <is>
          <t>Mix Conchas</t>
        </is>
      </c>
      <c r="E210" s="26" t="n"/>
      <c r="F210" s="26" t="n"/>
      <c r="G210" s="26" t="n"/>
      <c r="H210" s="26" t="n"/>
      <c r="I210" s="67" t="n"/>
      <c r="J210" s="210" t="n"/>
      <c r="K210" s="28" t="n"/>
      <c r="L210" s="28" t="n"/>
      <c r="M210" s="28" t="n"/>
      <c r="N210" s="28" t="n"/>
      <c r="O210" s="28" t="n"/>
      <c r="P210" s="28" t="n"/>
      <c r="Q210" s="28" t="n"/>
    </row>
    <row r="211">
      <c r="B211" s="68" t="n">
        <v>1</v>
      </c>
      <c r="C211" s="23" t="inlineStr">
        <is>
          <t>Kg</t>
        </is>
      </c>
      <c r="D211" s="25" t="inlineStr">
        <is>
          <t>Nutella</t>
        </is>
      </c>
      <c r="E211" s="26" t="n"/>
      <c r="F211" s="26" t="n"/>
      <c r="G211" s="26" t="n"/>
      <c r="H211" s="26" t="n"/>
      <c r="I211" s="67" t="n"/>
      <c r="J211" s="210" t="n"/>
      <c r="K211" s="28" t="n"/>
      <c r="L211" s="28" t="n"/>
      <c r="M211" s="28" t="n"/>
      <c r="N211" s="28" t="n"/>
      <c r="O211" s="28" t="n"/>
      <c r="P211" s="28" t="n"/>
      <c r="Q211" s="28" t="n"/>
    </row>
    <row r="212">
      <c r="B212" s="68" t="n">
        <v>1</v>
      </c>
      <c r="C212" s="23" t="inlineStr">
        <is>
          <t>Und</t>
        </is>
      </c>
      <c r="D212" s="25" t="inlineStr">
        <is>
          <t>Queso Mozzarella</t>
        </is>
      </c>
      <c r="E212" s="26" t="n"/>
      <c r="F212" s="26" t="n"/>
      <c r="G212" s="26" t="n"/>
      <c r="H212" s="26" t="n"/>
      <c r="I212" s="67" t="n"/>
      <c r="J212" s="210" t="n"/>
      <c r="K212" s="28" t="n"/>
      <c r="L212" s="28" t="n"/>
      <c r="M212" s="28" t="n"/>
      <c r="N212" s="28" t="n"/>
      <c r="O212" s="28" t="n"/>
      <c r="P212" s="28" t="n"/>
      <c r="Q212" s="28" t="n"/>
    </row>
    <row r="213">
      <c r="B213" s="68" t="n">
        <v>8</v>
      </c>
      <c r="C213" s="23" t="inlineStr">
        <is>
          <t>Porción</t>
        </is>
      </c>
      <c r="D213" s="70" t="inlineStr">
        <is>
          <t>Sorrentinos carne mechada</t>
        </is>
      </c>
      <c r="E213" s="26" t="n"/>
      <c r="F213" s="26" t="n"/>
      <c r="G213" s="26" t="n"/>
      <c r="H213" s="26" t="n"/>
      <c r="I213" s="67" t="n"/>
      <c r="J213" s="210" t="n"/>
      <c r="K213" s="4" t="n"/>
      <c r="L213" s="4" t="n"/>
      <c r="M213" s="4" t="n"/>
      <c r="N213" s="4" t="n"/>
      <c r="O213" s="4" t="n"/>
      <c r="P213" s="4" t="n"/>
      <c r="Q213" s="4" t="n"/>
    </row>
    <row r="214">
      <c r="B214" s="68" t="n">
        <v>7</v>
      </c>
      <c r="C214" s="23" t="inlineStr">
        <is>
          <t>Porción</t>
        </is>
      </c>
      <c r="D214" s="70" t="inlineStr">
        <is>
          <t>Sorrentinos pulpo y salmón</t>
        </is>
      </c>
      <c r="E214" s="26" t="n"/>
      <c r="F214" s="26" t="n"/>
      <c r="G214" s="26" t="n"/>
      <c r="H214" s="26" t="n"/>
      <c r="I214" s="67" t="n"/>
      <c r="J214" s="210" t="n"/>
      <c r="K214" s="4" t="n"/>
      <c r="L214" s="4" t="n"/>
      <c r="M214" s="4" t="n"/>
      <c r="N214" s="4" t="n"/>
      <c r="O214" s="4" t="n"/>
      <c r="P214" s="4" t="n"/>
      <c r="Q214" s="4" t="n"/>
    </row>
    <row r="215">
      <c r="B215" s="68" t="n">
        <v>8</v>
      </c>
      <c r="C215" s="23" t="inlineStr">
        <is>
          <t>Porción</t>
        </is>
      </c>
      <c r="D215" s="25" t="inlineStr">
        <is>
          <t>Sorrentinos zapallo</t>
        </is>
      </c>
      <c r="E215" s="26" t="n"/>
      <c r="F215" s="26" t="n"/>
      <c r="G215" s="26" t="n"/>
      <c r="H215" s="26" t="n"/>
      <c r="I215" s="67" t="n"/>
      <c r="J215" s="210" t="n"/>
      <c r="K215" s="4" t="n"/>
      <c r="L215" s="4" t="n"/>
      <c r="M215" s="4" t="n"/>
      <c r="N215" s="4" t="n"/>
      <c r="O215" s="4" t="n"/>
      <c r="P215" s="4" t="n"/>
      <c r="Q215" s="4" t="n"/>
    </row>
    <row r="216" ht="13.5" customHeight="1" s="95" thickBot="1">
      <c r="B216" s="71" t="n">
        <v>1</v>
      </c>
      <c r="C216" s="75" t="inlineStr">
        <is>
          <t>Und</t>
        </is>
      </c>
      <c r="D216" s="174" t="inlineStr">
        <is>
          <t>Volcán de chocolate</t>
        </is>
      </c>
      <c r="E216" s="72" t="n"/>
      <c r="F216" s="72" t="n"/>
      <c r="G216" s="72" t="n"/>
      <c r="H216" s="72" t="n"/>
      <c r="I216" s="73" t="n"/>
      <c r="J216" s="210" t="n"/>
      <c r="K216" s="4" t="n"/>
      <c r="L216" s="4" t="n"/>
      <c r="M216" s="4" t="n"/>
      <c r="N216" s="4" t="n"/>
      <c r="O216" s="4" t="n"/>
      <c r="P216" s="4" t="n"/>
      <c r="Q216" s="4" t="n"/>
    </row>
    <row r="217">
      <c r="B217" s="4" t="n"/>
      <c r="C217" s="4" t="n"/>
      <c r="D217" s="4" t="n"/>
      <c r="E217" s="4" t="n"/>
      <c r="F217" s="4" t="n"/>
      <c r="G217" s="4" t="n"/>
      <c r="H217" s="4" t="n"/>
      <c r="I217" s="4" t="n"/>
      <c r="J217" s="5" t="n"/>
      <c r="K217" s="4" t="n"/>
      <c r="L217" s="4" t="n"/>
      <c r="M217" s="4" t="n"/>
      <c r="N217" s="4" t="n"/>
      <c r="O217" s="4" t="n"/>
      <c r="P217" s="4" t="n"/>
      <c r="Q217" s="4" t="n"/>
    </row>
    <row r="218" ht="13.5" customHeight="1" s="95" thickBot="1"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</row>
    <row r="219" ht="13.5" customHeight="1" s="95" thickBot="1">
      <c r="B219" s="4" t="n"/>
      <c r="C219" s="4" t="n"/>
      <c r="D219" s="317" t="inlineStr">
        <is>
          <t>ENTREGAS A COCINA/SALIDA DE BODEGA</t>
        </is>
      </c>
      <c r="E219" s="318" t="n"/>
      <c r="F219" s="319" t="n"/>
      <c r="G219" s="209" t="n"/>
      <c r="H219" s="209" t="n"/>
      <c r="I219" s="209" t="n"/>
      <c r="J219" s="4" t="n"/>
      <c r="K219" s="4" t="n"/>
      <c r="L219" s="4" t="n"/>
      <c r="M219" s="4" t="n"/>
      <c r="N219" s="4" t="n"/>
      <c r="O219" s="4" t="n"/>
      <c r="P219" s="4" t="n"/>
      <c r="Q219" s="4" t="n"/>
    </row>
    <row r="220" ht="13.5" customHeight="1" s="95" thickTop="1">
      <c r="B220" s="4" t="n"/>
      <c r="C220" s="4" t="n"/>
      <c r="D220" s="57" t="inlineStr">
        <is>
          <t>Ítem</t>
        </is>
      </c>
      <c r="E220" s="29" t="inlineStr">
        <is>
          <t>Cant.</t>
        </is>
      </c>
      <c r="F220" s="58" t="inlineStr">
        <is>
          <t>Medida</t>
        </is>
      </c>
      <c r="G220" s="209" t="inlineStr">
        <is>
          <t> </t>
        </is>
      </c>
      <c r="I220" s="209" t="n"/>
      <c r="J220" s="4" t="n"/>
      <c r="K220" s="4" t="n"/>
      <c r="L220" s="4" t="n"/>
      <c r="M220" s="4" t="n"/>
      <c r="N220" s="4" t="n"/>
      <c r="O220" s="4" t="n"/>
      <c r="P220" s="4" t="n"/>
      <c r="Q220" s="4" t="n"/>
    </row>
    <row r="221">
      <c r="B221" s="4" t="n"/>
      <c r="C221" s="4" t="n"/>
      <c r="D221" s="35" t="inlineStr">
        <is>
          <t>Atún Steak</t>
        </is>
      </c>
      <c r="E221" s="320" t="n"/>
      <c r="F221" s="59" t="inlineStr">
        <is>
          <t>Kg</t>
        </is>
      </c>
      <c r="G221" s="209" t="n"/>
      <c r="H221" s="209" t="n"/>
      <c r="I221" s="209" t="n"/>
      <c r="J221" s="209" t="n"/>
      <c r="K221" s="4" t="n"/>
      <c r="L221" s="4" t="n"/>
      <c r="M221" s="4" t="n"/>
      <c r="N221" s="4" t="n"/>
      <c r="O221" s="4" t="n"/>
      <c r="P221" s="4" t="n"/>
      <c r="Q221" s="4" t="n"/>
    </row>
    <row r="222">
      <c r="B222" s="4" t="n"/>
      <c r="C222" s="4" t="n"/>
      <c r="D222" s="35" t="inlineStr">
        <is>
          <t>Atún trozos</t>
        </is>
      </c>
      <c r="E222" s="320" t="n"/>
      <c r="F222" s="59" t="inlineStr">
        <is>
          <t>Kg</t>
        </is>
      </c>
      <c r="G222" s="209" t="n"/>
      <c r="H222" s="209" t="n"/>
      <c r="I222" s="209" t="n"/>
      <c r="J222" s="4" t="n"/>
      <c r="K222" s="4" t="n"/>
      <c r="L222" s="4" t="n"/>
      <c r="M222" s="4" t="n"/>
      <c r="N222" s="4" t="n"/>
      <c r="O222" s="4" t="n"/>
      <c r="P222" s="4" t="n"/>
      <c r="Q222" s="4" t="n"/>
    </row>
    <row r="223">
      <c r="B223" s="4" t="n"/>
      <c r="C223" s="4" t="n"/>
      <c r="D223" s="35" t="inlineStr">
        <is>
          <t>Carpaccio de res</t>
        </is>
      </c>
      <c r="E223" s="320" t="n"/>
      <c r="F223" s="59" t="inlineStr">
        <is>
          <t>Kg</t>
        </is>
      </c>
      <c r="G223" s="209" t="n"/>
      <c r="H223" s="209" t="n"/>
      <c r="I223" s="209" t="n"/>
      <c r="J223" s="4" t="n"/>
      <c r="K223" s="4" t="n"/>
      <c r="L223" s="4" t="n"/>
      <c r="M223" s="4" t="n"/>
      <c r="N223" s="4" t="n"/>
      <c r="O223" s="4" t="n"/>
      <c r="P223" s="4" t="n"/>
      <c r="Q223" s="4" t="n"/>
    </row>
    <row r="224">
      <c r="B224" s="4" t="n"/>
      <c r="C224" s="4" t="n"/>
      <c r="D224" s="35" t="inlineStr">
        <is>
          <t>Ceviche de reineta</t>
        </is>
      </c>
      <c r="E224" s="320" t="n"/>
      <c r="F224" s="59" t="inlineStr">
        <is>
          <t>Kg</t>
        </is>
      </c>
      <c r="G224" s="209" t="n"/>
      <c r="H224" s="209" t="n"/>
      <c r="I224" s="209" t="n"/>
      <c r="J224" s="4" t="n"/>
      <c r="K224" s="4" t="n"/>
      <c r="L224" s="4" t="n"/>
      <c r="M224" s="4" t="n"/>
      <c r="N224" s="4" t="n"/>
      <c r="O224" s="4" t="n"/>
      <c r="P224" s="4" t="n"/>
      <c r="Q224" s="4" t="n"/>
    </row>
    <row r="225">
      <c r="B225" s="4" t="n"/>
      <c r="C225" s="4" t="n"/>
      <c r="D225" s="35" t="inlineStr">
        <is>
          <t>Empanada Mechada</t>
        </is>
      </c>
      <c r="E225" s="320" t="n"/>
      <c r="F225" s="59" t="inlineStr">
        <is>
          <t>Und</t>
        </is>
      </c>
      <c r="G225" s="209" t="n"/>
      <c r="H225" s="209" t="n"/>
      <c r="I225" s="209" t="n"/>
      <c r="J225" s="4" t="n"/>
      <c r="K225" s="4" t="n"/>
      <c r="L225" s="4" t="n"/>
      <c r="M225" s="4" t="n"/>
      <c r="N225" s="4" t="n"/>
      <c r="O225" s="4" t="n"/>
      <c r="P225" s="4" t="n"/>
      <c r="Q225" s="4" t="n"/>
    </row>
    <row r="226">
      <c r="B226" s="4" t="n"/>
      <c r="C226" s="4" t="n"/>
      <c r="D226" s="151" t="inlineStr">
        <is>
          <t>Filete para churrasco</t>
        </is>
      </c>
      <c r="E226" s="320" t="n"/>
      <c r="F226" s="59" t="inlineStr">
        <is>
          <t>Kg</t>
        </is>
      </c>
      <c r="G226" s="209" t="n"/>
      <c r="H226" s="209" t="n"/>
      <c r="I226" s="209" t="n"/>
      <c r="J226" s="4" t="n"/>
      <c r="K226" s="4" t="n"/>
      <c r="L226" s="4" t="n"/>
      <c r="M226" s="4" t="n"/>
      <c r="N226" s="4" t="n"/>
      <c r="O226" s="4" t="n"/>
      <c r="P226" s="4" t="n"/>
      <c r="Q226" s="4" t="n"/>
    </row>
    <row r="227">
      <c r="B227" s="4" t="n"/>
      <c r="C227" s="4" t="n"/>
      <c r="D227" s="151" t="inlineStr">
        <is>
          <t>Filete para crudo</t>
        </is>
      </c>
      <c r="E227" s="320" t="n"/>
      <c r="F227" s="59" t="inlineStr">
        <is>
          <t>Kg</t>
        </is>
      </c>
      <c r="G227" s="209" t="n"/>
      <c r="H227" s="209" t="n"/>
      <c r="I227" s="209" t="n"/>
      <c r="J227" s="4" t="n"/>
      <c r="K227" s="4" t="n"/>
      <c r="L227" s="4" t="n"/>
      <c r="M227" s="4" t="n"/>
      <c r="N227" s="4" t="n"/>
      <c r="O227" s="4" t="n"/>
      <c r="P227" s="4" t="n"/>
      <c r="Q227" s="4" t="n"/>
    </row>
    <row r="228">
      <c r="B228" s="4" t="n"/>
      <c r="C228" s="4" t="n"/>
      <c r="D228" s="35" t="inlineStr">
        <is>
          <t>Filete salteado</t>
        </is>
      </c>
      <c r="E228" s="320" t="n"/>
      <c r="F228" s="59" t="inlineStr">
        <is>
          <t>Kg</t>
        </is>
      </c>
      <c r="G228" s="209" t="n"/>
      <c r="H228" s="209" t="n"/>
      <c r="I228" s="209" t="n"/>
      <c r="J228" s="4" t="n"/>
      <c r="K228" s="4" t="n"/>
      <c r="L228" s="4" t="n"/>
      <c r="M228" s="4" t="n"/>
      <c r="N228" s="4" t="n"/>
      <c r="O228" s="4" t="n"/>
      <c r="P228" s="4" t="n"/>
      <c r="Q228" s="4" t="n"/>
    </row>
    <row r="229">
      <c r="B229" s="4" t="n"/>
      <c r="C229" s="4" t="n"/>
      <c r="D229" s="97" t="inlineStr">
        <is>
          <t>Ganso</t>
        </is>
      </c>
      <c r="E229" s="320" t="n"/>
      <c r="F229" s="59" t="inlineStr">
        <is>
          <t>Kg</t>
        </is>
      </c>
      <c r="G229" s="209" t="n"/>
      <c r="H229" s="209" t="n"/>
      <c r="I229" s="209" t="n"/>
      <c r="J229" s="4" t="n"/>
      <c r="K229" s="4" t="n"/>
      <c r="L229" s="4" t="n"/>
      <c r="M229" s="4" t="n"/>
      <c r="N229" s="4" t="n"/>
      <c r="O229" s="4" t="n"/>
      <c r="P229" s="4" t="n"/>
      <c r="Q229" s="4" t="n"/>
    </row>
    <row r="230">
      <c r="B230" s="4" t="n"/>
      <c r="C230" s="4" t="n"/>
      <c r="D230" s="35" t="inlineStr">
        <is>
          <t>Granola Salada</t>
        </is>
      </c>
      <c r="E230" s="320" t="n"/>
      <c r="F230" s="59" t="inlineStr">
        <is>
          <t>Und</t>
        </is>
      </c>
      <c r="G230" s="209" t="n"/>
      <c r="H230" s="209" t="n"/>
      <c r="I230" s="209" t="n"/>
      <c r="J230" s="4" t="n"/>
      <c r="K230" s="4" t="n"/>
      <c r="L230" s="4" t="n"/>
      <c r="M230" s="4" t="n"/>
      <c r="N230" s="4" t="n"/>
      <c r="O230" s="4" t="n"/>
      <c r="P230" s="4" t="n"/>
      <c r="Q230" s="4" t="n"/>
    </row>
    <row r="231">
      <c r="B231" s="4" t="n"/>
      <c r="C231" s="4" t="n"/>
      <c r="D231" s="35" t="inlineStr">
        <is>
          <t>Hamburguesas</t>
        </is>
      </c>
      <c r="E231" s="320" t="n"/>
      <c r="F231" s="59" t="inlineStr">
        <is>
          <t>Kg</t>
        </is>
      </c>
      <c r="G231" s="209" t="n"/>
      <c r="H231" s="209" t="n"/>
      <c r="I231" s="209" t="n"/>
      <c r="J231" s="4" t="n"/>
      <c r="K231" s="4" t="n"/>
      <c r="L231" s="4" t="n"/>
      <c r="M231" s="4" t="n"/>
      <c r="N231" s="4" t="n"/>
      <c r="O231" s="4" t="n"/>
      <c r="P231" s="4" t="n"/>
      <c r="Q231" s="4" t="n"/>
    </row>
    <row r="232">
      <c r="B232" s="4" t="n"/>
      <c r="C232" s="4" t="n"/>
      <c r="D232" s="35" t="inlineStr">
        <is>
          <t>Jamón Serrano</t>
        </is>
      </c>
      <c r="E232" s="320" t="n"/>
      <c r="F232" s="59" t="inlineStr">
        <is>
          <t>Kg</t>
        </is>
      </c>
      <c r="G232" s="209" t="n"/>
      <c r="H232" s="209" t="n"/>
      <c r="I232" s="209" t="n"/>
      <c r="J232" s="4" t="n"/>
      <c r="K232" s="4" t="n"/>
      <c r="L232" s="4" t="n"/>
      <c r="M232" s="4" t="n"/>
      <c r="N232" s="4" t="n"/>
      <c r="O232" s="4" t="n"/>
      <c r="P232" s="4" t="n"/>
      <c r="Q232" s="4" t="n"/>
    </row>
    <row r="233">
      <c r="B233" s="4" t="n"/>
      <c r="C233" s="4" t="n"/>
      <c r="D233" s="35" t="inlineStr">
        <is>
          <t>Lomo liso</t>
        </is>
      </c>
      <c r="E233" s="320" t="n"/>
      <c r="F233" s="59" t="inlineStr">
        <is>
          <t>Kg</t>
        </is>
      </c>
      <c r="G233" s="209" t="n"/>
      <c r="H233" s="209" t="n"/>
      <c r="I233" s="209" t="n"/>
      <c r="J233" s="4" t="n"/>
      <c r="K233" s="4" t="n"/>
      <c r="L233" s="4" t="n"/>
      <c r="M233" s="4" t="n"/>
      <c r="N233" s="4" t="n"/>
      <c r="O233" s="4" t="n"/>
      <c r="P233" s="4" t="n"/>
      <c r="Q233" s="4" t="n"/>
    </row>
    <row r="234">
      <c r="B234" s="4" t="n"/>
      <c r="C234" s="4" t="n"/>
      <c r="D234" s="35" t="inlineStr">
        <is>
          <t>Plateada</t>
        </is>
      </c>
      <c r="E234" s="320" t="n"/>
      <c r="F234" s="59" t="inlineStr">
        <is>
          <t>Kg</t>
        </is>
      </c>
      <c r="G234" s="209" t="n"/>
      <c r="H234" s="209" t="n"/>
      <c r="I234" s="209" t="n"/>
      <c r="J234" s="4" t="n"/>
      <c r="K234" s="4" t="n"/>
      <c r="L234" s="4" t="n"/>
      <c r="M234" s="4" t="n"/>
      <c r="N234" s="4" t="n"/>
      <c r="O234" s="4" t="n"/>
      <c r="P234" s="4" t="n"/>
      <c r="Q234" s="4" t="n"/>
    </row>
    <row r="235">
      <c r="B235" s="4" t="n"/>
      <c r="C235" s="4" t="n"/>
      <c r="D235" s="35" t="inlineStr">
        <is>
          <t>Pulpo</t>
        </is>
      </c>
      <c r="E235" s="320" t="n"/>
      <c r="F235" s="59" t="inlineStr">
        <is>
          <t>Kg</t>
        </is>
      </c>
      <c r="G235" s="209" t="n"/>
      <c r="H235" s="209" t="n"/>
      <c r="I235" s="209" t="n"/>
      <c r="J235" s="4" t="n"/>
      <c r="K235" s="4" t="n"/>
      <c r="L235" s="4" t="n"/>
      <c r="M235" s="4" t="n"/>
      <c r="N235" s="4" t="n"/>
      <c r="O235" s="4" t="n"/>
      <c r="P235" s="4" t="n"/>
      <c r="Q235" s="4" t="n"/>
    </row>
    <row r="236">
      <c r="B236" s="4" t="n"/>
      <c r="C236" s="4" t="n"/>
      <c r="D236" s="35" t="inlineStr">
        <is>
          <t>Queso Mozzarella</t>
        </is>
      </c>
      <c r="E236" s="320" t="n"/>
      <c r="F236" s="59" t="inlineStr">
        <is>
          <t>Und</t>
        </is>
      </c>
      <c r="G236" s="209" t="n"/>
      <c r="H236" s="209" t="n"/>
      <c r="I236" s="209" t="n"/>
      <c r="J236" s="4" t="n"/>
      <c r="K236" s="4" t="n"/>
      <c r="L236" s="4" t="n"/>
      <c r="M236" s="4" t="n"/>
      <c r="N236" s="4" t="n"/>
      <c r="O236" s="4" t="n"/>
      <c r="P236" s="4" t="n"/>
      <c r="Q236" s="4" t="n"/>
    </row>
    <row r="237">
      <c r="B237" s="4" t="n"/>
      <c r="C237" s="4" t="n"/>
      <c r="D237" s="35" t="inlineStr">
        <is>
          <t>Salmón Ahumado en Caliente</t>
        </is>
      </c>
      <c r="E237" s="320" t="n"/>
      <c r="F237" s="59" t="inlineStr">
        <is>
          <t>Kg</t>
        </is>
      </c>
      <c r="G237" s="209" t="n"/>
      <c r="H237" s="209" t="n"/>
      <c r="I237" s="209" t="n"/>
      <c r="J237" s="4" t="n"/>
      <c r="K237" s="4" t="n"/>
      <c r="L237" s="4" t="n"/>
      <c r="M237" s="4" t="n"/>
      <c r="N237" s="4" t="n"/>
      <c r="O237" s="4" t="n"/>
      <c r="P237" s="4" t="n"/>
      <c r="Q237" s="4" t="n"/>
    </row>
    <row r="238">
      <c r="B238" s="4" t="n"/>
      <c r="C238" s="4" t="n"/>
      <c r="D238" s="60" t="inlineStr">
        <is>
          <t>Salmón cancato</t>
        </is>
      </c>
      <c r="E238" s="321" t="n"/>
      <c r="F238" s="61" t="inlineStr">
        <is>
          <t>Kg</t>
        </is>
      </c>
      <c r="G238" s="209" t="n"/>
      <c r="H238" s="209" t="n"/>
      <c r="I238" s="209" t="n"/>
      <c r="J238" s="4" t="n"/>
      <c r="K238" s="4" t="n"/>
      <c r="L238" s="4" t="n"/>
      <c r="M238" s="4" t="n"/>
      <c r="N238" s="4" t="n"/>
      <c r="O238" s="4" t="n"/>
      <c r="P238" s="4" t="n"/>
      <c r="Q238" s="4" t="n"/>
    </row>
    <row r="239">
      <c r="B239" s="4" t="n"/>
      <c r="C239" s="4" t="n"/>
      <c r="D239" s="60" t="inlineStr">
        <is>
          <t>Salmón fresco premium</t>
        </is>
      </c>
      <c r="E239" s="321" t="n"/>
      <c r="F239" s="61" t="inlineStr">
        <is>
          <t>Kg</t>
        </is>
      </c>
      <c r="G239" s="209" t="n"/>
      <c r="H239" s="209" t="n"/>
      <c r="I239" s="209" t="n"/>
      <c r="J239" s="4" t="n"/>
      <c r="K239" s="4" t="n"/>
      <c r="L239" s="4" t="n"/>
      <c r="M239" s="4" t="n"/>
      <c r="N239" s="4" t="n"/>
      <c r="O239" s="4" t="n"/>
      <c r="P239" s="4" t="n"/>
      <c r="Q239" s="4" t="n"/>
    </row>
    <row r="240">
      <c r="B240" s="4" t="n"/>
      <c r="C240" s="4" t="n"/>
      <c r="D240" s="35" t="inlineStr">
        <is>
          <t>Sorrentinos carne mechada</t>
        </is>
      </c>
      <c r="E240" s="321" t="n"/>
      <c r="F240" s="61" t="inlineStr">
        <is>
          <t>Porción</t>
        </is>
      </c>
      <c r="G240" s="209" t="n"/>
      <c r="H240" s="209" t="n"/>
      <c r="I240" s="209" t="n"/>
      <c r="J240" s="4" t="n"/>
      <c r="K240" s="4" t="n"/>
      <c r="L240" s="4" t="n"/>
      <c r="M240" s="4" t="n"/>
      <c r="N240" s="4" t="n"/>
      <c r="O240" s="4" t="n"/>
      <c r="P240" s="4" t="n"/>
      <c r="Q240" s="4" t="n"/>
    </row>
    <row r="241">
      <c r="B241" s="4" t="n"/>
      <c r="C241" s="4" t="n"/>
      <c r="D241" s="35" t="inlineStr">
        <is>
          <t>Sorrentinos pulpo y salmón</t>
        </is>
      </c>
      <c r="E241" s="321" t="n"/>
      <c r="F241" s="61" t="inlineStr">
        <is>
          <t>Porción</t>
        </is>
      </c>
      <c r="G241" s="209" t="n"/>
      <c r="H241" s="209" t="n"/>
      <c r="I241" s="209" t="n"/>
      <c r="J241" s="4" t="n"/>
      <c r="K241" s="4" t="n"/>
      <c r="L241" s="4" t="n"/>
      <c r="M241" s="4" t="n"/>
      <c r="N241" s="4" t="n"/>
      <c r="O241" s="4" t="n"/>
      <c r="P241" s="4" t="n"/>
      <c r="Q241" s="4" t="n"/>
    </row>
    <row r="242" ht="13.5" customHeight="1" s="95" thickBot="1">
      <c r="B242" s="4" t="n"/>
      <c r="C242" s="4" t="n"/>
      <c r="D242" s="62" t="inlineStr">
        <is>
          <t>Sorrentinos zapallo</t>
        </is>
      </c>
      <c r="E242" s="322" t="n"/>
      <c r="F242" s="64" t="inlineStr">
        <is>
          <t>Porción</t>
        </is>
      </c>
      <c r="G242" s="209" t="n"/>
      <c r="H242" s="209" t="n"/>
      <c r="I242" s="209" t="n"/>
      <c r="J242" s="4" t="n"/>
      <c r="K242" s="4" t="n"/>
      <c r="L242" s="4" t="n"/>
      <c r="M242" s="4" t="n"/>
      <c r="N242" s="4" t="n"/>
      <c r="O242" s="4" t="n"/>
      <c r="P242" s="4" t="n"/>
      <c r="Q242" s="4" t="n"/>
    </row>
    <row r="243">
      <c r="G243" s="209" t="n"/>
      <c r="H243" s="209" t="n"/>
      <c r="I243" s="209" t="n"/>
    </row>
    <row r="244" ht="13.5" customHeight="1" s="95" thickBot="1"/>
    <row r="245" ht="14.25" customHeight="1" s="95" thickBot="1" thickTop="1">
      <c r="D245" s="323" t="inlineStr">
        <is>
          <t xml:space="preserve">ENTREGAS DE PROTEINAS PARA PRODUCCIONES DE COCINA </t>
        </is>
      </c>
      <c r="E245" s="324" t="n"/>
      <c r="F245" s="324" t="n"/>
      <c r="G245" s="325" t="n"/>
    </row>
    <row r="246" ht="13.5" customHeight="1" s="95" thickBot="1">
      <c r="B246" s="211" t="n"/>
      <c r="C246" s="212" t="inlineStr">
        <is>
          <t>Medida</t>
        </is>
      </c>
      <c r="D246" s="101" t="inlineStr">
        <is>
          <t>Producto</t>
        </is>
      </c>
      <c r="E246" s="101" t="inlineStr">
        <is>
          <t>Cantidad</t>
        </is>
      </c>
      <c r="F246" s="101" t="inlineStr">
        <is>
          <t>Producto Final</t>
        </is>
      </c>
      <c r="G246" s="101" t="inlineStr">
        <is>
          <t>Medida</t>
        </is>
      </c>
      <c r="H246" s="142" t="inlineStr">
        <is>
          <t>Cantidad Producida</t>
        </is>
      </c>
      <c r="I246" s="326" t="n"/>
      <c r="J246" s="101" t="inlineStr">
        <is>
          <t>Mermas (Kg)</t>
        </is>
      </c>
      <c r="K246" s="102" t="inlineStr">
        <is>
          <t>Cant. Utilizada</t>
        </is>
      </c>
      <c r="L246" s="56" t="n"/>
    </row>
    <row r="247">
      <c r="B247" s="213" t="n"/>
      <c r="C247" s="214" t="inlineStr">
        <is>
          <t>Kg</t>
        </is>
      </c>
      <c r="D247" s="100" t="inlineStr">
        <is>
          <t>Despunte de pulpo</t>
        </is>
      </c>
      <c r="E247" s="99" t="n"/>
      <c r="F247" s="215" t="inlineStr">
        <is>
          <t>Empanadas de pulpo</t>
        </is>
      </c>
      <c r="G247" s="100" t="inlineStr">
        <is>
          <t>Pax</t>
        </is>
      </c>
      <c r="H247" s="327" t="n"/>
      <c r="I247" s="328" t="n"/>
      <c r="J247" s="263" t="n"/>
      <c r="K247" s="264" t="n"/>
      <c r="L247" s="213" t="n"/>
    </row>
    <row r="248">
      <c r="B248" s="213" t="n"/>
      <c r="C248" s="216" t="inlineStr">
        <is>
          <t>Kg</t>
        </is>
      </c>
      <c r="D248" s="220" t="inlineStr">
        <is>
          <t>Langostinos</t>
        </is>
      </c>
      <c r="E248" s="255" t="n"/>
      <c r="F248" s="218" t="inlineStr">
        <is>
          <t>Brocheta de Langostinos</t>
        </is>
      </c>
      <c r="G248" s="122" t="inlineStr">
        <is>
          <t>Pax</t>
        </is>
      </c>
      <c r="H248" s="255" t="n"/>
      <c r="I248" s="329" t="n"/>
      <c r="J248" s="265" t="n"/>
      <c r="K248" s="266" t="n"/>
      <c r="L248" s="209" t="n"/>
    </row>
    <row r="249">
      <c r="B249" s="213" t="n"/>
      <c r="C249" s="238" t="inlineStr">
        <is>
          <t>Und</t>
        </is>
      </c>
      <c r="D249" s="1" t="inlineStr">
        <is>
          <t>Locos</t>
        </is>
      </c>
      <c r="E249" s="330" t="n"/>
      <c r="F249" s="218" t="inlineStr">
        <is>
          <t>Loco tiradito</t>
        </is>
      </c>
      <c r="G249" s="220" t="inlineStr">
        <is>
          <t>Kg</t>
        </is>
      </c>
      <c r="H249" s="331" t="n"/>
      <c r="I249" s="329" t="n"/>
      <c r="J249" s="265" t="n"/>
      <c r="K249" s="266" t="n"/>
      <c r="L249" s="209" t="n"/>
    </row>
    <row r="250">
      <c r="B250" s="213" t="n"/>
      <c r="C250" s="216" t="inlineStr">
        <is>
          <t>Kg</t>
        </is>
      </c>
      <c r="D250" s="54" t="inlineStr">
        <is>
          <t>Merluza</t>
        </is>
      </c>
      <c r="E250" s="255" t="n"/>
      <c r="F250" s="122" t="inlineStr">
        <is>
          <t>Merluza Porcionada</t>
        </is>
      </c>
      <c r="G250" s="220" t="inlineStr">
        <is>
          <t>Kg</t>
        </is>
      </c>
      <c r="H250" s="332" t="n"/>
      <c r="I250" s="333" t="n"/>
      <c r="J250" s="265" t="n"/>
      <c r="K250" s="266" t="n"/>
      <c r="L250" s="209" t="n"/>
    </row>
    <row r="251">
      <c r="B251" s="213" t="n"/>
      <c r="C251" s="216" t="inlineStr">
        <is>
          <t>Kg</t>
        </is>
      </c>
      <c r="D251" s="1" t="inlineStr">
        <is>
          <t>Reineta</t>
        </is>
      </c>
      <c r="E251" s="255" t="n"/>
      <c r="F251" s="218" t="inlineStr">
        <is>
          <t>Ceviche de Reineta</t>
        </is>
      </c>
      <c r="G251" s="122" t="inlineStr">
        <is>
          <t>Kg</t>
        </is>
      </c>
      <c r="H251" s="255" t="n"/>
      <c r="I251" s="329" t="n"/>
      <c r="J251" s="265" t="n"/>
      <c r="K251" s="266" t="n"/>
      <c r="L251" s="209" t="n"/>
    </row>
    <row r="252">
      <c r="B252" s="213" t="n"/>
      <c r="C252" s="216" t="inlineStr">
        <is>
          <t>Kg</t>
        </is>
      </c>
      <c r="D252" s="1" t="inlineStr">
        <is>
          <t>Congrio</t>
        </is>
      </c>
      <c r="E252" s="255" t="n"/>
      <c r="F252" s="218" t="inlineStr">
        <is>
          <t>Congrio Porcionado</t>
        </is>
      </c>
      <c r="G252" s="122" t="inlineStr">
        <is>
          <t>Kg</t>
        </is>
      </c>
      <c r="H252" s="255" t="n"/>
      <c r="I252" s="329" t="n"/>
      <c r="J252" s="265" t="n"/>
      <c r="K252" s="266" t="n"/>
      <c r="L252" s="209" t="n"/>
    </row>
    <row r="253">
      <c r="B253" s="213" t="n"/>
      <c r="C253" s="216" t="inlineStr">
        <is>
          <t>Kg</t>
        </is>
      </c>
      <c r="D253" s="1" t="inlineStr">
        <is>
          <t>Mejillones</t>
        </is>
      </c>
      <c r="E253" s="255" t="n"/>
      <c r="F253" s="220" t="inlineStr">
        <is>
          <t>Mix Conchas</t>
        </is>
      </c>
      <c r="G253" s="122" t="inlineStr">
        <is>
          <t>Pax</t>
        </is>
      </c>
      <c r="H253" s="255" t="n"/>
      <c r="I253" s="334" t="n"/>
      <c r="J253" s="267" t="n"/>
      <c r="K253" s="268" t="n"/>
      <c r="L253" s="209" t="n"/>
    </row>
    <row r="254">
      <c r="B254" s="213" t="n"/>
      <c r="C254" s="216" t="inlineStr">
        <is>
          <t>Kg</t>
        </is>
      </c>
      <c r="D254" s="1" t="inlineStr">
        <is>
          <t>Almejas Julianas</t>
        </is>
      </c>
      <c r="E254" s="255" t="n"/>
      <c r="F254" s="316" t="n"/>
      <c r="G254" s="316" t="n"/>
      <c r="H254" s="335" t="n"/>
      <c r="I254" s="336" t="n"/>
      <c r="J254" s="267" t="n"/>
      <c r="K254" s="268" t="n"/>
      <c r="L254" s="209" t="n"/>
    </row>
    <row r="255">
      <c r="B255" s="213" t="n"/>
      <c r="C255" s="337" t="inlineStr">
        <is>
          <t>Kg</t>
        </is>
      </c>
      <c r="D255" s="338" t="inlineStr">
        <is>
          <t>Filete Despunte</t>
        </is>
      </c>
      <c r="E255" s="255" t="n"/>
      <c r="F255" s="222" t="inlineStr">
        <is>
          <t>Ragout Lasagna</t>
        </is>
      </c>
      <c r="G255" s="112" t="inlineStr">
        <is>
          <t>Kg</t>
        </is>
      </c>
      <c r="H255" s="255" t="n"/>
      <c r="I255" s="329" t="n"/>
      <c r="J255" s="269" t="n"/>
      <c r="K255" s="270" t="n"/>
      <c r="L255" s="209" t="n"/>
    </row>
    <row r="256">
      <c r="B256" s="213" t="n"/>
      <c r="C256" s="315" t="n"/>
      <c r="D256" s="316" t="n"/>
      <c r="E256" s="339" t="n"/>
      <c r="F256" s="222" t="inlineStr">
        <is>
          <t>Ragout Rigatoni</t>
        </is>
      </c>
      <c r="G256" s="112" t="inlineStr">
        <is>
          <t>Kg</t>
        </is>
      </c>
      <c r="H256" s="255" t="n"/>
      <c r="I256" s="329" t="n"/>
      <c r="J256" s="269" t="n"/>
      <c r="K256" s="270" t="n"/>
      <c r="L256" s="209" t="n"/>
    </row>
    <row r="257">
      <c r="B257" s="213" t="n"/>
      <c r="C257" s="224" t="inlineStr">
        <is>
          <t>Kg</t>
        </is>
      </c>
      <c r="D257" s="120" t="inlineStr">
        <is>
          <t>Ragout Lasagna</t>
        </is>
      </c>
      <c r="E257" s="251" t="n"/>
      <c r="F257" s="222" t="inlineStr">
        <is>
          <t>Lasagna Berenjenas</t>
        </is>
      </c>
      <c r="G257" s="112" t="inlineStr">
        <is>
          <t>Porcion</t>
        </is>
      </c>
      <c r="H257" s="255" t="n"/>
      <c r="I257" s="329" t="n"/>
      <c r="J257" s="269" t="n"/>
      <c r="K257" s="270" t="n"/>
      <c r="L257" s="209" t="n"/>
    </row>
    <row r="258" ht="13.5" customHeight="1" s="95" thickBot="1">
      <c r="B258" s="213" t="n"/>
      <c r="C258" s="225" t="inlineStr">
        <is>
          <t>Kg</t>
        </is>
      </c>
      <c r="D258" s="31" t="inlineStr">
        <is>
          <t>Salmón Ahumado en frío</t>
        </is>
      </c>
      <c r="E258" s="252" t="n"/>
      <c r="F258" s="226" t="inlineStr">
        <is>
          <t>Chupe</t>
        </is>
      </c>
      <c r="G258" s="32" t="inlineStr">
        <is>
          <t>Porcion</t>
        </is>
      </c>
      <c r="H258" s="261" t="n"/>
      <c r="I258" s="340" t="n"/>
      <c r="J258" s="271" t="n"/>
      <c r="K258" s="272" t="n"/>
      <c r="L258" s="209" t="n"/>
    </row>
    <row r="259" ht="13.5" customHeight="1" s="95" thickBot="1">
      <c r="C259" s="228" t="n"/>
    </row>
    <row r="260" ht="13.5" customHeight="1" s="95" thickBot="1">
      <c r="C260" s="228" t="n"/>
      <c r="D260" s="341" t="inlineStr">
        <is>
          <t>REGISTRO PRODUCCIONES PASTELERIA</t>
        </is>
      </c>
      <c r="E260" s="342" t="n"/>
      <c r="F260" s="48" t="n"/>
      <c r="H260" s="343" t="inlineStr">
        <is>
          <t>REGISTRO DE CHOCOLATES</t>
        </is>
      </c>
      <c r="I260" s="318" t="n"/>
      <c r="J260" s="318" t="n"/>
      <c r="K260" s="319" t="n"/>
    </row>
    <row r="261">
      <c r="B261" s="232" t="n"/>
      <c r="C261" s="233" t="inlineStr">
        <is>
          <t>Medida</t>
        </is>
      </c>
      <c r="D261" s="195" t="inlineStr">
        <is>
          <t>Producto</t>
        </is>
      </c>
      <c r="E261" s="234" t="inlineStr">
        <is>
          <t>Cantidad</t>
        </is>
      </c>
      <c r="F261" s="235" t="n"/>
      <c r="G261" s="233" t="inlineStr">
        <is>
          <t>Producto</t>
        </is>
      </c>
      <c r="H261" s="237" t="inlineStr">
        <is>
          <t>Cantidad Entregada</t>
        </is>
      </c>
      <c r="I261" s="300" t="n"/>
      <c r="J261" s="237" t="inlineStr">
        <is>
          <t>Cant. Utilizada</t>
        </is>
      </c>
      <c r="K261" s="234" t="inlineStr">
        <is>
          <t>Medida</t>
        </is>
      </c>
    </row>
    <row r="262">
      <c r="B262" s="235" t="n"/>
      <c r="C262" s="238" t="inlineStr">
        <is>
          <t>Und</t>
        </is>
      </c>
      <c r="D262" s="1" t="inlineStr">
        <is>
          <t>Cheesecake de Berries</t>
        </is>
      </c>
      <c r="E262" s="277" t="n"/>
      <c r="F262" s="235" t="n"/>
      <c r="G262" s="238" t="inlineStr">
        <is>
          <t>Choc. Blanco</t>
        </is>
      </c>
      <c r="H262" s="273" t="n"/>
      <c r="I262" s="329" t="n"/>
      <c r="J262" s="274" t="n"/>
      <c r="K262" s="239" t="n"/>
    </row>
    <row r="263">
      <c r="B263" s="235" t="n"/>
      <c r="C263" s="238" t="inlineStr">
        <is>
          <t>Und</t>
        </is>
      </c>
      <c r="D263" s="1" t="inlineStr">
        <is>
          <t>Cheesecake de Limón</t>
        </is>
      </c>
      <c r="E263" s="277" t="n"/>
      <c r="F263" s="235" t="n"/>
      <c r="G263" s="238" t="inlineStr">
        <is>
          <t>Choc. Leche</t>
        </is>
      </c>
      <c r="H263" s="273" t="n"/>
      <c r="I263" s="329" t="n"/>
      <c r="J263" s="274" t="n"/>
      <c r="K263" s="239" t="n"/>
    </row>
    <row r="264">
      <c r="B264" s="235" t="n"/>
      <c r="C264" s="238" t="inlineStr">
        <is>
          <t>Und</t>
        </is>
      </c>
      <c r="D264" s="18" t="inlineStr">
        <is>
          <t>Brownie Nutella</t>
        </is>
      </c>
      <c r="E264" s="277" t="n"/>
      <c r="F264" s="235" t="n"/>
      <c r="G264" s="238" t="inlineStr">
        <is>
          <t>Choc. Negro</t>
        </is>
      </c>
      <c r="H264" s="273" t="n"/>
      <c r="I264" s="329" t="n"/>
      <c r="J264" s="274" t="n"/>
      <c r="K264" s="239" t="n"/>
    </row>
    <row r="265">
      <c r="B265" s="235" t="n"/>
      <c r="C265" s="238" t="inlineStr">
        <is>
          <t>Und</t>
        </is>
      </c>
      <c r="D265" s="18" t="inlineStr">
        <is>
          <t>Brownie Vegano</t>
        </is>
      </c>
      <c r="E265" s="277" t="n"/>
      <c r="F265" s="235" t="n"/>
      <c r="G265" s="238" t="inlineStr">
        <is>
          <t>Neucober Cob.</t>
        </is>
      </c>
      <c r="H265" s="273" t="n"/>
      <c r="I265" s="329" t="n"/>
      <c r="J265" s="274" t="n"/>
      <c r="K265" s="239" t="n"/>
    </row>
    <row r="266">
      <c r="B266" s="235" t="n"/>
      <c r="C266" s="238" t="inlineStr">
        <is>
          <t>Und</t>
        </is>
      </c>
      <c r="D266" s="1" t="inlineStr">
        <is>
          <t>Flan de Caluga</t>
        </is>
      </c>
      <c r="E266" s="277" t="n"/>
      <c r="F266" s="235" t="n"/>
      <c r="G266" s="238" t="inlineStr">
        <is>
          <t>Sicao Cob.</t>
        </is>
      </c>
      <c r="H266" s="273" t="n"/>
      <c r="I266" s="329" t="n"/>
      <c r="J266" s="274" t="n"/>
      <c r="K266" s="239" t="n"/>
    </row>
    <row r="267" ht="13.5" customHeight="1" s="95" thickBot="1">
      <c r="B267" s="235" t="n"/>
      <c r="C267" s="238" t="inlineStr">
        <is>
          <t>Und</t>
        </is>
      </c>
      <c r="D267" s="1" t="inlineStr">
        <is>
          <t>Volcán de Chocolate</t>
        </is>
      </c>
      <c r="E267" s="277" t="n"/>
      <c r="F267" s="235" t="n"/>
      <c r="G267" s="242" t="inlineStr">
        <is>
          <t>Nutella</t>
        </is>
      </c>
      <c r="H267" s="275" t="n"/>
      <c r="I267" s="344" t="n"/>
      <c r="J267" s="276" t="n"/>
      <c r="K267" s="241" t="n"/>
    </row>
    <row r="268" ht="13.5" customHeight="1" s="95" thickBot="1">
      <c r="B268" s="235" t="n"/>
      <c r="C268" s="242" t="inlineStr">
        <is>
          <t>Und</t>
        </is>
      </c>
      <c r="D268" s="31" t="inlineStr">
        <is>
          <t>Discos de Chocolate</t>
        </is>
      </c>
      <c r="E268" s="278" t="n"/>
      <c r="F268" s="235" t="n"/>
    </row>
    <row r="271" ht="15" customHeight="1" s="95">
      <c r="B271" s="232" t="inlineStr">
        <is>
          <t>Código</t>
        </is>
      </c>
      <c r="C271" s="232" t="inlineStr">
        <is>
          <t>Descripción</t>
        </is>
      </c>
      <c r="I271" s="232" t="inlineStr">
        <is>
          <t>Imp. Bruto</t>
        </is>
      </c>
      <c r="J271" s="232" t="inlineStr">
        <is>
          <t>Imp. Neto</t>
        </is>
      </c>
      <c r="L271" s="232" t="inlineStr">
        <is>
          <t>Cantidad Vendida</t>
        </is>
      </c>
      <c r="Q271" s="232" t="inlineStr">
        <is>
          <t>Precio Medio</t>
        </is>
      </c>
      <c r="T271" s="232" t="inlineStr">
        <is>
          <t>Imp. Descontado</t>
        </is>
      </c>
      <c r="V271" s="232" t="inlineStr">
        <is>
          <t>Descuento Medio</t>
        </is>
      </c>
      <c r="AA271" s="232" t="inlineStr">
        <is>
          <t>Importe de Referencia</t>
        </is>
      </c>
      <c r="AD271" s="232" t="inlineStr">
        <is>
          <t>Ref %</t>
        </is>
      </c>
      <c r="AE271" s="232" t="inlineStr">
        <is>
          <t>Tot%</t>
        </is>
      </c>
    </row>
    <row r="272">
      <c r="B272" s="279" t="n"/>
      <c r="C272" s="280" t="n"/>
      <c r="D272" s="295" t="n"/>
      <c r="E272" s="295" t="n"/>
      <c r="F272" s="295" t="n"/>
      <c r="G272" s="282" t="n"/>
      <c r="H272" s="295" t="n"/>
      <c r="I272" s="295" t="n"/>
      <c r="J272" s="282" t="n"/>
      <c r="K272" s="345" t="n"/>
      <c r="L272" s="295" t="n"/>
      <c r="M272" s="346" t="n"/>
      <c r="N272" s="295" t="n"/>
      <c r="O272" s="285" t="n"/>
      <c r="P272" s="295" t="n"/>
      <c r="Q272" s="295" t="n"/>
      <c r="R272" s="282" t="n"/>
      <c r="S272" s="295" t="n"/>
      <c r="T272" s="295" t="n"/>
      <c r="U272" s="285" t="n"/>
      <c r="V272" s="295" t="n"/>
      <c r="W272" s="282" t="n"/>
      <c r="X272" s="295" t="n"/>
      <c r="Y272" s="295" t="n"/>
      <c r="Z272" s="295" t="n"/>
      <c r="AA272" s="295" t="n"/>
      <c r="AB272" s="285" t="n"/>
      <c r="AC272" s="295" t="n"/>
      <c r="AD272" s="295" t="n"/>
      <c r="AE272" s="286" t="n"/>
    </row>
    <row r="273">
      <c r="B273" s="287" t="n"/>
      <c r="C273" s="288" t="n"/>
      <c r="D273" s="295" t="n"/>
      <c r="E273" s="295" t="n"/>
      <c r="F273" s="295" t="n"/>
      <c r="G273" s="290" t="n"/>
      <c r="H273" s="295" t="n"/>
      <c r="I273" s="295" t="n"/>
      <c r="J273" s="290" t="n"/>
      <c r="K273" s="347" t="n"/>
      <c r="L273" s="295" t="n"/>
      <c r="M273" s="348" t="n"/>
      <c r="N273" s="295" t="n"/>
      <c r="O273" s="293" t="n"/>
      <c r="P273" s="295" t="n"/>
      <c r="Q273" s="295" t="n"/>
      <c r="R273" s="290" t="n"/>
      <c r="S273" s="295" t="n"/>
      <c r="T273" s="295" t="n"/>
      <c r="U273" s="293" t="n"/>
      <c r="V273" s="295" t="n"/>
      <c r="W273" s="290" t="n"/>
      <c r="X273" s="295" t="n"/>
      <c r="Y273" s="295" t="n"/>
      <c r="Z273" s="295" t="n"/>
      <c r="AA273" s="295" t="n"/>
      <c r="AB273" s="293" t="n"/>
      <c r="AC273" s="295" t="n"/>
      <c r="AD273" s="295" t="n"/>
      <c r="AE273" s="294" t="n"/>
    </row>
    <row r="274">
      <c r="B274" s="279" t="n"/>
      <c r="C274" s="280" t="n"/>
      <c r="D274" s="295" t="n"/>
      <c r="E274" s="295" t="n"/>
      <c r="F274" s="295" t="n"/>
      <c r="G274" s="282" t="n"/>
      <c r="H274" s="295" t="n"/>
      <c r="I274" s="295" t="n"/>
      <c r="J274" s="282" t="n"/>
      <c r="K274" s="345" t="n"/>
      <c r="L274" s="295" t="n"/>
      <c r="M274" s="346" t="n"/>
      <c r="N274" s="295" t="n"/>
      <c r="O274" s="285" t="n"/>
      <c r="P274" s="295" t="n"/>
      <c r="Q274" s="295" t="n"/>
      <c r="R274" s="282" t="n"/>
      <c r="S274" s="295" t="n"/>
      <c r="T274" s="295" t="n"/>
      <c r="U274" s="285" t="n"/>
      <c r="V274" s="295" t="n"/>
      <c r="W274" s="282" t="n"/>
      <c r="X274" s="295" t="n"/>
      <c r="Y274" s="295" t="n"/>
      <c r="Z274" s="295" t="n"/>
      <c r="AA274" s="295" t="n"/>
      <c r="AB274" s="285" t="n"/>
      <c r="AC274" s="295" t="n"/>
      <c r="AD274" s="295" t="n"/>
      <c r="AE274" s="286" t="n"/>
    </row>
    <row r="275">
      <c r="B275" s="287" t="n"/>
      <c r="C275" s="288" t="n"/>
      <c r="D275" s="295" t="n"/>
      <c r="E275" s="295" t="n"/>
      <c r="F275" s="295" t="n"/>
      <c r="G275" s="290" t="n"/>
      <c r="H275" s="295" t="n"/>
      <c r="I275" s="295" t="n"/>
      <c r="J275" s="290" t="n"/>
      <c r="K275" s="347" t="n"/>
      <c r="L275" s="295" t="n"/>
      <c r="M275" s="348" t="n"/>
      <c r="N275" s="295" t="n"/>
      <c r="O275" s="293" t="n"/>
      <c r="P275" s="295" t="n"/>
      <c r="Q275" s="295" t="n"/>
      <c r="R275" s="290" t="n"/>
      <c r="S275" s="295" t="n"/>
      <c r="T275" s="295" t="n"/>
      <c r="U275" s="293" t="n"/>
      <c r="V275" s="295" t="n"/>
      <c r="W275" s="290" t="n"/>
      <c r="X275" s="295" t="n"/>
      <c r="Y275" s="295" t="n"/>
      <c r="Z275" s="295" t="n"/>
      <c r="AA275" s="295" t="n"/>
      <c r="AB275" s="293" t="n"/>
      <c r="AC275" s="295" t="n"/>
      <c r="AD275" s="295" t="n"/>
      <c r="AE275" s="294" t="n"/>
    </row>
    <row r="276">
      <c r="B276" s="279" t="n"/>
      <c r="C276" s="280" t="n"/>
      <c r="D276" s="295" t="n"/>
      <c r="E276" s="295" t="n"/>
      <c r="F276" s="295" t="n"/>
      <c r="G276" s="282" t="n"/>
      <c r="H276" s="295" t="n"/>
      <c r="I276" s="295" t="n"/>
      <c r="J276" s="282" t="n"/>
      <c r="K276" s="345" t="n"/>
      <c r="L276" s="295" t="n"/>
      <c r="M276" s="346" t="n"/>
      <c r="N276" s="295" t="n"/>
      <c r="O276" s="285" t="n"/>
      <c r="P276" s="295" t="n"/>
      <c r="Q276" s="295" t="n"/>
      <c r="R276" s="282" t="n"/>
      <c r="S276" s="295" t="n"/>
      <c r="T276" s="295" t="n"/>
      <c r="U276" s="285" t="n"/>
      <c r="V276" s="295" t="n"/>
      <c r="W276" s="282" t="n"/>
      <c r="X276" s="295" t="n"/>
      <c r="Y276" s="295" t="n"/>
      <c r="Z276" s="295" t="n"/>
      <c r="AA276" s="295" t="n"/>
      <c r="AB276" s="285" t="n"/>
      <c r="AC276" s="295" t="n"/>
      <c r="AD276" s="295" t="n"/>
      <c r="AE276" s="286" t="n"/>
    </row>
    <row r="277">
      <c r="B277" s="287" t="n"/>
      <c r="C277" s="288" t="n"/>
      <c r="D277" s="295" t="n"/>
      <c r="E277" s="295" t="n"/>
      <c r="F277" s="295" t="n"/>
      <c r="G277" s="290" t="n"/>
      <c r="H277" s="295" t="n"/>
      <c r="I277" s="295" t="n"/>
      <c r="J277" s="290" t="n"/>
      <c r="K277" s="347" t="n"/>
      <c r="L277" s="295" t="n"/>
      <c r="M277" s="348" t="n"/>
      <c r="N277" s="295" t="n"/>
      <c r="O277" s="293" t="n"/>
      <c r="P277" s="295" t="n"/>
      <c r="Q277" s="295" t="n"/>
      <c r="R277" s="290" t="n"/>
      <c r="S277" s="295" t="n"/>
      <c r="T277" s="295" t="n"/>
      <c r="U277" s="293" t="n"/>
      <c r="V277" s="295" t="n"/>
      <c r="W277" s="290" t="n"/>
      <c r="X277" s="295" t="n"/>
      <c r="Y277" s="295" t="n"/>
      <c r="Z277" s="295" t="n"/>
      <c r="AA277" s="295" t="n"/>
      <c r="AB277" s="293" t="n"/>
      <c r="AC277" s="295" t="n"/>
      <c r="AD277" s="295" t="n"/>
      <c r="AE277" s="294" t="n"/>
    </row>
    <row r="278">
      <c r="B278" s="279" t="n"/>
      <c r="C278" s="280" t="n"/>
      <c r="D278" s="295" t="n"/>
      <c r="E278" s="295" t="n"/>
      <c r="F278" s="295" t="n"/>
      <c r="G278" s="282" t="n"/>
      <c r="H278" s="295" t="n"/>
      <c r="I278" s="295" t="n"/>
      <c r="J278" s="282" t="n"/>
      <c r="K278" s="345" t="n"/>
      <c r="L278" s="295" t="n"/>
      <c r="M278" s="346" t="n"/>
      <c r="N278" s="295" t="n"/>
      <c r="O278" s="285" t="n"/>
      <c r="P278" s="295" t="n"/>
      <c r="Q278" s="295" t="n"/>
      <c r="R278" s="282" t="n"/>
      <c r="S278" s="295" t="n"/>
      <c r="T278" s="295" t="n"/>
      <c r="U278" s="285" t="n"/>
      <c r="V278" s="295" t="n"/>
      <c r="W278" s="282" t="n"/>
      <c r="X278" s="295" t="n"/>
      <c r="Y278" s="295" t="n"/>
      <c r="Z278" s="295" t="n"/>
      <c r="AA278" s="295" t="n"/>
      <c r="AB278" s="285" t="n"/>
      <c r="AC278" s="295" t="n"/>
      <c r="AD278" s="295" t="n"/>
      <c r="AE278" s="286" t="n"/>
    </row>
    <row r="279">
      <c r="B279" s="287" t="n"/>
      <c r="C279" s="288" t="n"/>
      <c r="D279" s="295" t="n"/>
      <c r="E279" s="295" t="n"/>
      <c r="F279" s="295" t="n"/>
      <c r="G279" s="290" t="n"/>
      <c r="H279" s="295" t="n"/>
      <c r="I279" s="295" t="n"/>
      <c r="J279" s="290" t="n"/>
      <c r="K279" s="347" t="n"/>
      <c r="L279" s="295" t="n"/>
      <c r="M279" s="348" t="n"/>
      <c r="N279" s="295" t="n"/>
      <c r="O279" s="293" t="n"/>
      <c r="P279" s="295" t="n"/>
      <c r="Q279" s="295" t="n"/>
      <c r="R279" s="290" t="n"/>
      <c r="S279" s="295" t="n"/>
      <c r="T279" s="295" t="n"/>
      <c r="U279" s="293" t="n"/>
      <c r="V279" s="295" t="n"/>
      <c r="W279" s="290" t="n"/>
      <c r="X279" s="295" t="n"/>
      <c r="Y279" s="295" t="n"/>
      <c r="Z279" s="295" t="n"/>
      <c r="AA279" s="295" t="n"/>
      <c r="AB279" s="293" t="n"/>
      <c r="AC279" s="295" t="n"/>
      <c r="AD279" s="295" t="n"/>
      <c r="AE279" s="294" t="n"/>
    </row>
    <row r="280">
      <c r="B280" s="279" t="n"/>
      <c r="C280" s="280" t="n"/>
      <c r="D280" s="295" t="n"/>
      <c r="E280" s="295" t="n"/>
      <c r="F280" s="295" t="n"/>
      <c r="G280" s="282" t="n"/>
      <c r="H280" s="295" t="n"/>
      <c r="I280" s="295" t="n"/>
      <c r="J280" s="282" t="n"/>
      <c r="K280" s="345" t="n"/>
      <c r="L280" s="295" t="n"/>
      <c r="M280" s="346" t="n"/>
      <c r="N280" s="295" t="n"/>
      <c r="O280" s="285" t="n"/>
      <c r="P280" s="295" t="n"/>
      <c r="Q280" s="295" t="n"/>
      <c r="R280" s="282" t="n"/>
      <c r="S280" s="295" t="n"/>
      <c r="T280" s="295" t="n"/>
      <c r="U280" s="285" t="n"/>
      <c r="V280" s="295" t="n"/>
      <c r="W280" s="282" t="n"/>
      <c r="X280" s="295" t="n"/>
      <c r="Y280" s="295" t="n"/>
      <c r="Z280" s="295" t="n"/>
      <c r="AA280" s="295" t="n"/>
      <c r="AB280" s="285" t="n"/>
      <c r="AC280" s="295" t="n"/>
      <c r="AD280" s="295" t="n"/>
      <c r="AE280" s="286" t="n"/>
    </row>
    <row r="281">
      <c r="B281" s="287" t="n"/>
      <c r="C281" s="288" t="n"/>
      <c r="D281" s="295" t="n"/>
      <c r="E281" s="295" t="n"/>
      <c r="F281" s="295" t="n"/>
      <c r="G281" s="290" t="n"/>
      <c r="H281" s="295" t="n"/>
      <c r="I281" s="295" t="n"/>
      <c r="J281" s="290" t="n"/>
      <c r="K281" s="347" t="n"/>
      <c r="L281" s="295" t="n"/>
      <c r="M281" s="348" t="n"/>
      <c r="N281" s="295" t="n"/>
      <c r="O281" s="293" t="n"/>
      <c r="P281" s="295" t="n"/>
      <c r="Q281" s="295" t="n"/>
      <c r="R281" s="290" t="n"/>
      <c r="S281" s="295" t="n"/>
      <c r="T281" s="295" t="n"/>
      <c r="U281" s="293" t="n"/>
      <c r="V281" s="295" t="n"/>
      <c r="W281" s="290" t="n"/>
      <c r="X281" s="295" t="n"/>
      <c r="Y281" s="295" t="n"/>
      <c r="Z281" s="295" t="n"/>
      <c r="AA281" s="295" t="n"/>
      <c r="AB281" s="293" t="n"/>
      <c r="AC281" s="295" t="n"/>
      <c r="AD281" s="295" t="n"/>
      <c r="AE281" s="294" t="n"/>
    </row>
    <row r="282">
      <c r="B282" s="279" t="n"/>
      <c r="C282" s="280" t="n"/>
      <c r="D282" s="295" t="n"/>
      <c r="E282" s="295" t="n"/>
      <c r="F282" s="295" t="n"/>
      <c r="G282" s="282" t="n"/>
      <c r="H282" s="295" t="n"/>
      <c r="I282" s="295" t="n"/>
      <c r="J282" s="282" t="n"/>
      <c r="K282" s="345" t="n"/>
      <c r="L282" s="295" t="n"/>
      <c r="M282" s="346" t="n"/>
      <c r="N282" s="295" t="n"/>
      <c r="O282" s="285" t="n"/>
      <c r="P282" s="295" t="n"/>
      <c r="Q282" s="295" t="n"/>
      <c r="R282" s="282" t="n"/>
      <c r="S282" s="295" t="n"/>
      <c r="T282" s="295" t="n"/>
      <c r="U282" s="285" t="n"/>
      <c r="V282" s="295" t="n"/>
      <c r="W282" s="282" t="n"/>
      <c r="X282" s="295" t="n"/>
      <c r="Y282" s="295" t="n"/>
      <c r="Z282" s="295" t="n"/>
      <c r="AA282" s="295" t="n"/>
      <c r="AB282" s="285" t="n"/>
      <c r="AC282" s="295" t="n"/>
      <c r="AD282" s="295" t="n"/>
      <c r="AE282" s="286" t="n"/>
    </row>
    <row r="283">
      <c r="B283" s="287" t="n"/>
      <c r="C283" s="288" t="n"/>
      <c r="D283" s="295" t="n"/>
      <c r="E283" s="295" t="n"/>
      <c r="F283" s="295" t="n"/>
      <c r="G283" s="290" t="n"/>
      <c r="H283" s="295" t="n"/>
      <c r="I283" s="295" t="n"/>
      <c r="J283" s="290" t="n"/>
      <c r="K283" s="347" t="n"/>
      <c r="L283" s="295" t="n"/>
      <c r="M283" s="348" t="n"/>
      <c r="N283" s="295" t="n"/>
      <c r="O283" s="293" t="n"/>
      <c r="P283" s="295" t="n"/>
      <c r="Q283" s="295" t="n"/>
      <c r="R283" s="290" t="n"/>
      <c r="S283" s="295" t="n"/>
      <c r="T283" s="295" t="n"/>
      <c r="U283" s="293" t="n"/>
      <c r="V283" s="295" t="n"/>
      <c r="W283" s="290" t="n"/>
      <c r="X283" s="295" t="n"/>
      <c r="Y283" s="295" t="n"/>
      <c r="Z283" s="295" t="n"/>
      <c r="AA283" s="295" t="n"/>
      <c r="AB283" s="293" t="n"/>
      <c r="AC283" s="295" t="n"/>
      <c r="AD283" s="295" t="n"/>
      <c r="AE283" s="294" t="n"/>
    </row>
    <row r="284">
      <c r="B284" s="279" t="n"/>
      <c r="C284" s="280" t="n"/>
      <c r="D284" s="295" t="n"/>
      <c r="E284" s="295" t="n"/>
      <c r="F284" s="295" t="n"/>
      <c r="G284" s="282" t="n"/>
      <c r="H284" s="295" t="n"/>
      <c r="I284" s="295" t="n"/>
      <c r="J284" s="282" t="n"/>
      <c r="K284" s="345" t="n"/>
      <c r="L284" s="295" t="n"/>
      <c r="M284" s="346" t="n"/>
      <c r="N284" s="295" t="n"/>
      <c r="O284" s="285" t="n"/>
      <c r="P284" s="295" t="n"/>
      <c r="Q284" s="295" t="n"/>
      <c r="R284" s="282" t="n"/>
      <c r="S284" s="295" t="n"/>
      <c r="T284" s="295" t="n"/>
      <c r="U284" s="285" t="n"/>
      <c r="V284" s="295" t="n"/>
      <c r="W284" s="282" t="n"/>
      <c r="X284" s="295" t="n"/>
      <c r="Y284" s="295" t="n"/>
      <c r="Z284" s="295" t="n"/>
      <c r="AA284" s="295" t="n"/>
      <c r="AB284" s="285" t="n"/>
      <c r="AC284" s="295" t="n"/>
      <c r="AD284" s="295" t="n"/>
      <c r="AE284" s="286" t="n"/>
    </row>
    <row r="285">
      <c r="B285" s="287" t="n"/>
      <c r="C285" s="288" t="n"/>
      <c r="D285" s="295" t="n"/>
      <c r="E285" s="295" t="n"/>
      <c r="F285" s="295" t="n"/>
      <c r="G285" s="290" t="n"/>
      <c r="H285" s="295" t="n"/>
      <c r="I285" s="295" t="n"/>
      <c r="J285" s="290" t="n"/>
      <c r="K285" s="347" t="n"/>
      <c r="L285" s="295" t="n"/>
      <c r="M285" s="348" t="n"/>
      <c r="N285" s="295" t="n"/>
      <c r="O285" s="293" t="n"/>
      <c r="P285" s="295" t="n"/>
      <c r="Q285" s="295" t="n"/>
      <c r="R285" s="290" t="n"/>
      <c r="S285" s="295" t="n"/>
      <c r="T285" s="295" t="n"/>
      <c r="U285" s="293" t="n"/>
      <c r="V285" s="295" t="n"/>
      <c r="W285" s="290" t="n"/>
      <c r="X285" s="295" t="n"/>
      <c r="Y285" s="295" t="n"/>
      <c r="Z285" s="295" t="n"/>
      <c r="AA285" s="295" t="n"/>
      <c r="AB285" s="293" t="n"/>
      <c r="AC285" s="295" t="n"/>
      <c r="AD285" s="295" t="n"/>
      <c r="AE285" s="294" t="n"/>
    </row>
    <row r="286">
      <c r="B286" s="279" t="n"/>
      <c r="C286" s="280" t="n"/>
      <c r="D286" s="295" t="n"/>
      <c r="E286" s="295" t="n"/>
      <c r="F286" s="295" t="n"/>
      <c r="G286" s="282" t="n"/>
      <c r="H286" s="295" t="n"/>
      <c r="I286" s="295" t="n"/>
      <c r="J286" s="282" t="n"/>
      <c r="K286" s="345" t="n"/>
      <c r="L286" s="295" t="n"/>
      <c r="M286" s="346" t="n"/>
      <c r="N286" s="295" t="n"/>
      <c r="O286" s="285" t="n"/>
      <c r="P286" s="295" t="n"/>
      <c r="Q286" s="295" t="n"/>
      <c r="R286" s="282" t="n"/>
      <c r="S286" s="295" t="n"/>
      <c r="T286" s="295" t="n"/>
      <c r="U286" s="285" t="n"/>
      <c r="V286" s="295" t="n"/>
      <c r="W286" s="282" t="n"/>
      <c r="X286" s="295" t="n"/>
      <c r="Y286" s="295" t="n"/>
      <c r="Z286" s="295" t="n"/>
      <c r="AA286" s="295" t="n"/>
      <c r="AB286" s="285" t="n"/>
      <c r="AC286" s="295" t="n"/>
      <c r="AD286" s="295" t="n"/>
      <c r="AE286" s="286" t="n"/>
    </row>
    <row r="287">
      <c r="B287" s="287" t="n"/>
      <c r="C287" s="288" t="n"/>
      <c r="D287" s="295" t="n"/>
      <c r="E287" s="295" t="n"/>
      <c r="F287" s="295" t="n"/>
      <c r="G287" s="290" t="n"/>
      <c r="H287" s="295" t="n"/>
      <c r="I287" s="295" t="n"/>
      <c r="J287" s="290" t="n"/>
      <c r="K287" s="347" t="n"/>
      <c r="L287" s="295" t="n"/>
      <c r="M287" s="348" t="n"/>
      <c r="N287" s="295" t="n"/>
      <c r="O287" s="293" t="n"/>
      <c r="P287" s="295" t="n"/>
      <c r="Q287" s="295" t="n"/>
      <c r="R287" s="290" t="n"/>
      <c r="S287" s="295" t="n"/>
      <c r="T287" s="295" t="n"/>
      <c r="U287" s="293" t="n"/>
      <c r="V287" s="295" t="n"/>
      <c r="W287" s="290" t="n"/>
      <c r="X287" s="295" t="n"/>
      <c r="Y287" s="295" t="n"/>
      <c r="Z287" s="295" t="n"/>
      <c r="AA287" s="295" t="n"/>
      <c r="AB287" s="293" t="n"/>
      <c r="AC287" s="295" t="n"/>
      <c r="AD287" s="295" t="n"/>
      <c r="AE287" s="294" t="n"/>
    </row>
    <row r="288">
      <c r="B288" s="279" t="n"/>
      <c r="C288" s="280" t="n"/>
      <c r="D288" s="295" t="n"/>
      <c r="E288" s="295" t="n"/>
      <c r="F288" s="295" t="n"/>
      <c r="G288" s="282" t="n"/>
      <c r="H288" s="295" t="n"/>
      <c r="I288" s="295" t="n"/>
      <c r="J288" s="282" t="n"/>
      <c r="K288" s="345" t="n"/>
      <c r="L288" s="295" t="n"/>
      <c r="M288" s="346" t="n"/>
      <c r="N288" s="295" t="n"/>
      <c r="O288" s="285" t="n"/>
      <c r="P288" s="295" t="n"/>
      <c r="Q288" s="295" t="n"/>
      <c r="R288" s="282" t="n"/>
      <c r="S288" s="295" t="n"/>
      <c r="T288" s="295" t="n"/>
      <c r="U288" s="285" t="n"/>
      <c r="V288" s="295" t="n"/>
      <c r="W288" s="282" t="n"/>
      <c r="X288" s="295" t="n"/>
      <c r="Y288" s="295" t="n"/>
      <c r="Z288" s="295" t="n"/>
      <c r="AA288" s="295" t="n"/>
      <c r="AB288" s="285" t="n"/>
      <c r="AC288" s="295" t="n"/>
      <c r="AD288" s="295" t="n"/>
      <c r="AE288" s="286" t="n"/>
    </row>
    <row r="289">
      <c r="B289" s="287" t="n"/>
      <c r="C289" s="288" t="n"/>
      <c r="D289" s="295" t="n"/>
      <c r="E289" s="295" t="n"/>
      <c r="F289" s="295" t="n"/>
      <c r="G289" s="290" t="n"/>
      <c r="H289" s="295" t="n"/>
      <c r="I289" s="295" t="n"/>
      <c r="J289" s="290" t="n"/>
      <c r="K289" s="347" t="n"/>
      <c r="L289" s="295" t="n"/>
      <c r="M289" s="348" t="n"/>
      <c r="N289" s="295" t="n"/>
      <c r="O289" s="293" t="n"/>
      <c r="P289" s="295" t="n"/>
      <c r="Q289" s="295" t="n"/>
      <c r="R289" s="290" t="n"/>
      <c r="S289" s="295" t="n"/>
      <c r="T289" s="295" t="n"/>
      <c r="U289" s="293" t="n"/>
      <c r="V289" s="295" t="n"/>
      <c r="W289" s="290" t="n"/>
      <c r="X289" s="295" t="n"/>
      <c r="Y289" s="295" t="n"/>
      <c r="Z289" s="295" t="n"/>
      <c r="AA289" s="295" t="n"/>
      <c r="AB289" s="293" t="n"/>
      <c r="AC289" s="295" t="n"/>
      <c r="AD289" s="295" t="n"/>
      <c r="AE289" s="294" t="n"/>
    </row>
    <row r="290">
      <c r="B290" s="279" t="n"/>
      <c r="C290" s="280" t="n"/>
      <c r="D290" s="295" t="n"/>
      <c r="E290" s="295" t="n"/>
      <c r="F290" s="295" t="n"/>
      <c r="G290" s="282" t="n"/>
      <c r="H290" s="295" t="n"/>
      <c r="I290" s="295" t="n"/>
      <c r="J290" s="282" t="n"/>
      <c r="K290" s="345" t="n"/>
      <c r="L290" s="295" t="n"/>
      <c r="M290" s="346" t="n"/>
      <c r="N290" s="295" t="n"/>
      <c r="O290" s="285" t="n"/>
      <c r="P290" s="295" t="n"/>
      <c r="Q290" s="295" t="n"/>
      <c r="R290" s="282" t="n"/>
      <c r="S290" s="295" t="n"/>
      <c r="T290" s="295" t="n"/>
      <c r="U290" s="285" t="n"/>
      <c r="V290" s="295" t="n"/>
      <c r="W290" s="282" t="n"/>
      <c r="X290" s="295" t="n"/>
      <c r="Y290" s="295" t="n"/>
      <c r="Z290" s="295" t="n"/>
      <c r="AA290" s="295" t="n"/>
      <c r="AB290" s="285" t="n"/>
      <c r="AC290" s="295" t="n"/>
      <c r="AD290" s="295" t="n"/>
      <c r="AE290" s="286" t="n"/>
    </row>
    <row r="291">
      <c r="B291" s="287" t="n"/>
      <c r="C291" s="288" t="n"/>
      <c r="D291" s="295" t="n"/>
      <c r="E291" s="295" t="n"/>
      <c r="F291" s="295" t="n"/>
      <c r="G291" s="290" t="n"/>
      <c r="H291" s="295" t="n"/>
      <c r="I291" s="295" t="n"/>
      <c r="J291" s="290" t="n"/>
      <c r="K291" s="347" t="n"/>
      <c r="L291" s="295" t="n"/>
      <c r="M291" s="348" t="n"/>
      <c r="N291" s="295" t="n"/>
      <c r="O291" s="293" t="n"/>
      <c r="P291" s="295" t="n"/>
      <c r="Q291" s="295" t="n"/>
      <c r="R291" s="290" t="n"/>
      <c r="S291" s="295" t="n"/>
      <c r="T291" s="295" t="n"/>
      <c r="U291" s="293" t="n"/>
      <c r="V291" s="295" t="n"/>
      <c r="W291" s="290" t="n"/>
      <c r="X291" s="295" t="n"/>
      <c r="Y291" s="295" t="n"/>
      <c r="Z291" s="295" t="n"/>
      <c r="AA291" s="295" t="n"/>
      <c r="AB291" s="293" t="n"/>
      <c r="AC291" s="295" t="n"/>
      <c r="AD291" s="295" t="n"/>
      <c r="AE291" s="294" t="n"/>
    </row>
    <row r="292">
      <c r="B292" s="279" t="n"/>
      <c r="C292" s="280" t="n"/>
      <c r="D292" s="295" t="n"/>
      <c r="E292" s="295" t="n"/>
      <c r="F292" s="295" t="n"/>
      <c r="G292" s="282" t="n"/>
      <c r="H292" s="295" t="n"/>
      <c r="I292" s="295" t="n"/>
      <c r="J292" s="282" t="n"/>
      <c r="K292" s="345" t="n"/>
      <c r="L292" s="295" t="n"/>
      <c r="M292" s="346" t="n"/>
      <c r="N292" s="295" t="n"/>
      <c r="O292" s="285" t="n"/>
      <c r="P292" s="295" t="n"/>
      <c r="Q292" s="295" t="n"/>
      <c r="R292" s="282" t="n"/>
      <c r="S292" s="295" t="n"/>
      <c r="T292" s="295" t="n"/>
      <c r="U292" s="285" t="n"/>
      <c r="V292" s="295" t="n"/>
      <c r="W292" s="282" t="n"/>
      <c r="X292" s="295" t="n"/>
      <c r="Y292" s="295" t="n"/>
      <c r="Z292" s="295" t="n"/>
      <c r="AA292" s="295" t="n"/>
      <c r="AB292" s="285" t="n"/>
      <c r="AC292" s="295" t="n"/>
      <c r="AD292" s="295" t="n"/>
      <c r="AE292" s="286" t="n"/>
    </row>
    <row r="293">
      <c r="B293" s="287" t="n"/>
      <c r="C293" s="288" t="n"/>
      <c r="D293" s="295" t="n"/>
      <c r="E293" s="295" t="n"/>
      <c r="F293" s="295" t="n"/>
      <c r="G293" s="290" t="n"/>
      <c r="H293" s="295" t="n"/>
      <c r="I293" s="295" t="n"/>
      <c r="J293" s="290" t="n"/>
      <c r="K293" s="347" t="n"/>
      <c r="L293" s="295" t="n"/>
      <c r="M293" s="348" t="n"/>
      <c r="N293" s="295" t="n"/>
      <c r="O293" s="293" t="n"/>
      <c r="P293" s="295" t="n"/>
      <c r="Q293" s="295" t="n"/>
      <c r="R293" s="290" t="n"/>
      <c r="S293" s="295" t="n"/>
      <c r="T293" s="295" t="n"/>
      <c r="U293" s="293" t="n"/>
      <c r="V293" s="295" t="n"/>
      <c r="W293" s="290" t="n"/>
      <c r="X293" s="295" t="n"/>
      <c r="Y293" s="295" t="n"/>
      <c r="Z293" s="295" t="n"/>
      <c r="AA293" s="295" t="n"/>
      <c r="AB293" s="293" t="n"/>
      <c r="AC293" s="295" t="n"/>
      <c r="AD293" s="295" t="n"/>
      <c r="AE293" s="294" t="n"/>
    </row>
    <row r="294">
      <c r="B294" s="279" t="n"/>
      <c r="C294" s="280" t="n"/>
      <c r="D294" s="295" t="n"/>
      <c r="E294" s="295" t="n"/>
      <c r="F294" s="295" t="n"/>
      <c r="G294" s="282" t="n"/>
      <c r="H294" s="295" t="n"/>
      <c r="I294" s="295" t="n"/>
      <c r="J294" s="282" t="n"/>
      <c r="K294" s="345" t="n"/>
      <c r="L294" s="295" t="n"/>
      <c r="M294" s="346" t="n"/>
      <c r="N294" s="295" t="n"/>
      <c r="O294" s="285" t="n"/>
      <c r="P294" s="295" t="n"/>
      <c r="Q294" s="295" t="n"/>
      <c r="R294" s="282" t="n"/>
      <c r="S294" s="295" t="n"/>
      <c r="T294" s="295" t="n"/>
      <c r="U294" s="285" t="n"/>
      <c r="V294" s="295" t="n"/>
      <c r="W294" s="282" t="n"/>
      <c r="X294" s="295" t="n"/>
      <c r="Y294" s="295" t="n"/>
      <c r="Z294" s="295" t="n"/>
      <c r="AA294" s="295" t="n"/>
      <c r="AB294" s="285" t="n"/>
      <c r="AC294" s="295" t="n"/>
      <c r="AD294" s="295" t="n"/>
      <c r="AE294" s="286" t="n"/>
    </row>
    <row r="295">
      <c r="B295" s="287" t="n"/>
      <c r="C295" s="288" t="n"/>
      <c r="D295" s="295" t="n"/>
      <c r="E295" s="295" t="n"/>
      <c r="F295" s="295" t="n"/>
      <c r="G295" s="290" t="n"/>
      <c r="H295" s="295" t="n"/>
      <c r="I295" s="295" t="n"/>
      <c r="J295" s="290" t="n"/>
      <c r="K295" s="347" t="n"/>
      <c r="L295" s="295" t="n"/>
      <c r="M295" s="348" t="n"/>
      <c r="N295" s="295" t="n"/>
      <c r="O295" s="293" t="n"/>
      <c r="P295" s="295" t="n"/>
      <c r="Q295" s="295" t="n"/>
      <c r="R295" s="290" t="n"/>
      <c r="S295" s="295" t="n"/>
      <c r="T295" s="295" t="n"/>
      <c r="U295" s="293" t="n"/>
      <c r="V295" s="295" t="n"/>
      <c r="W295" s="290" t="n"/>
      <c r="X295" s="295" t="n"/>
      <c r="Y295" s="295" t="n"/>
      <c r="Z295" s="295" t="n"/>
      <c r="AA295" s="295" t="n"/>
      <c r="AB295" s="293" t="n"/>
      <c r="AC295" s="295" t="n"/>
      <c r="AD295" s="295" t="n"/>
      <c r="AE295" s="294" t="n"/>
    </row>
    <row r="296">
      <c r="B296" s="279" t="n"/>
      <c r="C296" s="280" t="n"/>
      <c r="D296" s="295" t="n"/>
      <c r="E296" s="295" t="n"/>
      <c r="F296" s="295" t="n"/>
      <c r="G296" s="282" t="n"/>
      <c r="H296" s="295" t="n"/>
      <c r="I296" s="295" t="n"/>
      <c r="J296" s="282" t="n"/>
      <c r="K296" s="345" t="n"/>
      <c r="L296" s="295" t="n"/>
      <c r="M296" s="346" t="n"/>
      <c r="N296" s="295" t="n"/>
      <c r="O296" s="285" t="n"/>
      <c r="P296" s="295" t="n"/>
      <c r="Q296" s="295" t="n"/>
      <c r="R296" s="282" t="n"/>
      <c r="S296" s="295" t="n"/>
      <c r="T296" s="295" t="n"/>
      <c r="U296" s="285" t="n"/>
      <c r="V296" s="295" t="n"/>
      <c r="W296" s="282" t="n"/>
      <c r="X296" s="295" t="n"/>
      <c r="Y296" s="295" t="n"/>
      <c r="Z296" s="295" t="n"/>
      <c r="AA296" s="295" t="n"/>
      <c r="AB296" s="285" t="n"/>
      <c r="AC296" s="295" t="n"/>
      <c r="AD296" s="295" t="n"/>
      <c r="AE296" s="286" t="n"/>
    </row>
    <row r="297">
      <c r="B297" s="287" t="n"/>
      <c r="C297" s="288" t="n"/>
      <c r="D297" s="295" t="n"/>
      <c r="E297" s="295" t="n"/>
      <c r="F297" s="295" t="n"/>
      <c r="G297" s="290" t="n"/>
      <c r="H297" s="295" t="n"/>
      <c r="I297" s="295" t="n"/>
      <c r="J297" s="290" t="n"/>
      <c r="K297" s="347" t="n"/>
      <c r="L297" s="295" t="n"/>
      <c r="M297" s="348" t="n"/>
      <c r="N297" s="295" t="n"/>
      <c r="O297" s="293" t="n"/>
      <c r="P297" s="295" t="n"/>
      <c r="Q297" s="295" t="n"/>
      <c r="R297" s="290" t="n"/>
      <c r="S297" s="295" t="n"/>
      <c r="T297" s="295" t="n"/>
      <c r="U297" s="293" t="n"/>
      <c r="V297" s="295" t="n"/>
      <c r="W297" s="290" t="n"/>
      <c r="X297" s="295" t="n"/>
      <c r="Y297" s="295" t="n"/>
      <c r="Z297" s="295" t="n"/>
      <c r="AA297" s="295" t="n"/>
      <c r="AB297" s="293" t="n"/>
      <c r="AC297" s="295" t="n"/>
      <c r="AD297" s="295" t="n"/>
      <c r="AE297" s="294" t="n"/>
    </row>
    <row r="298">
      <c r="B298" s="279" t="n"/>
      <c r="C298" s="280" t="n"/>
      <c r="D298" s="295" t="n"/>
      <c r="E298" s="295" t="n"/>
      <c r="F298" s="295" t="n"/>
      <c r="G298" s="282" t="n"/>
      <c r="H298" s="295" t="n"/>
      <c r="I298" s="295" t="n"/>
      <c r="J298" s="282" t="n"/>
      <c r="K298" s="345" t="n"/>
      <c r="L298" s="295" t="n"/>
      <c r="M298" s="346" t="n"/>
      <c r="N298" s="295" t="n"/>
      <c r="O298" s="285" t="n"/>
      <c r="P298" s="295" t="n"/>
      <c r="Q298" s="295" t="n"/>
      <c r="R298" s="282" t="n"/>
      <c r="S298" s="295" t="n"/>
      <c r="T298" s="295" t="n"/>
      <c r="U298" s="285" t="n"/>
      <c r="V298" s="295" t="n"/>
      <c r="W298" s="282" t="n"/>
      <c r="X298" s="295" t="n"/>
      <c r="Y298" s="295" t="n"/>
      <c r="Z298" s="295" t="n"/>
      <c r="AA298" s="295" t="n"/>
      <c r="AB298" s="285" t="n"/>
      <c r="AC298" s="295" t="n"/>
      <c r="AD298" s="295" t="n"/>
      <c r="AE298" s="286" t="n"/>
    </row>
    <row r="299">
      <c r="B299" s="287" t="n"/>
      <c r="C299" s="288" t="n"/>
      <c r="D299" s="295" t="n"/>
      <c r="E299" s="295" t="n"/>
      <c r="F299" s="295" t="n"/>
      <c r="G299" s="290" t="n"/>
      <c r="H299" s="295" t="n"/>
      <c r="I299" s="295" t="n"/>
      <c r="J299" s="290" t="n"/>
      <c r="K299" s="347" t="n"/>
      <c r="L299" s="295" t="n"/>
      <c r="M299" s="348" t="n"/>
      <c r="N299" s="295" t="n"/>
      <c r="O299" s="293" t="n"/>
      <c r="P299" s="295" t="n"/>
      <c r="Q299" s="295" t="n"/>
      <c r="R299" s="290" t="n"/>
      <c r="S299" s="295" t="n"/>
      <c r="T299" s="295" t="n"/>
      <c r="U299" s="293" t="n"/>
      <c r="V299" s="295" t="n"/>
      <c r="W299" s="290" t="n"/>
      <c r="X299" s="295" t="n"/>
      <c r="Y299" s="295" t="n"/>
      <c r="Z299" s="295" t="n"/>
      <c r="AA299" s="295" t="n"/>
      <c r="AB299" s="293" t="n"/>
      <c r="AC299" s="295" t="n"/>
      <c r="AD299" s="295" t="n"/>
      <c r="AE299" s="294" t="n"/>
    </row>
    <row r="300">
      <c r="B300" s="279" t="n"/>
      <c r="C300" s="280" t="n"/>
      <c r="D300" s="295" t="n"/>
      <c r="E300" s="295" t="n"/>
      <c r="F300" s="295" t="n"/>
      <c r="G300" s="282" t="n"/>
      <c r="H300" s="295" t="n"/>
      <c r="I300" s="295" t="n"/>
      <c r="J300" s="282" t="n"/>
      <c r="K300" s="345" t="n"/>
      <c r="L300" s="295" t="n"/>
      <c r="M300" s="346" t="n"/>
      <c r="N300" s="295" t="n"/>
      <c r="O300" s="285" t="n"/>
      <c r="P300" s="295" t="n"/>
      <c r="Q300" s="295" t="n"/>
      <c r="R300" s="282" t="n"/>
      <c r="S300" s="295" t="n"/>
      <c r="T300" s="295" t="n"/>
      <c r="U300" s="285" t="n"/>
      <c r="V300" s="295" t="n"/>
      <c r="W300" s="282" t="n"/>
      <c r="X300" s="295" t="n"/>
      <c r="Y300" s="295" t="n"/>
      <c r="Z300" s="295" t="n"/>
      <c r="AA300" s="295" t="n"/>
      <c r="AB300" s="285" t="n"/>
      <c r="AC300" s="295" t="n"/>
      <c r="AD300" s="295" t="n"/>
      <c r="AE300" s="286" t="n"/>
    </row>
    <row r="301">
      <c r="B301" s="287" t="n"/>
      <c r="C301" s="288" t="n"/>
      <c r="D301" s="295" t="n"/>
      <c r="E301" s="295" t="n"/>
      <c r="F301" s="295" t="n"/>
      <c r="G301" s="290" t="n"/>
      <c r="H301" s="295" t="n"/>
      <c r="I301" s="295" t="n"/>
      <c r="J301" s="290" t="n"/>
      <c r="K301" s="347" t="n"/>
      <c r="L301" s="295" t="n"/>
      <c r="M301" s="348" t="n"/>
      <c r="N301" s="295" t="n"/>
      <c r="O301" s="293" t="n"/>
      <c r="P301" s="295" t="n"/>
      <c r="Q301" s="295" t="n"/>
      <c r="R301" s="290" t="n"/>
      <c r="S301" s="295" t="n"/>
      <c r="T301" s="295" t="n"/>
      <c r="U301" s="293" t="n"/>
      <c r="V301" s="295" t="n"/>
      <c r="W301" s="290" t="n"/>
      <c r="X301" s="295" t="n"/>
      <c r="Y301" s="295" t="n"/>
      <c r="Z301" s="295" t="n"/>
      <c r="AA301" s="295" t="n"/>
      <c r="AB301" s="293" t="n"/>
      <c r="AC301" s="295" t="n"/>
      <c r="AD301" s="295" t="n"/>
      <c r="AE301" s="294" t="n"/>
    </row>
    <row r="302">
      <c r="B302" s="279" t="n"/>
      <c r="C302" s="280" t="n"/>
      <c r="D302" s="295" t="n"/>
      <c r="E302" s="295" t="n"/>
      <c r="F302" s="295" t="n"/>
      <c r="G302" s="282" t="n"/>
      <c r="H302" s="295" t="n"/>
      <c r="I302" s="295" t="n"/>
      <c r="J302" s="282" t="n"/>
      <c r="K302" s="345" t="n"/>
      <c r="L302" s="295" t="n"/>
      <c r="M302" s="346" t="n"/>
      <c r="N302" s="295" t="n"/>
      <c r="O302" s="285" t="n"/>
      <c r="P302" s="295" t="n"/>
      <c r="Q302" s="295" t="n"/>
      <c r="R302" s="282" t="n"/>
      <c r="S302" s="295" t="n"/>
      <c r="T302" s="295" t="n"/>
      <c r="U302" s="285" t="n"/>
      <c r="V302" s="295" t="n"/>
      <c r="W302" s="282" t="n"/>
      <c r="X302" s="295" t="n"/>
      <c r="Y302" s="295" t="n"/>
      <c r="Z302" s="295" t="n"/>
      <c r="AA302" s="295" t="n"/>
      <c r="AB302" s="285" t="n"/>
      <c r="AC302" s="295" t="n"/>
      <c r="AD302" s="295" t="n"/>
      <c r="AE302" s="286" t="n"/>
    </row>
    <row r="303">
      <c r="B303" s="287" t="n"/>
      <c r="C303" s="288" t="n"/>
      <c r="D303" s="295" t="n"/>
      <c r="E303" s="295" t="n"/>
      <c r="F303" s="295" t="n"/>
      <c r="G303" s="290" t="n"/>
      <c r="H303" s="295" t="n"/>
      <c r="I303" s="295" t="n"/>
      <c r="J303" s="290" t="n"/>
      <c r="K303" s="347" t="n"/>
      <c r="L303" s="295" t="n"/>
      <c r="M303" s="348" t="n"/>
      <c r="N303" s="295" t="n"/>
      <c r="O303" s="293" t="n"/>
      <c r="P303" s="295" t="n"/>
      <c r="Q303" s="295" t="n"/>
      <c r="R303" s="290" t="n"/>
      <c r="S303" s="295" t="n"/>
      <c r="T303" s="295" t="n"/>
      <c r="U303" s="293" t="n"/>
      <c r="V303" s="295" t="n"/>
      <c r="W303" s="290" t="n"/>
      <c r="X303" s="295" t="n"/>
      <c r="Y303" s="295" t="n"/>
      <c r="Z303" s="295" t="n"/>
      <c r="AA303" s="295" t="n"/>
      <c r="AB303" s="293" t="n"/>
      <c r="AC303" s="295" t="n"/>
      <c r="AD303" s="295" t="n"/>
      <c r="AE303" s="294" t="n"/>
    </row>
    <row r="304">
      <c r="B304" s="279" t="n"/>
      <c r="C304" s="280" t="n"/>
      <c r="D304" s="295" t="n"/>
      <c r="E304" s="295" t="n"/>
      <c r="F304" s="295" t="n"/>
      <c r="G304" s="282" t="n"/>
      <c r="H304" s="295" t="n"/>
      <c r="I304" s="295" t="n"/>
      <c r="J304" s="282" t="n"/>
      <c r="K304" s="345" t="n"/>
      <c r="L304" s="295" t="n"/>
      <c r="M304" s="346" t="n"/>
      <c r="N304" s="295" t="n"/>
      <c r="O304" s="285" t="n"/>
      <c r="P304" s="295" t="n"/>
      <c r="Q304" s="295" t="n"/>
      <c r="R304" s="282" t="n"/>
      <c r="S304" s="295" t="n"/>
      <c r="T304" s="295" t="n"/>
      <c r="U304" s="285" t="n"/>
      <c r="V304" s="295" t="n"/>
      <c r="W304" s="282" t="n"/>
      <c r="X304" s="295" t="n"/>
      <c r="Y304" s="295" t="n"/>
      <c r="Z304" s="295" t="n"/>
      <c r="AA304" s="295" t="n"/>
      <c r="AB304" s="285" t="n"/>
      <c r="AC304" s="295" t="n"/>
      <c r="AD304" s="295" t="n"/>
      <c r="AE304" s="286" t="n"/>
    </row>
    <row r="305">
      <c r="B305" s="287" t="n"/>
      <c r="C305" s="288" t="n"/>
      <c r="D305" s="295" t="n"/>
      <c r="E305" s="295" t="n"/>
      <c r="F305" s="295" t="n"/>
      <c r="G305" s="290" t="n"/>
      <c r="H305" s="295" t="n"/>
      <c r="I305" s="295" t="n"/>
      <c r="J305" s="290" t="n"/>
      <c r="K305" s="347" t="n"/>
      <c r="L305" s="295" t="n"/>
      <c r="M305" s="348" t="n"/>
      <c r="N305" s="295" t="n"/>
      <c r="O305" s="293" t="n"/>
      <c r="P305" s="295" t="n"/>
      <c r="Q305" s="295" t="n"/>
      <c r="R305" s="290" t="n"/>
      <c r="S305" s="295" t="n"/>
      <c r="T305" s="295" t="n"/>
      <c r="U305" s="293" t="n"/>
      <c r="V305" s="295" t="n"/>
      <c r="W305" s="290" t="n"/>
      <c r="X305" s="295" t="n"/>
      <c r="Y305" s="295" t="n"/>
      <c r="Z305" s="295" t="n"/>
      <c r="AA305" s="295" t="n"/>
      <c r="AB305" s="293" t="n"/>
      <c r="AC305" s="295" t="n"/>
      <c r="AD305" s="295" t="n"/>
      <c r="AE305" s="294" t="n"/>
    </row>
    <row r="306">
      <c r="B306" s="279" t="n"/>
      <c r="C306" s="280" t="n"/>
      <c r="D306" s="295" t="n"/>
      <c r="E306" s="295" t="n"/>
      <c r="F306" s="295" t="n"/>
      <c r="G306" s="282" t="n"/>
      <c r="H306" s="295" t="n"/>
      <c r="I306" s="295" t="n"/>
      <c r="J306" s="282" t="n"/>
      <c r="K306" s="345" t="n"/>
      <c r="L306" s="295" t="n"/>
      <c r="M306" s="346" t="n"/>
      <c r="N306" s="295" t="n"/>
      <c r="O306" s="285" t="n"/>
      <c r="P306" s="295" t="n"/>
      <c r="Q306" s="295" t="n"/>
      <c r="R306" s="282" t="n"/>
      <c r="S306" s="295" t="n"/>
      <c r="T306" s="295" t="n"/>
      <c r="U306" s="285" t="n"/>
      <c r="V306" s="295" t="n"/>
      <c r="W306" s="282" t="n"/>
      <c r="X306" s="295" t="n"/>
      <c r="Y306" s="295" t="n"/>
      <c r="Z306" s="295" t="n"/>
      <c r="AA306" s="295" t="n"/>
      <c r="AB306" s="285" t="n"/>
      <c r="AC306" s="295" t="n"/>
      <c r="AD306" s="295" t="n"/>
      <c r="AE306" s="286" t="n"/>
    </row>
    <row r="307">
      <c r="B307" s="287" t="n"/>
      <c r="C307" s="288" t="n"/>
      <c r="D307" s="295" t="n"/>
      <c r="E307" s="295" t="n"/>
      <c r="F307" s="295" t="n"/>
      <c r="G307" s="290" t="n"/>
      <c r="H307" s="295" t="n"/>
      <c r="I307" s="295" t="n"/>
      <c r="J307" s="290" t="n"/>
      <c r="K307" s="347" t="n"/>
      <c r="L307" s="295" t="n"/>
      <c r="M307" s="348" t="n"/>
      <c r="N307" s="295" t="n"/>
      <c r="O307" s="293" t="n"/>
      <c r="P307" s="295" t="n"/>
      <c r="Q307" s="295" t="n"/>
      <c r="R307" s="290" t="n"/>
      <c r="S307" s="295" t="n"/>
      <c r="T307" s="295" t="n"/>
      <c r="U307" s="293" t="n"/>
      <c r="V307" s="295" t="n"/>
      <c r="W307" s="290" t="n"/>
      <c r="X307" s="295" t="n"/>
      <c r="Y307" s="295" t="n"/>
      <c r="Z307" s="295" t="n"/>
      <c r="AA307" s="295" t="n"/>
      <c r="AB307" s="293" t="n"/>
      <c r="AC307" s="295" t="n"/>
      <c r="AD307" s="295" t="n"/>
      <c r="AE307" s="294" t="n"/>
    </row>
    <row r="308">
      <c r="B308" s="279" t="n"/>
      <c r="C308" s="280" t="n"/>
      <c r="D308" s="295" t="n"/>
      <c r="E308" s="295" t="n"/>
      <c r="F308" s="295" t="n"/>
      <c r="G308" s="282" t="n"/>
      <c r="H308" s="295" t="n"/>
      <c r="I308" s="295" t="n"/>
      <c r="J308" s="282" t="n"/>
      <c r="K308" s="345" t="n"/>
      <c r="L308" s="295" t="n"/>
      <c r="M308" s="346" t="n"/>
      <c r="N308" s="295" t="n"/>
      <c r="O308" s="285" t="n"/>
      <c r="P308" s="295" t="n"/>
      <c r="Q308" s="295" t="n"/>
      <c r="R308" s="282" t="n"/>
      <c r="S308" s="295" t="n"/>
      <c r="T308" s="295" t="n"/>
      <c r="U308" s="285" t="n"/>
      <c r="V308" s="295" t="n"/>
      <c r="W308" s="282" t="n"/>
      <c r="X308" s="295" t="n"/>
      <c r="Y308" s="295" t="n"/>
      <c r="Z308" s="295" t="n"/>
      <c r="AA308" s="295" t="n"/>
      <c r="AB308" s="285" t="n"/>
      <c r="AC308" s="295" t="n"/>
      <c r="AD308" s="295" t="n"/>
      <c r="AE308" s="286" t="n"/>
    </row>
    <row r="309">
      <c r="B309" s="287" t="n"/>
      <c r="C309" s="288" t="n"/>
      <c r="D309" s="295" t="n"/>
      <c r="E309" s="295" t="n"/>
      <c r="F309" s="295" t="n"/>
      <c r="G309" s="290" t="n"/>
      <c r="H309" s="295" t="n"/>
      <c r="I309" s="295" t="n"/>
      <c r="J309" s="290" t="n"/>
      <c r="K309" s="347" t="n"/>
      <c r="L309" s="295" t="n"/>
      <c r="M309" s="348" t="n"/>
      <c r="N309" s="295" t="n"/>
      <c r="O309" s="293" t="n"/>
      <c r="P309" s="295" t="n"/>
      <c r="Q309" s="295" t="n"/>
      <c r="R309" s="290" t="n"/>
      <c r="S309" s="295" t="n"/>
      <c r="T309" s="295" t="n"/>
      <c r="U309" s="293" t="n"/>
      <c r="V309" s="295" t="n"/>
      <c r="W309" s="290" t="n"/>
      <c r="X309" s="295" t="n"/>
      <c r="Y309" s="295" t="n"/>
      <c r="Z309" s="295" t="n"/>
      <c r="AA309" s="295" t="n"/>
      <c r="AB309" s="293" t="n"/>
      <c r="AC309" s="295" t="n"/>
      <c r="AD309" s="295" t="n"/>
      <c r="AE309" s="294" t="n"/>
    </row>
    <row r="310">
      <c r="B310" s="279" t="n"/>
      <c r="C310" s="280" t="n"/>
      <c r="D310" s="295" t="n"/>
      <c r="E310" s="295" t="n"/>
      <c r="F310" s="295" t="n"/>
      <c r="G310" s="282" t="n"/>
      <c r="H310" s="295" t="n"/>
      <c r="I310" s="295" t="n"/>
      <c r="J310" s="282" t="n"/>
      <c r="K310" s="345" t="n"/>
      <c r="L310" s="295" t="n"/>
      <c r="M310" s="346" t="n"/>
      <c r="N310" s="295" t="n"/>
      <c r="O310" s="285" t="n"/>
      <c r="P310" s="295" t="n"/>
      <c r="Q310" s="295" t="n"/>
      <c r="R310" s="282" t="n"/>
      <c r="S310" s="295" t="n"/>
      <c r="T310" s="295" t="n"/>
      <c r="U310" s="285" t="n"/>
      <c r="V310" s="295" t="n"/>
      <c r="W310" s="282" t="n"/>
      <c r="X310" s="295" t="n"/>
      <c r="Y310" s="295" t="n"/>
      <c r="Z310" s="295" t="n"/>
      <c r="AA310" s="295" t="n"/>
      <c r="AB310" s="285" t="n"/>
      <c r="AC310" s="295" t="n"/>
      <c r="AD310" s="295" t="n"/>
      <c r="AE310" s="286" t="n"/>
    </row>
    <row r="311">
      <c r="B311" s="287" t="n"/>
      <c r="C311" s="288" t="n"/>
      <c r="D311" s="295" t="n"/>
      <c r="E311" s="295" t="n"/>
      <c r="F311" s="295" t="n"/>
      <c r="G311" s="290" t="n"/>
      <c r="H311" s="295" t="n"/>
      <c r="I311" s="295" t="n"/>
      <c r="J311" s="290" t="n"/>
      <c r="K311" s="347" t="n"/>
      <c r="L311" s="295" t="n"/>
      <c r="M311" s="348" t="n"/>
      <c r="N311" s="295" t="n"/>
      <c r="O311" s="293" t="n"/>
      <c r="P311" s="295" t="n"/>
      <c r="Q311" s="295" t="n"/>
      <c r="R311" s="290" t="n"/>
      <c r="S311" s="295" t="n"/>
      <c r="T311" s="295" t="n"/>
      <c r="U311" s="293" t="n"/>
      <c r="V311" s="295" t="n"/>
      <c r="W311" s="290" t="n"/>
      <c r="X311" s="295" t="n"/>
      <c r="Y311" s="295" t="n"/>
      <c r="Z311" s="295" t="n"/>
      <c r="AA311" s="295" t="n"/>
      <c r="AB311" s="293" t="n"/>
      <c r="AC311" s="295" t="n"/>
      <c r="AD311" s="295" t="n"/>
      <c r="AE311" s="294" t="n"/>
    </row>
    <row r="312">
      <c r="B312" s="279" t="n"/>
      <c r="C312" s="280" t="n"/>
      <c r="D312" s="295" t="n"/>
      <c r="E312" s="295" t="n"/>
      <c r="F312" s="295" t="n"/>
      <c r="G312" s="282" t="n"/>
      <c r="H312" s="295" t="n"/>
      <c r="I312" s="295" t="n"/>
      <c r="J312" s="282" t="n"/>
      <c r="K312" s="345" t="n"/>
      <c r="L312" s="295" t="n"/>
      <c r="M312" s="346" t="n"/>
      <c r="N312" s="295" t="n"/>
      <c r="O312" s="285" t="n"/>
      <c r="P312" s="295" t="n"/>
      <c r="Q312" s="295" t="n"/>
      <c r="R312" s="282" t="n"/>
      <c r="S312" s="295" t="n"/>
      <c r="T312" s="295" t="n"/>
      <c r="U312" s="285" t="n"/>
      <c r="V312" s="295" t="n"/>
      <c r="W312" s="282" t="n"/>
      <c r="X312" s="295" t="n"/>
      <c r="Y312" s="295" t="n"/>
      <c r="Z312" s="295" t="n"/>
      <c r="AA312" s="295" t="n"/>
      <c r="AB312" s="285" t="n"/>
      <c r="AC312" s="295" t="n"/>
      <c r="AD312" s="295" t="n"/>
      <c r="AE312" s="286" t="n"/>
    </row>
    <row r="313">
      <c r="B313" s="287" t="n"/>
      <c r="C313" s="288" t="n"/>
      <c r="D313" s="295" t="n"/>
      <c r="E313" s="295" t="n"/>
      <c r="F313" s="295" t="n"/>
      <c r="G313" s="290" t="n"/>
      <c r="H313" s="295" t="n"/>
      <c r="I313" s="295" t="n"/>
      <c r="J313" s="290" t="n"/>
      <c r="K313" s="347" t="n"/>
      <c r="L313" s="295" t="n"/>
      <c r="M313" s="348" t="n"/>
      <c r="N313" s="295" t="n"/>
      <c r="O313" s="293" t="n"/>
      <c r="P313" s="295" t="n"/>
      <c r="Q313" s="295" t="n"/>
      <c r="R313" s="290" t="n"/>
      <c r="S313" s="295" t="n"/>
      <c r="T313" s="295" t="n"/>
      <c r="U313" s="293" t="n"/>
      <c r="V313" s="295" t="n"/>
      <c r="W313" s="290" t="n"/>
      <c r="X313" s="295" t="n"/>
      <c r="Y313" s="295" t="n"/>
      <c r="Z313" s="295" t="n"/>
      <c r="AA313" s="295" t="n"/>
      <c r="AB313" s="293" t="n"/>
      <c r="AC313" s="295" t="n"/>
      <c r="AD313" s="295" t="n"/>
      <c r="AE313" s="294" t="n"/>
    </row>
    <row r="314">
      <c r="B314" s="279" t="n"/>
      <c r="C314" s="280" t="n"/>
      <c r="D314" s="295" t="n"/>
      <c r="E314" s="295" t="n"/>
      <c r="F314" s="295" t="n"/>
      <c r="G314" s="282" t="n"/>
      <c r="H314" s="295" t="n"/>
      <c r="I314" s="295" t="n"/>
      <c r="J314" s="282" t="n"/>
      <c r="K314" s="345" t="n"/>
      <c r="L314" s="295" t="n"/>
      <c r="M314" s="346" t="n"/>
      <c r="N314" s="295" t="n"/>
      <c r="O314" s="285" t="n"/>
      <c r="P314" s="295" t="n"/>
      <c r="Q314" s="295" t="n"/>
      <c r="R314" s="282" t="n"/>
      <c r="S314" s="295" t="n"/>
      <c r="T314" s="295" t="n"/>
      <c r="U314" s="285" t="n"/>
      <c r="V314" s="295" t="n"/>
      <c r="W314" s="282" t="n"/>
      <c r="X314" s="295" t="n"/>
      <c r="Y314" s="295" t="n"/>
      <c r="Z314" s="295" t="n"/>
      <c r="AA314" s="295" t="n"/>
      <c r="AB314" s="285" t="n"/>
      <c r="AC314" s="295" t="n"/>
      <c r="AD314" s="295" t="n"/>
      <c r="AE314" s="286" t="n"/>
    </row>
    <row r="315">
      <c r="B315" s="287" t="n"/>
      <c r="C315" s="288" t="n"/>
      <c r="D315" s="295" t="n"/>
      <c r="E315" s="295" t="n"/>
      <c r="F315" s="295" t="n"/>
      <c r="G315" s="290" t="n"/>
      <c r="H315" s="295" t="n"/>
      <c r="I315" s="295" t="n"/>
      <c r="J315" s="290" t="n"/>
      <c r="K315" s="347" t="n"/>
      <c r="L315" s="295" t="n"/>
      <c r="M315" s="348" t="n"/>
      <c r="N315" s="295" t="n"/>
      <c r="O315" s="293" t="n"/>
      <c r="P315" s="295" t="n"/>
      <c r="Q315" s="295" t="n"/>
      <c r="R315" s="290" t="n"/>
      <c r="S315" s="295" t="n"/>
      <c r="T315" s="295" t="n"/>
      <c r="U315" s="293" t="n"/>
      <c r="V315" s="295" t="n"/>
      <c r="W315" s="290" t="n"/>
      <c r="X315" s="295" t="n"/>
      <c r="Y315" s="295" t="n"/>
      <c r="Z315" s="295" t="n"/>
      <c r="AA315" s="295" t="n"/>
      <c r="AB315" s="293" t="n"/>
      <c r="AC315" s="295" t="n"/>
      <c r="AD315" s="295" t="n"/>
      <c r="AE315" s="294" t="n"/>
    </row>
    <row r="316">
      <c r="B316" s="279" t="n"/>
      <c r="C316" s="280" t="n"/>
      <c r="D316" s="295" t="n"/>
      <c r="E316" s="295" t="n"/>
      <c r="F316" s="295" t="n"/>
      <c r="G316" s="282" t="n"/>
      <c r="H316" s="295" t="n"/>
      <c r="I316" s="295" t="n"/>
      <c r="J316" s="282" t="n"/>
      <c r="K316" s="345" t="n"/>
      <c r="L316" s="295" t="n"/>
      <c r="M316" s="346" t="n"/>
      <c r="N316" s="295" t="n"/>
      <c r="O316" s="285" t="n"/>
      <c r="P316" s="295" t="n"/>
      <c r="Q316" s="295" t="n"/>
      <c r="R316" s="282" t="n"/>
      <c r="S316" s="295" t="n"/>
      <c r="T316" s="295" t="n"/>
      <c r="U316" s="285" t="n"/>
      <c r="V316" s="295" t="n"/>
      <c r="W316" s="282" t="n"/>
      <c r="X316" s="295" t="n"/>
      <c r="Y316" s="295" t="n"/>
      <c r="Z316" s="295" t="n"/>
      <c r="AA316" s="295" t="n"/>
      <c r="AB316" s="285" t="n"/>
      <c r="AC316" s="295" t="n"/>
      <c r="AD316" s="295" t="n"/>
      <c r="AE316" s="286" t="n"/>
    </row>
    <row r="317">
      <c r="B317" s="287" t="n"/>
      <c r="C317" s="288" t="n"/>
      <c r="D317" s="295" t="n"/>
      <c r="E317" s="295" t="n"/>
      <c r="F317" s="295" t="n"/>
      <c r="G317" s="290" t="n"/>
      <c r="H317" s="295" t="n"/>
      <c r="I317" s="295" t="n"/>
      <c r="J317" s="290" t="n"/>
      <c r="K317" s="347" t="n"/>
      <c r="L317" s="295" t="n"/>
      <c r="M317" s="348" t="n"/>
      <c r="N317" s="295" t="n"/>
      <c r="O317" s="293" t="n"/>
      <c r="P317" s="295" t="n"/>
      <c r="Q317" s="295" t="n"/>
      <c r="R317" s="290" t="n"/>
      <c r="S317" s="295" t="n"/>
      <c r="T317" s="295" t="n"/>
      <c r="U317" s="293" t="n"/>
      <c r="V317" s="295" t="n"/>
      <c r="W317" s="290" t="n"/>
      <c r="X317" s="295" t="n"/>
      <c r="Y317" s="295" t="n"/>
      <c r="Z317" s="295" t="n"/>
      <c r="AA317" s="295" t="n"/>
      <c r="AB317" s="293" t="n"/>
      <c r="AC317" s="295" t="n"/>
      <c r="AD317" s="295" t="n"/>
      <c r="AE317" s="294" t="n"/>
    </row>
    <row r="318">
      <c r="B318" s="279" t="n"/>
      <c r="C318" s="280" t="n"/>
      <c r="D318" s="295" t="n"/>
      <c r="E318" s="295" t="n"/>
      <c r="F318" s="295" t="n"/>
      <c r="G318" s="282" t="n"/>
      <c r="H318" s="295" t="n"/>
      <c r="I318" s="295" t="n"/>
      <c r="J318" s="282" t="n"/>
      <c r="K318" s="345" t="n"/>
      <c r="L318" s="295" t="n"/>
      <c r="M318" s="346" t="n"/>
      <c r="N318" s="295" t="n"/>
      <c r="O318" s="285" t="n"/>
      <c r="P318" s="295" t="n"/>
      <c r="Q318" s="295" t="n"/>
      <c r="R318" s="282" t="n"/>
      <c r="S318" s="295" t="n"/>
      <c r="T318" s="295" t="n"/>
      <c r="U318" s="285" t="n"/>
      <c r="V318" s="295" t="n"/>
      <c r="W318" s="282" t="n"/>
      <c r="X318" s="295" t="n"/>
      <c r="Y318" s="295" t="n"/>
      <c r="Z318" s="295" t="n"/>
      <c r="AA318" s="295" t="n"/>
      <c r="AB318" s="285" t="n"/>
      <c r="AC318" s="295" t="n"/>
      <c r="AD318" s="295" t="n"/>
      <c r="AE318" s="286" t="n"/>
    </row>
    <row r="319">
      <c r="B319" s="287" t="n"/>
      <c r="C319" s="288" t="n"/>
      <c r="D319" s="295" t="n"/>
      <c r="E319" s="295" t="n"/>
      <c r="F319" s="295" t="n"/>
      <c r="G319" s="290" t="n"/>
      <c r="H319" s="295" t="n"/>
      <c r="I319" s="295" t="n"/>
      <c r="J319" s="290" t="n"/>
      <c r="K319" s="347" t="n"/>
      <c r="L319" s="295" t="n"/>
      <c r="M319" s="348" t="n"/>
      <c r="N319" s="295" t="n"/>
      <c r="O319" s="293" t="n"/>
      <c r="P319" s="295" t="n"/>
      <c r="Q319" s="295" t="n"/>
      <c r="R319" s="290" t="n"/>
      <c r="S319" s="295" t="n"/>
      <c r="T319" s="295" t="n"/>
      <c r="U319" s="293" t="n"/>
      <c r="V319" s="295" t="n"/>
      <c r="W319" s="290" t="n"/>
      <c r="X319" s="295" t="n"/>
      <c r="Y319" s="295" t="n"/>
      <c r="Z319" s="295" t="n"/>
      <c r="AA319" s="295" t="n"/>
      <c r="AB319" s="293" t="n"/>
      <c r="AC319" s="295" t="n"/>
      <c r="AD319" s="295" t="n"/>
      <c r="AE319" s="294" t="n"/>
    </row>
    <row r="320">
      <c r="B320" s="279" t="n"/>
      <c r="C320" s="280" t="n"/>
      <c r="D320" s="295" t="n"/>
      <c r="E320" s="295" t="n"/>
      <c r="F320" s="295" t="n"/>
      <c r="G320" s="282" t="n"/>
      <c r="H320" s="295" t="n"/>
      <c r="I320" s="295" t="n"/>
      <c r="J320" s="282" t="n"/>
      <c r="K320" s="345" t="n"/>
      <c r="L320" s="295" t="n"/>
      <c r="M320" s="346" t="n"/>
      <c r="N320" s="295" t="n"/>
      <c r="O320" s="285" t="n"/>
      <c r="P320" s="295" t="n"/>
      <c r="Q320" s="295" t="n"/>
      <c r="R320" s="282" t="n"/>
      <c r="S320" s="295" t="n"/>
      <c r="T320" s="295" t="n"/>
      <c r="U320" s="285" t="n"/>
      <c r="V320" s="295" t="n"/>
      <c r="W320" s="282" t="n"/>
      <c r="X320" s="295" t="n"/>
      <c r="Y320" s="295" t="n"/>
      <c r="Z320" s="295" t="n"/>
      <c r="AA320" s="295" t="n"/>
      <c r="AB320" s="285" t="n"/>
      <c r="AC320" s="295" t="n"/>
      <c r="AD320" s="295" t="n"/>
      <c r="AE320" s="286" t="n"/>
    </row>
    <row r="321">
      <c r="B321" s="287" t="n"/>
      <c r="C321" s="288" t="n"/>
      <c r="D321" s="295" t="n"/>
      <c r="E321" s="295" t="n"/>
      <c r="F321" s="295" t="n"/>
      <c r="G321" s="290" t="n"/>
      <c r="H321" s="295" t="n"/>
      <c r="I321" s="295" t="n"/>
      <c r="J321" s="290" t="n"/>
      <c r="K321" s="347" t="n"/>
      <c r="L321" s="295" t="n"/>
      <c r="M321" s="348" t="n"/>
      <c r="N321" s="295" t="n"/>
      <c r="O321" s="293" t="n"/>
      <c r="P321" s="295" t="n"/>
      <c r="Q321" s="295" t="n"/>
      <c r="R321" s="290" t="n"/>
      <c r="S321" s="295" t="n"/>
      <c r="T321" s="295" t="n"/>
      <c r="U321" s="293" t="n"/>
      <c r="V321" s="295" t="n"/>
      <c r="W321" s="290" t="n"/>
      <c r="X321" s="295" t="n"/>
      <c r="Y321" s="295" t="n"/>
      <c r="Z321" s="295" t="n"/>
      <c r="AA321" s="295" t="n"/>
      <c r="AB321" s="293" t="n"/>
      <c r="AC321" s="295" t="n"/>
      <c r="AD321" s="295" t="n"/>
      <c r="AE321" s="294" t="n"/>
    </row>
    <row r="322">
      <c r="B322" s="279" t="n"/>
      <c r="C322" s="280" t="n"/>
      <c r="D322" s="295" t="n"/>
      <c r="E322" s="295" t="n"/>
      <c r="F322" s="295" t="n"/>
      <c r="G322" s="282" t="n"/>
      <c r="H322" s="295" t="n"/>
      <c r="I322" s="295" t="n"/>
      <c r="J322" s="282" t="n"/>
      <c r="K322" s="345" t="n"/>
      <c r="L322" s="295" t="n"/>
      <c r="M322" s="346" t="n"/>
      <c r="N322" s="295" t="n"/>
      <c r="O322" s="285" t="n"/>
      <c r="P322" s="295" t="n"/>
      <c r="Q322" s="295" t="n"/>
      <c r="R322" s="282" t="n"/>
      <c r="S322" s="295" t="n"/>
      <c r="T322" s="295" t="n"/>
      <c r="U322" s="285" t="n"/>
      <c r="V322" s="295" t="n"/>
      <c r="W322" s="282" t="n"/>
      <c r="X322" s="295" t="n"/>
      <c r="Y322" s="295" t="n"/>
      <c r="Z322" s="295" t="n"/>
      <c r="AA322" s="295" t="n"/>
      <c r="AB322" s="285" t="n"/>
      <c r="AC322" s="295" t="n"/>
      <c r="AD322" s="295" t="n"/>
      <c r="AE322" s="286" t="n"/>
    </row>
    <row r="323">
      <c r="B323" s="287" t="n"/>
      <c r="C323" s="288" t="n"/>
      <c r="D323" s="295" t="n"/>
      <c r="E323" s="295" t="n"/>
      <c r="F323" s="295" t="n"/>
      <c r="G323" s="290" t="n"/>
      <c r="H323" s="295" t="n"/>
      <c r="I323" s="295" t="n"/>
      <c r="J323" s="290" t="n"/>
      <c r="K323" s="347" t="n"/>
      <c r="L323" s="295" t="n"/>
      <c r="M323" s="348" t="n"/>
      <c r="N323" s="295" t="n"/>
      <c r="O323" s="293" t="n"/>
      <c r="P323" s="295" t="n"/>
      <c r="Q323" s="295" t="n"/>
      <c r="R323" s="290" t="n"/>
      <c r="S323" s="295" t="n"/>
      <c r="T323" s="295" t="n"/>
      <c r="U323" s="293" t="n"/>
      <c r="V323" s="295" t="n"/>
      <c r="W323" s="290" t="n"/>
      <c r="X323" s="295" t="n"/>
      <c r="Y323" s="295" t="n"/>
      <c r="Z323" s="295" t="n"/>
      <c r="AA323" s="295" t="n"/>
      <c r="AB323" s="293" t="n"/>
      <c r="AC323" s="295" t="n"/>
      <c r="AD323" s="295" t="n"/>
      <c r="AE323" s="294" t="n"/>
    </row>
    <row r="324">
      <c r="B324" s="279" t="n"/>
      <c r="C324" s="280" t="n"/>
      <c r="D324" s="295" t="n"/>
      <c r="E324" s="295" t="n"/>
      <c r="F324" s="295" t="n"/>
      <c r="G324" s="282" t="n"/>
      <c r="H324" s="295" t="n"/>
      <c r="I324" s="295" t="n"/>
      <c r="J324" s="282" t="n"/>
      <c r="K324" s="345" t="n"/>
      <c r="L324" s="295" t="n"/>
      <c r="M324" s="346" t="n"/>
      <c r="N324" s="295" t="n"/>
      <c r="O324" s="285" t="n"/>
      <c r="P324" s="295" t="n"/>
      <c r="Q324" s="295" t="n"/>
      <c r="R324" s="282" t="n"/>
      <c r="S324" s="295" t="n"/>
      <c r="T324" s="295" t="n"/>
      <c r="U324" s="285" t="n"/>
      <c r="V324" s="295" t="n"/>
      <c r="W324" s="282" t="n"/>
      <c r="X324" s="295" t="n"/>
      <c r="Y324" s="295" t="n"/>
      <c r="Z324" s="295" t="n"/>
      <c r="AA324" s="295" t="n"/>
      <c r="AB324" s="285" t="n"/>
      <c r="AC324" s="295" t="n"/>
      <c r="AD324" s="295" t="n"/>
      <c r="AE324" s="286" t="n"/>
    </row>
    <row r="325">
      <c r="B325" s="287" t="n"/>
      <c r="C325" s="288" t="n"/>
      <c r="D325" s="295" t="n"/>
      <c r="E325" s="295" t="n"/>
      <c r="F325" s="295" t="n"/>
      <c r="G325" s="290" t="n"/>
      <c r="H325" s="295" t="n"/>
      <c r="I325" s="295" t="n"/>
      <c r="J325" s="290" t="n"/>
      <c r="K325" s="347" t="n"/>
      <c r="L325" s="295" t="n"/>
      <c r="M325" s="348" t="n"/>
      <c r="N325" s="295" t="n"/>
      <c r="O325" s="293" t="n"/>
      <c r="P325" s="295" t="n"/>
      <c r="Q325" s="295" t="n"/>
      <c r="R325" s="290" t="n"/>
      <c r="S325" s="295" t="n"/>
      <c r="T325" s="295" t="n"/>
      <c r="U325" s="293" t="n"/>
      <c r="V325" s="295" t="n"/>
      <c r="W325" s="290" t="n"/>
      <c r="X325" s="295" t="n"/>
      <c r="Y325" s="295" t="n"/>
      <c r="Z325" s="295" t="n"/>
      <c r="AA325" s="295" t="n"/>
      <c r="AB325" s="293" t="n"/>
      <c r="AC325" s="295" t="n"/>
      <c r="AD325" s="295" t="n"/>
      <c r="AE325" s="294" t="n"/>
    </row>
    <row r="326">
      <c r="B326" s="279" t="n"/>
      <c r="C326" s="280" t="n"/>
      <c r="D326" s="295" t="n"/>
      <c r="E326" s="295" t="n"/>
      <c r="F326" s="295" t="n"/>
      <c r="G326" s="282" t="n"/>
      <c r="H326" s="295" t="n"/>
      <c r="I326" s="295" t="n"/>
      <c r="J326" s="282" t="n"/>
      <c r="K326" s="345" t="n"/>
      <c r="L326" s="295" t="n"/>
      <c r="M326" s="346" t="n"/>
      <c r="N326" s="295" t="n"/>
      <c r="O326" s="285" t="n"/>
      <c r="P326" s="295" t="n"/>
      <c r="Q326" s="295" t="n"/>
      <c r="R326" s="282" t="n"/>
      <c r="S326" s="295" t="n"/>
      <c r="T326" s="295" t="n"/>
      <c r="U326" s="285" t="n"/>
      <c r="V326" s="295" t="n"/>
      <c r="W326" s="282" t="n"/>
      <c r="X326" s="295" t="n"/>
      <c r="Y326" s="295" t="n"/>
      <c r="Z326" s="295" t="n"/>
      <c r="AA326" s="295" t="n"/>
      <c r="AB326" s="285" t="n"/>
      <c r="AC326" s="295" t="n"/>
      <c r="AD326" s="295" t="n"/>
      <c r="AE326" s="286" t="n"/>
    </row>
    <row r="327">
      <c r="B327" s="287" t="n"/>
      <c r="C327" s="288" t="n"/>
      <c r="D327" s="295" t="n"/>
      <c r="E327" s="295" t="n"/>
      <c r="F327" s="295" t="n"/>
      <c r="G327" s="290" t="n"/>
      <c r="H327" s="295" t="n"/>
      <c r="I327" s="295" t="n"/>
      <c r="J327" s="290" t="n"/>
      <c r="K327" s="347" t="n"/>
      <c r="L327" s="295" t="n"/>
      <c r="M327" s="348" t="n"/>
      <c r="N327" s="295" t="n"/>
      <c r="O327" s="293" t="n"/>
      <c r="P327" s="295" t="n"/>
      <c r="Q327" s="295" t="n"/>
      <c r="R327" s="290" t="n"/>
      <c r="S327" s="295" t="n"/>
      <c r="T327" s="295" t="n"/>
      <c r="U327" s="293" t="n"/>
      <c r="V327" s="295" t="n"/>
      <c r="W327" s="290" t="n"/>
      <c r="X327" s="295" t="n"/>
      <c r="Y327" s="295" t="n"/>
      <c r="Z327" s="295" t="n"/>
      <c r="AA327" s="295" t="n"/>
      <c r="AB327" s="293" t="n"/>
      <c r="AC327" s="295" t="n"/>
      <c r="AD327" s="295" t="n"/>
      <c r="AE327" s="294" t="n"/>
    </row>
    <row r="328">
      <c r="B328" s="279" t="n"/>
      <c r="C328" s="280" t="n"/>
      <c r="D328" s="295" t="n"/>
      <c r="E328" s="295" t="n"/>
      <c r="F328" s="295" t="n"/>
      <c r="G328" s="282" t="n"/>
      <c r="H328" s="295" t="n"/>
      <c r="I328" s="295" t="n"/>
      <c r="J328" s="282" t="n"/>
      <c r="K328" s="345" t="n"/>
      <c r="L328" s="295" t="n"/>
      <c r="M328" s="346" t="n"/>
      <c r="N328" s="295" t="n"/>
      <c r="O328" s="285" t="n"/>
      <c r="P328" s="295" t="n"/>
      <c r="Q328" s="295" t="n"/>
      <c r="R328" s="282" t="n"/>
      <c r="S328" s="295" t="n"/>
      <c r="T328" s="295" t="n"/>
      <c r="U328" s="285" t="n"/>
      <c r="V328" s="295" t="n"/>
      <c r="W328" s="282" t="n"/>
      <c r="X328" s="295" t="n"/>
      <c r="Y328" s="295" t="n"/>
      <c r="Z328" s="295" t="n"/>
      <c r="AA328" s="295" t="n"/>
      <c r="AB328" s="285" t="n"/>
      <c r="AC328" s="295" t="n"/>
      <c r="AD328" s="295" t="n"/>
      <c r="AE328" s="286" t="n"/>
    </row>
    <row r="329">
      <c r="B329" s="287" t="n"/>
      <c r="C329" s="288" t="n"/>
      <c r="D329" s="295" t="n"/>
      <c r="E329" s="295" t="n"/>
      <c r="F329" s="295" t="n"/>
      <c r="G329" s="290" t="n"/>
      <c r="H329" s="295" t="n"/>
      <c r="I329" s="295" t="n"/>
      <c r="J329" s="290" t="n"/>
      <c r="K329" s="347" t="n"/>
      <c r="L329" s="295" t="n"/>
      <c r="M329" s="348" t="n"/>
      <c r="N329" s="295" t="n"/>
      <c r="O329" s="293" t="n"/>
      <c r="P329" s="295" t="n"/>
      <c r="Q329" s="295" t="n"/>
      <c r="R329" s="290" t="n"/>
      <c r="S329" s="295" t="n"/>
      <c r="T329" s="295" t="n"/>
      <c r="U329" s="293" t="n"/>
      <c r="V329" s="295" t="n"/>
      <c r="W329" s="290" t="n"/>
      <c r="X329" s="295" t="n"/>
      <c r="Y329" s="295" t="n"/>
      <c r="Z329" s="295" t="n"/>
      <c r="AA329" s="295" t="n"/>
      <c r="AB329" s="293" t="n"/>
      <c r="AC329" s="295" t="n"/>
      <c r="AD329" s="295" t="n"/>
      <c r="AE329" s="294" t="n"/>
    </row>
    <row r="330">
      <c r="B330" s="279" t="n"/>
      <c r="C330" s="280" t="n"/>
      <c r="D330" s="295" t="n"/>
      <c r="E330" s="295" t="n"/>
      <c r="F330" s="295" t="n"/>
      <c r="G330" s="282" t="n"/>
      <c r="H330" s="295" t="n"/>
      <c r="I330" s="295" t="n"/>
      <c r="J330" s="282" t="n"/>
      <c r="K330" s="345" t="n"/>
      <c r="L330" s="295" t="n"/>
      <c r="M330" s="346" t="n"/>
      <c r="N330" s="295" t="n"/>
      <c r="O330" s="285" t="n"/>
      <c r="P330" s="295" t="n"/>
      <c r="Q330" s="295" t="n"/>
      <c r="R330" s="282" t="n"/>
      <c r="S330" s="295" t="n"/>
      <c r="T330" s="295" t="n"/>
      <c r="U330" s="285" t="n"/>
      <c r="V330" s="295" t="n"/>
      <c r="W330" s="282" t="n"/>
      <c r="X330" s="295" t="n"/>
      <c r="Y330" s="295" t="n"/>
      <c r="Z330" s="295" t="n"/>
      <c r="AA330" s="295" t="n"/>
      <c r="AB330" s="285" t="n"/>
      <c r="AC330" s="295" t="n"/>
      <c r="AD330" s="295" t="n"/>
      <c r="AE330" s="286" t="n"/>
    </row>
    <row r="331">
      <c r="B331" s="287" t="n"/>
      <c r="C331" s="288" t="n"/>
      <c r="D331" s="295" t="n"/>
      <c r="E331" s="295" t="n"/>
      <c r="F331" s="295" t="n"/>
      <c r="G331" s="290" t="n"/>
      <c r="H331" s="295" t="n"/>
      <c r="I331" s="295" t="n"/>
      <c r="J331" s="290" t="n"/>
      <c r="K331" s="347" t="n"/>
      <c r="L331" s="295" t="n"/>
      <c r="M331" s="348" t="n"/>
      <c r="N331" s="295" t="n"/>
      <c r="O331" s="293" t="n"/>
      <c r="P331" s="295" t="n"/>
      <c r="Q331" s="295" t="n"/>
      <c r="R331" s="290" t="n"/>
      <c r="S331" s="295" t="n"/>
      <c r="T331" s="295" t="n"/>
      <c r="U331" s="293" t="n"/>
      <c r="V331" s="295" t="n"/>
      <c r="W331" s="290" t="n"/>
      <c r="X331" s="295" t="n"/>
      <c r="Y331" s="295" t="n"/>
      <c r="Z331" s="295" t="n"/>
      <c r="AA331" s="295" t="n"/>
      <c r="AB331" s="293" t="n"/>
      <c r="AC331" s="295" t="n"/>
      <c r="AD331" s="295" t="n"/>
      <c r="AE331" s="294" t="n"/>
    </row>
    <row r="332">
      <c r="B332" s="279" t="n"/>
      <c r="C332" s="280" t="n"/>
      <c r="D332" s="295" t="n"/>
      <c r="E332" s="295" t="n"/>
      <c r="F332" s="295" t="n"/>
      <c r="G332" s="282" t="n"/>
      <c r="H332" s="295" t="n"/>
      <c r="I332" s="295" t="n"/>
      <c r="J332" s="282" t="n"/>
      <c r="K332" s="345" t="n"/>
      <c r="L332" s="295" t="n"/>
      <c r="M332" s="346" t="n"/>
      <c r="N332" s="295" t="n"/>
      <c r="O332" s="285" t="n"/>
      <c r="P332" s="295" t="n"/>
      <c r="Q332" s="295" t="n"/>
      <c r="R332" s="282" t="n"/>
      <c r="S332" s="295" t="n"/>
      <c r="T332" s="295" t="n"/>
      <c r="U332" s="285" t="n"/>
      <c r="V332" s="295" t="n"/>
      <c r="W332" s="282" t="n"/>
      <c r="X332" s="295" t="n"/>
      <c r="Y332" s="295" t="n"/>
      <c r="Z332" s="295" t="n"/>
      <c r="AA332" s="295" t="n"/>
      <c r="AB332" s="285" t="n"/>
      <c r="AC332" s="295" t="n"/>
      <c r="AD332" s="295" t="n"/>
      <c r="AE332" s="286" t="n"/>
    </row>
    <row r="333">
      <c r="B333" s="287" t="n"/>
      <c r="C333" s="288" t="n"/>
      <c r="D333" s="295" t="n"/>
      <c r="E333" s="295" t="n"/>
      <c r="F333" s="295" t="n"/>
      <c r="G333" s="290" t="n"/>
      <c r="H333" s="295" t="n"/>
      <c r="I333" s="295" t="n"/>
      <c r="J333" s="290" t="n"/>
      <c r="K333" s="347" t="n"/>
      <c r="L333" s="295" t="n"/>
      <c r="M333" s="348" t="n"/>
      <c r="N333" s="295" t="n"/>
      <c r="O333" s="293" t="n"/>
      <c r="P333" s="295" t="n"/>
      <c r="Q333" s="295" t="n"/>
      <c r="R333" s="290" t="n"/>
      <c r="S333" s="295" t="n"/>
      <c r="T333" s="295" t="n"/>
      <c r="U333" s="293" t="n"/>
      <c r="V333" s="295" t="n"/>
      <c r="W333" s="290" t="n"/>
      <c r="X333" s="295" t="n"/>
      <c r="Y333" s="295" t="n"/>
      <c r="Z333" s="295" t="n"/>
      <c r="AA333" s="295" t="n"/>
      <c r="AB333" s="293" t="n"/>
      <c r="AC333" s="295" t="n"/>
      <c r="AD333" s="295" t="n"/>
      <c r="AE333" s="294" t="n"/>
    </row>
    <row r="334">
      <c r="B334" s="279" t="n"/>
      <c r="C334" s="280" t="n"/>
      <c r="D334" s="295" t="n"/>
      <c r="E334" s="295" t="n"/>
      <c r="F334" s="295" t="n"/>
      <c r="G334" s="282" t="n"/>
      <c r="H334" s="295" t="n"/>
      <c r="I334" s="295" t="n"/>
      <c r="J334" s="282" t="n"/>
      <c r="K334" s="345" t="n"/>
      <c r="L334" s="295" t="n"/>
      <c r="M334" s="346" t="n"/>
      <c r="N334" s="295" t="n"/>
      <c r="O334" s="285" t="n"/>
      <c r="P334" s="295" t="n"/>
      <c r="Q334" s="295" t="n"/>
      <c r="R334" s="282" t="n"/>
      <c r="S334" s="295" t="n"/>
      <c r="T334" s="295" t="n"/>
      <c r="U334" s="285" t="n"/>
      <c r="V334" s="295" t="n"/>
      <c r="W334" s="282" t="n"/>
      <c r="X334" s="295" t="n"/>
      <c r="Y334" s="295" t="n"/>
      <c r="Z334" s="295" t="n"/>
      <c r="AA334" s="295" t="n"/>
      <c r="AB334" s="285" t="n"/>
      <c r="AC334" s="295" t="n"/>
      <c r="AD334" s="295" t="n"/>
      <c r="AE334" s="286" t="n"/>
    </row>
    <row r="335">
      <c r="B335" s="287" t="n"/>
      <c r="C335" s="288" t="n"/>
      <c r="D335" s="295" t="n"/>
      <c r="E335" s="295" t="n"/>
      <c r="F335" s="295" t="n"/>
      <c r="G335" s="290" t="n"/>
      <c r="H335" s="295" t="n"/>
      <c r="I335" s="295" t="n"/>
      <c r="J335" s="290" t="n"/>
      <c r="K335" s="347" t="n"/>
      <c r="L335" s="295" t="n"/>
      <c r="M335" s="348" t="n"/>
      <c r="N335" s="295" t="n"/>
      <c r="O335" s="293" t="n"/>
      <c r="P335" s="295" t="n"/>
      <c r="Q335" s="295" t="n"/>
      <c r="R335" s="290" t="n"/>
      <c r="S335" s="295" t="n"/>
      <c r="T335" s="295" t="n"/>
      <c r="U335" s="293" t="n"/>
      <c r="V335" s="295" t="n"/>
      <c r="W335" s="290" t="n"/>
      <c r="X335" s="295" t="n"/>
      <c r="Y335" s="295" t="n"/>
      <c r="Z335" s="295" t="n"/>
      <c r="AA335" s="295" t="n"/>
      <c r="AB335" s="293" t="n"/>
      <c r="AC335" s="295" t="n"/>
      <c r="AD335" s="295" t="n"/>
      <c r="AE335" s="294" t="n"/>
    </row>
    <row r="336">
      <c r="B336" s="279" t="n"/>
      <c r="C336" s="280" t="n"/>
      <c r="D336" s="295" t="n"/>
      <c r="E336" s="295" t="n"/>
      <c r="F336" s="295" t="n"/>
      <c r="G336" s="282" t="n"/>
      <c r="H336" s="295" t="n"/>
      <c r="I336" s="295" t="n"/>
      <c r="J336" s="282" t="n"/>
      <c r="K336" s="345" t="n"/>
      <c r="L336" s="295" t="n"/>
      <c r="M336" s="346" t="n"/>
      <c r="N336" s="295" t="n"/>
      <c r="O336" s="285" t="n"/>
      <c r="P336" s="295" t="n"/>
      <c r="Q336" s="295" t="n"/>
      <c r="R336" s="282" t="n"/>
      <c r="S336" s="295" t="n"/>
      <c r="T336" s="295" t="n"/>
      <c r="U336" s="285" t="n"/>
      <c r="V336" s="295" t="n"/>
      <c r="W336" s="282" t="n"/>
      <c r="X336" s="295" t="n"/>
      <c r="Y336" s="295" t="n"/>
      <c r="Z336" s="295" t="n"/>
      <c r="AA336" s="295" t="n"/>
      <c r="AB336" s="285" t="n"/>
      <c r="AC336" s="295" t="n"/>
      <c r="AD336" s="295" t="n"/>
      <c r="AE336" s="286" t="n"/>
    </row>
    <row r="337">
      <c r="B337" s="287" t="n"/>
      <c r="C337" s="288" t="n"/>
      <c r="D337" s="295" t="n"/>
      <c r="E337" s="295" t="n"/>
      <c r="F337" s="295" t="n"/>
      <c r="G337" s="290" t="n"/>
      <c r="H337" s="295" t="n"/>
      <c r="I337" s="295" t="n"/>
      <c r="J337" s="290" t="n"/>
      <c r="K337" s="347" t="n"/>
      <c r="L337" s="295" t="n"/>
      <c r="M337" s="348" t="n"/>
      <c r="N337" s="295" t="n"/>
      <c r="O337" s="293" t="n"/>
      <c r="P337" s="295" t="n"/>
      <c r="Q337" s="295" t="n"/>
      <c r="R337" s="290" t="n"/>
      <c r="S337" s="295" t="n"/>
      <c r="T337" s="295" t="n"/>
      <c r="U337" s="293" t="n"/>
      <c r="V337" s="295" t="n"/>
      <c r="W337" s="290" t="n"/>
      <c r="X337" s="295" t="n"/>
      <c r="Y337" s="295" t="n"/>
      <c r="Z337" s="295" t="n"/>
      <c r="AA337" s="295" t="n"/>
      <c r="AB337" s="293" t="n"/>
      <c r="AC337" s="295" t="n"/>
      <c r="AD337" s="295" t="n"/>
      <c r="AE337" s="294" t="n"/>
    </row>
    <row r="338">
      <c r="B338" s="279" t="n"/>
      <c r="C338" s="280" t="n"/>
      <c r="D338" s="295" t="n"/>
      <c r="E338" s="295" t="n"/>
      <c r="F338" s="295" t="n"/>
      <c r="G338" s="282" t="n"/>
      <c r="H338" s="295" t="n"/>
      <c r="I338" s="295" t="n"/>
      <c r="J338" s="282" t="n"/>
      <c r="K338" s="345" t="n"/>
      <c r="L338" s="295" t="n"/>
      <c r="M338" s="346" t="n"/>
      <c r="N338" s="295" t="n"/>
      <c r="O338" s="285" t="n"/>
      <c r="P338" s="295" t="n"/>
      <c r="Q338" s="295" t="n"/>
      <c r="R338" s="282" t="n"/>
      <c r="S338" s="295" t="n"/>
      <c r="T338" s="295" t="n"/>
      <c r="U338" s="285" t="n"/>
      <c r="V338" s="295" t="n"/>
      <c r="W338" s="282" t="n"/>
      <c r="X338" s="295" t="n"/>
      <c r="Y338" s="295" t="n"/>
      <c r="Z338" s="295" t="n"/>
      <c r="AA338" s="295" t="n"/>
      <c r="AB338" s="285" t="n"/>
      <c r="AC338" s="295" t="n"/>
      <c r="AD338" s="295" t="n"/>
      <c r="AE338" s="286" t="n"/>
    </row>
    <row r="339">
      <c r="B339" s="287" t="n"/>
      <c r="C339" s="288" t="n"/>
      <c r="D339" s="295" t="n"/>
      <c r="E339" s="295" t="n"/>
      <c r="F339" s="295" t="n"/>
      <c r="G339" s="290" t="n"/>
      <c r="H339" s="295" t="n"/>
      <c r="I339" s="295" t="n"/>
      <c r="J339" s="290" t="n"/>
      <c r="K339" s="347" t="n"/>
      <c r="L339" s="295" t="n"/>
      <c r="M339" s="348" t="n"/>
      <c r="N339" s="295" t="n"/>
      <c r="O339" s="293" t="n"/>
      <c r="P339" s="295" t="n"/>
      <c r="Q339" s="295" t="n"/>
      <c r="R339" s="290" t="n"/>
      <c r="S339" s="295" t="n"/>
      <c r="T339" s="295" t="n"/>
      <c r="U339" s="293" t="n"/>
      <c r="V339" s="295" t="n"/>
      <c r="W339" s="290" t="n"/>
      <c r="X339" s="295" t="n"/>
      <c r="Y339" s="295" t="n"/>
      <c r="Z339" s="295" t="n"/>
      <c r="AA339" s="295" t="n"/>
      <c r="AB339" s="293" t="n"/>
      <c r="AC339" s="295" t="n"/>
      <c r="AD339" s="295" t="n"/>
      <c r="AE339" s="294" t="n"/>
    </row>
    <row r="340">
      <c r="B340" s="279" t="n"/>
      <c r="C340" s="280" t="n"/>
      <c r="D340" s="295" t="n"/>
      <c r="E340" s="295" t="n"/>
      <c r="F340" s="295" t="n"/>
      <c r="G340" s="282" t="n"/>
      <c r="H340" s="295" t="n"/>
      <c r="I340" s="295" t="n"/>
      <c r="J340" s="282" t="n"/>
      <c r="K340" s="345" t="n"/>
      <c r="L340" s="295" t="n"/>
      <c r="M340" s="346" t="n"/>
      <c r="N340" s="295" t="n"/>
      <c r="O340" s="285" t="n"/>
      <c r="P340" s="295" t="n"/>
      <c r="Q340" s="295" t="n"/>
      <c r="R340" s="282" t="n"/>
      <c r="S340" s="295" t="n"/>
      <c r="T340" s="295" t="n"/>
      <c r="U340" s="285" t="n"/>
      <c r="V340" s="295" t="n"/>
      <c r="W340" s="282" t="n"/>
      <c r="X340" s="295" t="n"/>
      <c r="Y340" s="295" t="n"/>
      <c r="Z340" s="295" t="n"/>
      <c r="AA340" s="295" t="n"/>
      <c r="AB340" s="285" t="n"/>
      <c r="AC340" s="295" t="n"/>
      <c r="AD340" s="295" t="n"/>
      <c r="AE340" s="286" t="n"/>
    </row>
    <row r="341">
      <c r="B341" s="287" t="n"/>
      <c r="C341" s="288" t="n"/>
      <c r="D341" s="295" t="n"/>
      <c r="E341" s="295" t="n"/>
      <c r="F341" s="295" t="n"/>
      <c r="G341" s="290" t="n"/>
      <c r="H341" s="295" t="n"/>
      <c r="I341" s="295" t="n"/>
      <c r="J341" s="290" t="n"/>
      <c r="K341" s="347" t="n"/>
      <c r="L341" s="295" t="n"/>
      <c r="M341" s="348" t="n"/>
      <c r="N341" s="295" t="n"/>
      <c r="O341" s="293" t="n"/>
      <c r="P341" s="295" t="n"/>
      <c r="Q341" s="295" t="n"/>
      <c r="R341" s="290" t="n"/>
      <c r="S341" s="295" t="n"/>
      <c r="T341" s="295" t="n"/>
      <c r="U341" s="293" t="n"/>
      <c r="V341" s="295" t="n"/>
      <c r="W341" s="290" t="n"/>
      <c r="X341" s="295" t="n"/>
      <c r="Y341" s="295" t="n"/>
      <c r="Z341" s="295" t="n"/>
      <c r="AA341" s="295" t="n"/>
      <c r="AB341" s="293" t="n"/>
      <c r="AC341" s="295" t="n"/>
      <c r="AD341" s="295" t="n"/>
      <c r="AE341" s="294" t="n"/>
    </row>
    <row r="342">
      <c r="B342" s="279" t="n"/>
      <c r="C342" s="280" t="n"/>
      <c r="D342" s="295" t="n"/>
      <c r="E342" s="295" t="n"/>
      <c r="F342" s="295" t="n"/>
      <c r="G342" s="282" t="n"/>
      <c r="H342" s="295" t="n"/>
      <c r="I342" s="295" t="n"/>
      <c r="J342" s="282" t="n"/>
      <c r="K342" s="345" t="n"/>
      <c r="L342" s="295" t="n"/>
      <c r="M342" s="346" t="n"/>
      <c r="N342" s="295" t="n"/>
      <c r="O342" s="285" t="n"/>
      <c r="P342" s="295" t="n"/>
      <c r="Q342" s="295" t="n"/>
      <c r="R342" s="282" t="n"/>
      <c r="S342" s="295" t="n"/>
      <c r="T342" s="295" t="n"/>
      <c r="U342" s="285" t="n"/>
      <c r="V342" s="295" t="n"/>
      <c r="W342" s="282" t="n"/>
      <c r="X342" s="295" t="n"/>
      <c r="Y342" s="295" t="n"/>
      <c r="Z342" s="295" t="n"/>
      <c r="AA342" s="295" t="n"/>
      <c r="AB342" s="285" t="n"/>
      <c r="AC342" s="295" t="n"/>
      <c r="AD342" s="295" t="n"/>
      <c r="AE342" s="286" t="n"/>
    </row>
    <row r="343">
      <c r="B343" s="287" t="n"/>
      <c r="C343" s="288" t="n"/>
      <c r="D343" s="295" t="n"/>
      <c r="E343" s="295" t="n"/>
      <c r="F343" s="295" t="n"/>
      <c r="G343" s="290" t="n"/>
      <c r="H343" s="295" t="n"/>
      <c r="I343" s="295" t="n"/>
      <c r="J343" s="290" t="n"/>
      <c r="K343" s="347" t="n"/>
      <c r="L343" s="295" t="n"/>
      <c r="M343" s="348" t="n"/>
      <c r="N343" s="295" t="n"/>
      <c r="O343" s="293" t="n"/>
      <c r="P343" s="295" t="n"/>
      <c r="Q343" s="295" t="n"/>
      <c r="R343" s="290" t="n"/>
      <c r="S343" s="295" t="n"/>
      <c r="T343" s="295" t="n"/>
      <c r="U343" s="293" t="n"/>
      <c r="V343" s="295" t="n"/>
      <c r="W343" s="290" t="n"/>
      <c r="X343" s="295" t="n"/>
      <c r="Y343" s="295" t="n"/>
      <c r="Z343" s="295" t="n"/>
      <c r="AA343" s="295" t="n"/>
      <c r="AB343" s="293" t="n"/>
      <c r="AC343" s="295" t="n"/>
      <c r="AD343" s="295" t="n"/>
      <c r="AE343" s="294" t="n"/>
    </row>
    <row r="344">
      <c r="B344" s="279" t="n"/>
      <c r="C344" s="280" t="n"/>
      <c r="D344" s="295" t="n"/>
      <c r="E344" s="295" t="n"/>
      <c r="F344" s="295" t="n"/>
      <c r="G344" s="282" t="n"/>
      <c r="H344" s="295" t="n"/>
      <c r="I344" s="295" t="n"/>
      <c r="J344" s="282" t="n"/>
      <c r="K344" s="345" t="n"/>
      <c r="L344" s="295" t="n"/>
      <c r="M344" s="346" t="n"/>
      <c r="N344" s="295" t="n"/>
      <c r="O344" s="285" t="n"/>
      <c r="P344" s="295" t="n"/>
      <c r="Q344" s="295" t="n"/>
      <c r="R344" s="282" t="n"/>
      <c r="S344" s="295" t="n"/>
      <c r="T344" s="295" t="n"/>
      <c r="U344" s="285" t="n"/>
      <c r="V344" s="295" t="n"/>
      <c r="W344" s="282" t="n"/>
      <c r="X344" s="295" t="n"/>
      <c r="Y344" s="295" t="n"/>
      <c r="Z344" s="295" t="n"/>
      <c r="AA344" s="295" t="n"/>
      <c r="AB344" s="285" t="n"/>
      <c r="AC344" s="295" t="n"/>
      <c r="AD344" s="295" t="n"/>
      <c r="AE344" s="286" t="n"/>
    </row>
    <row r="345">
      <c r="B345" s="287" t="n"/>
      <c r="C345" s="288" t="n"/>
      <c r="D345" s="295" t="n"/>
      <c r="E345" s="295" t="n"/>
      <c r="F345" s="295" t="n"/>
      <c r="G345" s="290" t="n"/>
      <c r="H345" s="295" t="n"/>
      <c r="I345" s="295" t="n"/>
      <c r="J345" s="290" t="n"/>
      <c r="K345" s="347" t="n"/>
      <c r="L345" s="295" t="n"/>
      <c r="M345" s="348" t="n"/>
      <c r="N345" s="295" t="n"/>
      <c r="O345" s="293" t="n"/>
      <c r="P345" s="295" t="n"/>
      <c r="Q345" s="295" t="n"/>
      <c r="R345" s="290" t="n"/>
      <c r="S345" s="295" t="n"/>
      <c r="T345" s="295" t="n"/>
      <c r="U345" s="293" t="n"/>
      <c r="V345" s="295" t="n"/>
      <c r="W345" s="290" t="n"/>
      <c r="X345" s="295" t="n"/>
      <c r="Y345" s="295" t="n"/>
      <c r="Z345" s="295" t="n"/>
      <c r="AA345" s="295" t="n"/>
      <c r="AB345" s="293" t="n"/>
      <c r="AC345" s="295" t="n"/>
      <c r="AD345" s="295" t="n"/>
      <c r="AE345" s="294" t="n"/>
    </row>
    <row r="346">
      <c r="B346" s="279" t="n"/>
      <c r="C346" s="280" t="n"/>
      <c r="D346" s="295" t="n"/>
      <c r="E346" s="295" t="n"/>
      <c r="F346" s="295" t="n"/>
      <c r="G346" s="282" t="n"/>
      <c r="H346" s="295" t="n"/>
      <c r="I346" s="295" t="n"/>
      <c r="J346" s="282" t="n"/>
      <c r="K346" s="345" t="n"/>
      <c r="L346" s="295" t="n"/>
      <c r="M346" s="346" t="n"/>
      <c r="N346" s="295" t="n"/>
      <c r="O346" s="285" t="n"/>
      <c r="P346" s="295" t="n"/>
      <c r="Q346" s="295" t="n"/>
      <c r="R346" s="282" t="n"/>
      <c r="S346" s="295" t="n"/>
      <c r="T346" s="295" t="n"/>
      <c r="U346" s="285" t="n"/>
      <c r="V346" s="295" t="n"/>
      <c r="W346" s="282" t="n"/>
      <c r="X346" s="295" t="n"/>
      <c r="Y346" s="295" t="n"/>
      <c r="Z346" s="295" t="n"/>
      <c r="AA346" s="295" t="n"/>
      <c r="AB346" s="285" t="n"/>
      <c r="AC346" s="295" t="n"/>
      <c r="AD346" s="295" t="n"/>
      <c r="AE346" s="286" t="n"/>
    </row>
    <row r="347">
      <c r="B347" s="287" t="n"/>
      <c r="C347" s="288" t="n"/>
      <c r="D347" s="295" t="n"/>
      <c r="E347" s="295" t="n"/>
      <c r="F347" s="295" t="n"/>
      <c r="G347" s="290" t="n"/>
      <c r="H347" s="295" t="n"/>
      <c r="I347" s="295" t="n"/>
      <c r="J347" s="290" t="n"/>
      <c r="K347" s="347" t="n"/>
      <c r="L347" s="295" t="n"/>
      <c r="M347" s="348" t="n"/>
      <c r="N347" s="295" t="n"/>
      <c r="O347" s="293" t="n"/>
      <c r="P347" s="295" t="n"/>
      <c r="Q347" s="295" t="n"/>
      <c r="R347" s="290" t="n"/>
      <c r="S347" s="295" t="n"/>
      <c r="T347" s="295" t="n"/>
      <c r="U347" s="293" t="n"/>
      <c r="V347" s="295" t="n"/>
      <c r="W347" s="290" t="n"/>
      <c r="X347" s="295" t="n"/>
      <c r="Y347" s="295" t="n"/>
      <c r="Z347" s="295" t="n"/>
      <c r="AA347" s="295" t="n"/>
      <c r="AB347" s="293" t="n"/>
      <c r="AC347" s="295" t="n"/>
      <c r="AD347" s="295" t="n"/>
      <c r="AE347" s="294" t="n"/>
    </row>
    <row r="348">
      <c r="B348" s="279" t="n"/>
      <c r="C348" s="280" t="n"/>
      <c r="D348" s="295" t="n"/>
      <c r="E348" s="295" t="n"/>
      <c r="F348" s="295" t="n"/>
      <c r="G348" s="282" t="n"/>
      <c r="H348" s="295" t="n"/>
      <c r="I348" s="295" t="n"/>
      <c r="J348" s="282" t="n"/>
      <c r="K348" s="345" t="n"/>
      <c r="L348" s="295" t="n"/>
      <c r="M348" s="346" t="n"/>
      <c r="N348" s="295" t="n"/>
      <c r="O348" s="285" t="n"/>
      <c r="P348" s="295" t="n"/>
      <c r="Q348" s="295" t="n"/>
      <c r="R348" s="282" t="n"/>
      <c r="S348" s="295" t="n"/>
      <c r="T348" s="295" t="n"/>
      <c r="U348" s="285" t="n"/>
      <c r="V348" s="295" t="n"/>
      <c r="W348" s="282" t="n"/>
      <c r="X348" s="295" t="n"/>
      <c r="Y348" s="295" t="n"/>
      <c r="Z348" s="295" t="n"/>
      <c r="AA348" s="295" t="n"/>
      <c r="AB348" s="285" t="n"/>
      <c r="AC348" s="295" t="n"/>
      <c r="AD348" s="295" t="n"/>
      <c r="AE348" s="286" t="n"/>
    </row>
    <row r="349">
      <c r="B349" s="287" t="n"/>
      <c r="C349" s="288" t="n"/>
      <c r="D349" s="295" t="n"/>
      <c r="E349" s="295" t="n"/>
      <c r="F349" s="295" t="n"/>
      <c r="G349" s="290" t="n"/>
      <c r="H349" s="295" t="n"/>
      <c r="I349" s="295" t="n"/>
      <c r="J349" s="290" t="n"/>
      <c r="K349" s="347" t="n"/>
      <c r="L349" s="295" t="n"/>
      <c r="M349" s="348" t="n"/>
      <c r="N349" s="295" t="n"/>
      <c r="O349" s="293" t="n"/>
      <c r="P349" s="295" t="n"/>
      <c r="Q349" s="295" t="n"/>
      <c r="R349" s="290" t="n"/>
      <c r="S349" s="295" t="n"/>
      <c r="T349" s="295" t="n"/>
      <c r="U349" s="293" t="n"/>
      <c r="V349" s="295" t="n"/>
      <c r="W349" s="290" t="n"/>
      <c r="X349" s="295" t="n"/>
      <c r="Y349" s="295" t="n"/>
      <c r="Z349" s="295" t="n"/>
      <c r="AA349" s="295" t="n"/>
      <c r="AB349" s="293" t="n"/>
      <c r="AC349" s="295" t="n"/>
      <c r="AD349" s="295" t="n"/>
      <c r="AE349" s="294" t="n"/>
    </row>
    <row r="350">
      <c r="B350" s="279" t="n"/>
      <c r="C350" s="280" t="n"/>
      <c r="D350" s="295" t="n"/>
      <c r="E350" s="295" t="n"/>
      <c r="F350" s="295" t="n"/>
      <c r="G350" s="282" t="n"/>
      <c r="H350" s="295" t="n"/>
      <c r="I350" s="295" t="n"/>
      <c r="J350" s="282" t="n"/>
      <c r="K350" s="345" t="n"/>
      <c r="L350" s="295" t="n"/>
      <c r="M350" s="346" t="n"/>
      <c r="N350" s="295" t="n"/>
      <c r="O350" s="285" t="n"/>
      <c r="P350" s="295" t="n"/>
      <c r="Q350" s="295" t="n"/>
      <c r="R350" s="282" t="n"/>
      <c r="S350" s="295" t="n"/>
      <c r="T350" s="295" t="n"/>
      <c r="U350" s="285" t="n"/>
      <c r="V350" s="295" t="n"/>
      <c r="W350" s="282" t="n"/>
      <c r="X350" s="295" t="n"/>
      <c r="Y350" s="295" t="n"/>
      <c r="Z350" s="295" t="n"/>
      <c r="AA350" s="295" t="n"/>
      <c r="AB350" s="285" t="n"/>
      <c r="AC350" s="295" t="n"/>
      <c r="AD350" s="295" t="n"/>
      <c r="AE350" s="286" t="n"/>
    </row>
    <row r="351">
      <c r="B351" s="287" t="n"/>
      <c r="C351" s="288" t="n"/>
      <c r="D351" s="295" t="n"/>
      <c r="E351" s="295" t="n"/>
      <c r="F351" s="295" t="n"/>
      <c r="G351" s="290" t="n"/>
      <c r="H351" s="295" t="n"/>
      <c r="I351" s="295" t="n"/>
      <c r="J351" s="290" t="n"/>
      <c r="K351" s="347" t="n"/>
      <c r="L351" s="295" t="n"/>
      <c r="M351" s="348" t="n"/>
      <c r="N351" s="295" t="n"/>
      <c r="O351" s="293" t="n"/>
      <c r="P351" s="295" t="n"/>
      <c r="Q351" s="295" t="n"/>
      <c r="R351" s="290" t="n"/>
      <c r="S351" s="295" t="n"/>
      <c r="T351" s="295" t="n"/>
      <c r="U351" s="293" t="n"/>
      <c r="V351" s="295" t="n"/>
      <c r="W351" s="290" t="n"/>
      <c r="X351" s="295" t="n"/>
      <c r="Y351" s="295" t="n"/>
      <c r="Z351" s="295" t="n"/>
      <c r="AA351" s="295" t="n"/>
      <c r="AB351" s="293" t="n"/>
      <c r="AC351" s="295" t="n"/>
      <c r="AD351" s="295" t="n"/>
      <c r="AE351" s="294" t="n"/>
    </row>
    <row r="352">
      <c r="B352" s="279" t="n"/>
      <c r="C352" s="280" t="n"/>
      <c r="D352" s="295" t="n"/>
      <c r="E352" s="295" t="n"/>
      <c r="F352" s="295" t="n"/>
      <c r="G352" s="282" t="n"/>
      <c r="H352" s="295" t="n"/>
      <c r="I352" s="295" t="n"/>
      <c r="J352" s="282" t="n"/>
      <c r="K352" s="345" t="n"/>
      <c r="L352" s="295" t="n"/>
      <c r="M352" s="346" t="n"/>
      <c r="N352" s="295" t="n"/>
      <c r="O352" s="285" t="n"/>
      <c r="P352" s="295" t="n"/>
      <c r="Q352" s="295" t="n"/>
      <c r="R352" s="282" t="n"/>
      <c r="S352" s="295" t="n"/>
      <c r="T352" s="295" t="n"/>
      <c r="U352" s="285" t="n"/>
      <c r="V352" s="295" t="n"/>
      <c r="W352" s="282" t="n"/>
      <c r="X352" s="295" t="n"/>
      <c r="Y352" s="295" t="n"/>
      <c r="Z352" s="295" t="n"/>
      <c r="AA352" s="295" t="n"/>
      <c r="AB352" s="285" t="n"/>
      <c r="AC352" s="295" t="n"/>
      <c r="AD352" s="295" t="n"/>
      <c r="AE352" s="286" t="n"/>
    </row>
    <row r="353">
      <c r="B353" s="287" t="n"/>
      <c r="C353" s="288" t="n"/>
      <c r="D353" s="295" t="n"/>
      <c r="E353" s="295" t="n"/>
      <c r="F353" s="295" t="n"/>
      <c r="G353" s="290" t="n"/>
      <c r="H353" s="295" t="n"/>
      <c r="I353" s="295" t="n"/>
      <c r="J353" s="290" t="n"/>
      <c r="K353" s="347" t="n"/>
      <c r="L353" s="295" t="n"/>
      <c r="M353" s="348" t="n"/>
      <c r="N353" s="295" t="n"/>
      <c r="O353" s="293" t="n"/>
      <c r="P353" s="295" t="n"/>
      <c r="Q353" s="295" t="n"/>
      <c r="R353" s="290" t="n"/>
      <c r="S353" s="295" t="n"/>
      <c r="T353" s="295" t="n"/>
      <c r="U353" s="293" t="n"/>
      <c r="V353" s="295" t="n"/>
      <c r="W353" s="290" t="n"/>
      <c r="X353" s="295" t="n"/>
      <c r="Y353" s="295" t="n"/>
      <c r="Z353" s="295" t="n"/>
      <c r="AA353" s="295" t="n"/>
      <c r="AB353" s="293" t="n"/>
      <c r="AC353" s="295" t="n"/>
      <c r="AD353" s="295" t="n"/>
      <c r="AE353" s="294" t="n"/>
    </row>
    <row r="354">
      <c r="B354" s="279" t="n"/>
      <c r="C354" s="280" t="n"/>
      <c r="D354" s="295" t="n"/>
      <c r="E354" s="295" t="n"/>
      <c r="F354" s="295" t="n"/>
      <c r="G354" s="282" t="n"/>
      <c r="H354" s="295" t="n"/>
      <c r="I354" s="295" t="n"/>
      <c r="J354" s="282" t="n"/>
      <c r="K354" s="345" t="n"/>
      <c r="L354" s="295" t="n"/>
      <c r="M354" s="346" t="n"/>
      <c r="N354" s="295" t="n"/>
      <c r="O354" s="285" t="n"/>
      <c r="P354" s="295" t="n"/>
      <c r="Q354" s="295" t="n"/>
      <c r="R354" s="282" t="n"/>
      <c r="S354" s="295" t="n"/>
      <c r="T354" s="295" t="n"/>
      <c r="U354" s="285" t="n"/>
      <c r="V354" s="295" t="n"/>
      <c r="W354" s="282" t="n"/>
      <c r="X354" s="295" t="n"/>
      <c r="Y354" s="295" t="n"/>
      <c r="Z354" s="295" t="n"/>
      <c r="AA354" s="295" t="n"/>
      <c r="AB354" s="285" t="n"/>
      <c r="AC354" s="295" t="n"/>
      <c r="AD354" s="295" t="n"/>
      <c r="AE354" s="286" t="n"/>
    </row>
    <row r="355">
      <c r="B355" s="287" t="n"/>
      <c r="C355" s="288" t="n"/>
      <c r="D355" s="295" t="n"/>
      <c r="E355" s="295" t="n"/>
      <c r="F355" s="295" t="n"/>
      <c r="G355" s="290" t="n"/>
      <c r="H355" s="295" t="n"/>
      <c r="I355" s="295" t="n"/>
      <c r="J355" s="290" t="n"/>
      <c r="K355" s="347" t="n"/>
      <c r="L355" s="295" t="n"/>
      <c r="M355" s="348" t="n"/>
      <c r="N355" s="295" t="n"/>
      <c r="O355" s="293" t="n"/>
      <c r="P355" s="295" t="n"/>
      <c r="Q355" s="295" t="n"/>
      <c r="R355" s="290" t="n"/>
      <c r="S355" s="295" t="n"/>
      <c r="T355" s="295" t="n"/>
      <c r="U355" s="293" t="n"/>
      <c r="V355" s="295" t="n"/>
      <c r="W355" s="290" t="n"/>
      <c r="X355" s="295" t="n"/>
      <c r="Y355" s="295" t="n"/>
      <c r="Z355" s="295" t="n"/>
      <c r="AA355" s="295" t="n"/>
      <c r="AB355" s="293" t="n"/>
      <c r="AC355" s="295" t="n"/>
      <c r="AD355" s="295" t="n"/>
      <c r="AE355" s="294" t="n"/>
    </row>
    <row r="356">
      <c r="B356" s="279" t="n"/>
      <c r="C356" s="280" t="n"/>
      <c r="D356" s="295" t="n"/>
      <c r="E356" s="295" t="n"/>
      <c r="F356" s="295" t="n"/>
      <c r="G356" s="282" t="n"/>
      <c r="H356" s="295" t="n"/>
      <c r="I356" s="295" t="n"/>
      <c r="J356" s="282" t="n"/>
      <c r="K356" s="345" t="n"/>
      <c r="L356" s="295" t="n"/>
      <c r="M356" s="346" t="n"/>
      <c r="N356" s="295" t="n"/>
      <c r="O356" s="285" t="n"/>
      <c r="P356" s="295" t="n"/>
      <c r="Q356" s="295" t="n"/>
      <c r="R356" s="282" t="n"/>
      <c r="S356" s="295" t="n"/>
      <c r="T356" s="295" t="n"/>
      <c r="U356" s="285" t="n"/>
      <c r="V356" s="295" t="n"/>
      <c r="W356" s="282" t="n"/>
      <c r="X356" s="295" t="n"/>
      <c r="Y356" s="295" t="n"/>
      <c r="Z356" s="295" t="n"/>
      <c r="AA356" s="295" t="n"/>
      <c r="AB356" s="285" t="n"/>
      <c r="AC356" s="295" t="n"/>
      <c r="AD356" s="295" t="n"/>
      <c r="AE356" s="286" t="n"/>
    </row>
    <row r="357">
      <c r="B357" s="287" t="n"/>
      <c r="C357" s="288" t="n"/>
      <c r="D357" s="295" t="n"/>
      <c r="E357" s="295" t="n"/>
      <c r="F357" s="295" t="n"/>
      <c r="G357" s="290" t="n"/>
      <c r="H357" s="295" t="n"/>
      <c r="I357" s="295" t="n"/>
      <c r="J357" s="290" t="n"/>
      <c r="K357" s="347" t="n"/>
      <c r="L357" s="295" t="n"/>
      <c r="M357" s="348" t="n"/>
      <c r="N357" s="295" t="n"/>
      <c r="O357" s="293" t="n"/>
      <c r="P357" s="295" t="n"/>
      <c r="Q357" s="295" t="n"/>
      <c r="R357" s="290" t="n"/>
      <c r="S357" s="295" t="n"/>
      <c r="T357" s="295" t="n"/>
      <c r="U357" s="293" t="n"/>
      <c r="V357" s="295" t="n"/>
      <c r="W357" s="290" t="n"/>
      <c r="X357" s="295" t="n"/>
      <c r="Y357" s="295" t="n"/>
      <c r="Z357" s="295" t="n"/>
      <c r="AA357" s="295" t="n"/>
      <c r="AB357" s="293" t="n"/>
      <c r="AC357" s="295" t="n"/>
      <c r="AD357" s="295" t="n"/>
      <c r="AE357" s="294" t="n"/>
    </row>
    <row r="358">
      <c r="B358" s="279" t="n"/>
      <c r="C358" s="280" t="n"/>
      <c r="D358" s="295" t="n"/>
      <c r="E358" s="295" t="n"/>
      <c r="F358" s="295" t="n"/>
      <c r="G358" s="282" t="n"/>
      <c r="H358" s="295" t="n"/>
      <c r="I358" s="295" t="n"/>
      <c r="J358" s="282" t="n"/>
      <c r="K358" s="345" t="n"/>
      <c r="L358" s="295" t="n"/>
      <c r="M358" s="346" t="n"/>
      <c r="N358" s="295" t="n"/>
      <c r="O358" s="285" t="n"/>
      <c r="P358" s="295" t="n"/>
      <c r="Q358" s="295" t="n"/>
      <c r="R358" s="282" t="n"/>
      <c r="S358" s="295" t="n"/>
      <c r="T358" s="295" t="n"/>
      <c r="U358" s="285" t="n"/>
      <c r="V358" s="295" t="n"/>
      <c r="W358" s="282" t="n"/>
      <c r="X358" s="295" t="n"/>
      <c r="Y358" s="295" t="n"/>
      <c r="Z358" s="295" t="n"/>
      <c r="AA358" s="295" t="n"/>
      <c r="AB358" s="285" t="n"/>
      <c r="AC358" s="295" t="n"/>
      <c r="AD358" s="295" t="n"/>
      <c r="AE358" s="286" t="n"/>
    </row>
    <row r="359">
      <c r="B359" s="287" t="n"/>
      <c r="C359" s="288" t="n"/>
      <c r="D359" s="295" t="n"/>
      <c r="E359" s="295" t="n"/>
      <c r="F359" s="295" t="n"/>
      <c r="G359" s="290" t="n"/>
      <c r="H359" s="295" t="n"/>
      <c r="I359" s="295" t="n"/>
      <c r="J359" s="290" t="n"/>
      <c r="K359" s="347" t="n"/>
      <c r="L359" s="295" t="n"/>
      <c r="M359" s="348" t="n"/>
      <c r="N359" s="295" t="n"/>
      <c r="O359" s="293" t="n"/>
      <c r="P359" s="295" t="n"/>
      <c r="Q359" s="295" t="n"/>
      <c r="R359" s="290" t="n"/>
      <c r="S359" s="295" t="n"/>
      <c r="T359" s="295" t="n"/>
      <c r="U359" s="293" t="n"/>
      <c r="V359" s="295" t="n"/>
      <c r="W359" s="290" t="n"/>
      <c r="X359" s="295" t="n"/>
      <c r="Y359" s="295" t="n"/>
      <c r="Z359" s="295" t="n"/>
      <c r="AA359" s="295" t="n"/>
      <c r="AB359" s="293" t="n"/>
      <c r="AC359" s="295" t="n"/>
      <c r="AD359" s="295" t="n"/>
      <c r="AE359" s="294" t="n"/>
    </row>
    <row r="360">
      <c r="B360" s="279" t="n"/>
      <c r="C360" s="280" t="n"/>
      <c r="D360" s="295" t="n"/>
      <c r="E360" s="295" t="n"/>
      <c r="F360" s="295" t="n"/>
      <c r="G360" s="282" t="n"/>
      <c r="H360" s="295" t="n"/>
      <c r="I360" s="295" t="n"/>
      <c r="J360" s="282" t="n"/>
      <c r="K360" s="345" t="n"/>
      <c r="L360" s="295" t="n"/>
      <c r="M360" s="346" t="n"/>
      <c r="N360" s="295" t="n"/>
      <c r="O360" s="285" t="n"/>
      <c r="P360" s="295" t="n"/>
      <c r="Q360" s="295" t="n"/>
      <c r="R360" s="282" t="n"/>
      <c r="S360" s="295" t="n"/>
      <c r="T360" s="295" t="n"/>
      <c r="U360" s="285" t="n"/>
      <c r="V360" s="295" t="n"/>
      <c r="W360" s="282" t="n"/>
      <c r="X360" s="295" t="n"/>
      <c r="Y360" s="295" t="n"/>
      <c r="Z360" s="295" t="n"/>
      <c r="AA360" s="295" t="n"/>
      <c r="AB360" s="285" t="n"/>
      <c r="AC360" s="295" t="n"/>
      <c r="AD360" s="295" t="n"/>
      <c r="AE360" s="286" t="n"/>
    </row>
    <row r="361">
      <c r="B361" s="287" t="n"/>
      <c r="C361" s="288" t="n"/>
      <c r="D361" s="295" t="n"/>
      <c r="E361" s="295" t="n"/>
      <c r="F361" s="295" t="n"/>
      <c r="G361" s="290" t="n"/>
      <c r="H361" s="295" t="n"/>
      <c r="I361" s="295" t="n"/>
      <c r="J361" s="290" t="n"/>
      <c r="K361" s="347" t="n"/>
      <c r="L361" s="295" t="n"/>
      <c r="M361" s="348" t="n"/>
      <c r="N361" s="295" t="n"/>
      <c r="O361" s="293" t="n"/>
      <c r="P361" s="295" t="n"/>
      <c r="Q361" s="295" t="n"/>
      <c r="R361" s="290" t="n"/>
      <c r="S361" s="295" t="n"/>
      <c r="T361" s="295" t="n"/>
      <c r="U361" s="293" t="n"/>
      <c r="V361" s="295" t="n"/>
      <c r="W361" s="290" t="n"/>
      <c r="X361" s="295" t="n"/>
      <c r="Y361" s="295" t="n"/>
      <c r="Z361" s="295" t="n"/>
      <c r="AA361" s="295" t="n"/>
      <c r="AB361" s="293" t="n"/>
      <c r="AC361" s="295" t="n"/>
      <c r="AD361" s="295" t="n"/>
      <c r="AE361" s="294" t="n"/>
    </row>
    <row r="362">
      <c r="B362" s="279" t="n"/>
      <c r="C362" s="280" t="n"/>
      <c r="D362" s="295" t="n"/>
      <c r="E362" s="295" t="n"/>
      <c r="F362" s="295" t="n"/>
      <c r="G362" s="282" t="n"/>
      <c r="H362" s="295" t="n"/>
      <c r="I362" s="295" t="n"/>
      <c r="J362" s="282" t="n"/>
      <c r="K362" s="345" t="n"/>
      <c r="L362" s="295" t="n"/>
      <c r="M362" s="346" t="n"/>
      <c r="N362" s="295" t="n"/>
      <c r="O362" s="285" t="n"/>
      <c r="P362" s="295" t="n"/>
      <c r="Q362" s="295" t="n"/>
      <c r="R362" s="282" t="n"/>
      <c r="S362" s="295" t="n"/>
      <c r="T362" s="295" t="n"/>
      <c r="U362" s="285" t="n"/>
      <c r="V362" s="295" t="n"/>
      <c r="W362" s="282" t="n"/>
      <c r="X362" s="295" t="n"/>
      <c r="Y362" s="295" t="n"/>
      <c r="Z362" s="295" t="n"/>
      <c r="AA362" s="295" t="n"/>
      <c r="AB362" s="285" t="n"/>
      <c r="AC362" s="295" t="n"/>
      <c r="AD362" s="295" t="n"/>
      <c r="AE362" s="286" t="n"/>
    </row>
    <row r="363">
      <c r="B363" s="287" t="n"/>
      <c r="C363" s="288" t="n"/>
      <c r="D363" s="295" t="n"/>
      <c r="E363" s="295" t="n"/>
      <c r="F363" s="295" t="n"/>
      <c r="G363" s="290" t="n"/>
      <c r="H363" s="295" t="n"/>
      <c r="I363" s="295" t="n"/>
      <c r="J363" s="290" t="n"/>
      <c r="K363" s="347" t="n"/>
      <c r="L363" s="295" t="n"/>
      <c r="M363" s="348" t="n"/>
      <c r="N363" s="295" t="n"/>
      <c r="O363" s="293" t="n"/>
      <c r="P363" s="295" t="n"/>
      <c r="Q363" s="295" t="n"/>
      <c r="R363" s="290" t="n"/>
      <c r="S363" s="295" t="n"/>
      <c r="T363" s="295" t="n"/>
      <c r="U363" s="293" t="n"/>
      <c r="V363" s="295" t="n"/>
      <c r="W363" s="290" t="n"/>
      <c r="X363" s="295" t="n"/>
      <c r="Y363" s="295" t="n"/>
      <c r="Z363" s="295" t="n"/>
      <c r="AA363" s="295" t="n"/>
      <c r="AB363" s="293" t="n"/>
      <c r="AC363" s="295" t="n"/>
      <c r="AD363" s="295" t="n"/>
      <c r="AE363" s="294" t="n"/>
    </row>
    <row r="364">
      <c r="B364" s="279" t="n"/>
      <c r="C364" s="280" t="n"/>
      <c r="D364" s="295" t="n"/>
      <c r="E364" s="295" t="n"/>
      <c r="F364" s="295" t="n"/>
      <c r="G364" s="282" t="n"/>
      <c r="H364" s="295" t="n"/>
      <c r="I364" s="295" t="n"/>
      <c r="J364" s="282" t="n"/>
      <c r="K364" s="345" t="n"/>
      <c r="L364" s="295" t="n"/>
      <c r="M364" s="346" t="n"/>
      <c r="N364" s="295" t="n"/>
      <c r="O364" s="285" t="n"/>
      <c r="P364" s="295" t="n"/>
      <c r="Q364" s="295" t="n"/>
      <c r="R364" s="282" t="n"/>
      <c r="S364" s="295" t="n"/>
      <c r="T364" s="295" t="n"/>
      <c r="U364" s="285" t="n"/>
      <c r="V364" s="295" t="n"/>
      <c r="W364" s="282" t="n"/>
      <c r="X364" s="295" t="n"/>
      <c r="Y364" s="295" t="n"/>
      <c r="Z364" s="295" t="n"/>
      <c r="AA364" s="295" t="n"/>
      <c r="AB364" s="285" t="n"/>
      <c r="AC364" s="295" t="n"/>
      <c r="AD364" s="295" t="n"/>
      <c r="AE364" s="286" t="n"/>
    </row>
    <row r="365">
      <c r="B365" s="287" t="n"/>
      <c r="C365" s="288" t="n"/>
      <c r="D365" s="295" t="n"/>
      <c r="E365" s="295" t="n"/>
      <c r="F365" s="295" t="n"/>
      <c r="G365" s="290" t="n"/>
      <c r="H365" s="295" t="n"/>
      <c r="I365" s="295" t="n"/>
      <c r="J365" s="290" t="n"/>
      <c r="K365" s="347" t="n"/>
      <c r="L365" s="295" t="n"/>
      <c r="M365" s="348" t="n"/>
      <c r="N365" s="295" t="n"/>
      <c r="O365" s="293" t="n"/>
      <c r="P365" s="295" t="n"/>
      <c r="Q365" s="295" t="n"/>
      <c r="R365" s="290" t="n"/>
      <c r="S365" s="295" t="n"/>
      <c r="T365" s="295" t="n"/>
      <c r="U365" s="293" t="n"/>
      <c r="V365" s="295" t="n"/>
      <c r="W365" s="290" t="n"/>
      <c r="X365" s="295" t="n"/>
      <c r="Y365" s="295" t="n"/>
      <c r="Z365" s="295" t="n"/>
      <c r="AA365" s="295" t="n"/>
      <c r="AB365" s="293" t="n"/>
      <c r="AC365" s="295" t="n"/>
      <c r="AD365" s="295" t="n"/>
      <c r="AE365" s="294" t="n"/>
    </row>
    <row r="366">
      <c r="B366" s="279" t="n"/>
      <c r="C366" s="280" t="n"/>
      <c r="D366" s="295" t="n"/>
      <c r="E366" s="295" t="n"/>
      <c r="F366" s="295" t="n"/>
      <c r="G366" s="282" t="n"/>
      <c r="H366" s="295" t="n"/>
      <c r="I366" s="295" t="n"/>
      <c r="J366" s="282" t="n"/>
      <c r="K366" s="345" t="n"/>
      <c r="L366" s="295" t="n"/>
      <c r="M366" s="346" t="n"/>
      <c r="N366" s="295" t="n"/>
      <c r="O366" s="285" t="n"/>
      <c r="P366" s="295" t="n"/>
      <c r="Q366" s="295" t="n"/>
      <c r="R366" s="282" t="n"/>
      <c r="S366" s="295" t="n"/>
      <c r="T366" s="295" t="n"/>
      <c r="U366" s="285" t="n"/>
      <c r="V366" s="295" t="n"/>
      <c r="W366" s="282" t="n"/>
      <c r="X366" s="295" t="n"/>
      <c r="Y366" s="295" t="n"/>
      <c r="Z366" s="295" t="n"/>
      <c r="AA366" s="295" t="n"/>
      <c r="AB366" s="285" t="n"/>
      <c r="AC366" s="295" t="n"/>
      <c r="AD366" s="295" t="n"/>
      <c r="AE366" s="286" t="n"/>
    </row>
    <row r="367">
      <c r="B367" s="287" t="n"/>
      <c r="C367" s="288" t="n"/>
      <c r="D367" s="295" t="n"/>
      <c r="E367" s="295" t="n"/>
      <c r="F367" s="295" t="n"/>
      <c r="G367" s="290" t="n"/>
      <c r="H367" s="295" t="n"/>
      <c r="I367" s="295" t="n"/>
      <c r="J367" s="290" t="n"/>
      <c r="K367" s="347" t="n"/>
      <c r="L367" s="295" t="n"/>
      <c r="M367" s="348" t="n"/>
      <c r="N367" s="295" t="n"/>
      <c r="O367" s="293" t="n"/>
      <c r="P367" s="295" t="n"/>
      <c r="Q367" s="295" t="n"/>
      <c r="R367" s="290" t="n"/>
      <c r="S367" s="295" t="n"/>
      <c r="T367" s="295" t="n"/>
      <c r="U367" s="293" t="n"/>
      <c r="V367" s="295" t="n"/>
      <c r="W367" s="290" t="n"/>
      <c r="X367" s="295" t="n"/>
      <c r="Y367" s="295" t="n"/>
      <c r="Z367" s="295" t="n"/>
      <c r="AA367" s="295" t="n"/>
      <c r="AB367" s="293" t="n"/>
      <c r="AC367" s="295" t="n"/>
      <c r="AD367" s="295" t="n"/>
      <c r="AE367" s="294" t="n"/>
    </row>
    <row r="368">
      <c r="B368" s="279" t="n"/>
      <c r="C368" s="280" t="n"/>
      <c r="D368" s="295" t="n"/>
      <c r="E368" s="295" t="n"/>
      <c r="F368" s="295" t="n"/>
      <c r="G368" s="282" t="n"/>
      <c r="H368" s="295" t="n"/>
      <c r="I368" s="295" t="n"/>
      <c r="J368" s="282" t="n"/>
      <c r="K368" s="345" t="n"/>
      <c r="L368" s="295" t="n"/>
      <c r="M368" s="346" t="n"/>
      <c r="N368" s="295" t="n"/>
      <c r="O368" s="285" t="n"/>
      <c r="P368" s="295" t="n"/>
      <c r="Q368" s="295" t="n"/>
      <c r="R368" s="282" t="n"/>
      <c r="S368" s="295" t="n"/>
      <c r="T368" s="295" t="n"/>
      <c r="U368" s="285" t="n"/>
      <c r="V368" s="295" t="n"/>
      <c r="W368" s="282" t="n"/>
      <c r="X368" s="295" t="n"/>
      <c r="Y368" s="295" t="n"/>
      <c r="Z368" s="295" t="n"/>
      <c r="AA368" s="295" t="n"/>
      <c r="AB368" s="285" t="n"/>
      <c r="AC368" s="295" t="n"/>
      <c r="AD368" s="295" t="n"/>
      <c r="AE368" s="286" t="n"/>
    </row>
    <row r="369">
      <c r="B369" s="287" t="n"/>
      <c r="C369" s="288" t="n"/>
      <c r="D369" s="295" t="n"/>
      <c r="E369" s="295" t="n"/>
      <c r="F369" s="295" t="n"/>
      <c r="G369" s="290" t="n"/>
      <c r="H369" s="295" t="n"/>
      <c r="I369" s="295" t="n"/>
      <c r="J369" s="290" t="n"/>
      <c r="K369" s="347" t="n"/>
      <c r="L369" s="295" t="n"/>
      <c r="M369" s="348" t="n"/>
      <c r="N369" s="295" t="n"/>
      <c r="O369" s="293" t="n"/>
      <c r="P369" s="295" t="n"/>
      <c r="Q369" s="295" t="n"/>
      <c r="R369" s="290" t="n"/>
      <c r="S369" s="295" t="n"/>
      <c r="T369" s="295" t="n"/>
      <c r="U369" s="293" t="n"/>
      <c r="V369" s="295" t="n"/>
      <c r="W369" s="290" t="n"/>
      <c r="X369" s="295" t="n"/>
      <c r="Y369" s="295" t="n"/>
      <c r="Z369" s="295" t="n"/>
      <c r="AA369" s="295" t="n"/>
      <c r="AB369" s="293" t="n"/>
      <c r="AC369" s="295" t="n"/>
      <c r="AD369" s="295" t="n"/>
      <c r="AE369" s="294" t="n"/>
    </row>
    <row r="370">
      <c r="B370" s="279" t="n"/>
      <c r="C370" s="280" t="n"/>
      <c r="D370" s="295" t="n"/>
      <c r="E370" s="295" t="n"/>
      <c r="F370" s="295" t="n"/>
      <c r="G370" s="282" t="n"/>
      <c r="H370" s="295" t="n"/>
      <c r="I370" s="295" t="n"/>
      <c r="J370" s="282" t="n"/>
      <c r="K370" s="345" t="n"/>
      <c r="L370" s="295" t="n"/>
      <c r="M370" s="346" t="n"/>
      <c r="N370" s="295" t="n"/>
      <c r="O370" s="285" t="n"/>
      <c r="P370" s="295" t="n"/>
      <c r="Q370" s="295" t="n"/>
      <c r="R370" s="282" t="n"/>
      <c r="S370" s="295" t="n"/>
      <c r="T370" s="295" t="n"/>
      <c r="U370" s="285" t="n"/>
      <c r="V370" s="295" t="n"/>
      <c r="W370" s="282" t="n"/>
      <c r="X370" s="295" t="n"/>
      <c r="Y370" s="295" t="n"/>
      <c r="Z370" s="295" t="n"/>
      <c r="AA370" s="295" t="n"/>
      <c r="AB370" s="285" t="n"/>
      <c r="AC370" s="295" t="n"/>
      <c r="AD370" s="295" t="n"/>
      <c r="AE370" s="286" t="n"/>
    </row>
    <row r="371">
      <c r="B371" s="287" t="n"/>
      <c r="C371" s="288" t="n"/>
      <c r="D371" s="295" t="n"/>
      <c r="E371" s="295" t="n"/>
      <c r="F371" s="295" t="n"/>
      <c r="G371" s="290" t="n"/>
      <c r="H371" s="295" t="n"/>
      <c r="I371" s="295" t="n"/>
      <c r="J371" s="290" t="n"/>
      <c r="K371" s="347" t="n"/>
      <c r="L371" s="295" t="n"/>
      <c r="M371" s="348" t="n"/>
      <c r="N371" s="295" t="n"/>
      <c r="O371" s="293" t="n"/>
      <c r="P371" s="295" t="n"/>
      <c r="Q371" s="295" t="n"/>
      <c r="R371" s="290" t="n"/>
      <c r="S371" s="295" t="n"/>
      <c r="T371" s="295" t="n"/>
      <c r="U371" s="293" t="n"/>
      <c r="V371" s="295" t="n"/>
      <c r="W371" s="290" t="n"/>
      <c r="X371" s="295" t="n"/>
      <c r="Y371" s="295" t="n"/>
      <c r="Z371" s="295" t="n"/>
      <c r="AA371" s="295" t="n"/>
      <c r="AB371" s="293" t="n"/>
      <c r="AC371" s="295" t="n"/>
      <c r="AD371" s="295" t="n"/>
      <c r="AE371" s="294" t="n"/>
    </row>
    <row r="372">
      <c r="B372" s="279" t="n"/>
      <c r="C372" s="280" t="n"/>
      <c r="D372" s="295" t="n"/>
      <c r="E372" s="295" t="n"/>
      <c r="F372" s="295" t="n"/>
      <c r="G372" s="282" t="n"/>
      <c r="H372" s="295" t="n"/>
      <c r="I372" s="295" t="n"/>
      <c r="J372" s="282" t="n"/>
      <c r="K372" s="345" t="n"/>
      <c r="L372" s="295" t="n"/>
      <c r="M372" s="346" t="n"/>
      <c r="N372" s="295" t="n"/>
      <c r="O372" s="285" t="n"/>
      <c r="P372" s="295" t="n"/>
      <c r="Q372" s="295" t="n"/>
      <c r="R372" s="282" t="n"/>
      <c r="S372" s="295" t="n"/>
      <c r="T372" s="295" t="n"/>
      <c r="U372" s="285" t="n"/>
      <c r="V372" s="295" t="n"/>
      <c r="W372" s="282" t="n"/>
      <c r="X372" s="295" t="n"/>
      <c r="Y372" s="295" t="n"/>
      <c r="Z372" s="295" t="n"/>
      <c r="AA372" s="295" t="n"/>
      <c r="AB372" s="285" t="n"/>
      <c r="AC372" s="295" t="n"/>
      <c r="AD372" s="295" t="n"/>
      <c r="AE372" s="286" t="n"/>
    </row>
    <row r="373">
      <c r="B373" s="287" t="n"/>
      <c r="C373" s="288" t="n"/>
      <c r="D373" s="295" t="n"/>
      <c r="E373" s="295" t="n"/>
      <c r="F373" s="295" t="n"/>
      <c r="G373" s="290" t="n"/>
      <c r="H373" s="295" t="n"/>
      <c r="I373" s="295" t="n"/>
      <c r="J373" s="290" t="n"/>
      <c r="K373" s="347" t="n"/>
      <c r="L373" s="295" t="n"/>
      <c r="M373" s="348" t="n"/>
      <c r="N373" s="295" t="n"/>
      <c r="O373" s="293" t="n"/>
      <c r="P373" s="295" t="n"/>
      <c r="Q373" s="295" t="n"/>
      <c r="R373" s="290" t="n"/>
      <c r="S373" s="295" t="n"/>
      <c r="T373" s="295" t="n"/>
      <c r="U373" s="293" t="n"/>
      <c r="V373" s="295" t="n"/>
      <c r="W373" s="290" t="n"/>
      <c r="X373" s="295" t="n"/>
      <c r="Y373" s="295" t="n"/>
      <c r="Z373" s="295" t="n"/>
      <c r="AA373" s="295" t="n"/>
      <c r="AB373" s="293" t="n"/>
      <c r="AC373" s="295" t="n"/>
      <c r="AD373" s="295" t="n"/>
      <c r="AE373" s="294" t="n"/>
    </row>
    <row r="374">
      <c r="B374" s="279" t="n"/>
      <c r="C374" s="280" t="n"/>
      <c r="D374" s="295" t="n"/>
      <c r="E374" s="295" t="n"/>
      <c r="F374" s="295" t="n"/>
      <c r="G374" s="282" t="n"/>
      <c r="H374" s="295" t="n"/>
      <c r="I374" s="295" t="n"/>
      <c r="J374" s="282" t="n"/>
      <c r="K374" s="345" t="n"/>
      <c r="L374" s="295" t="n"/>
      <c r="M374" s="346" t="n"/>
      <c r="N374" s="295" t="n"/>
      <c r="O374" s="285" t="n"/>
      <c r="P374" s="295" t="n"/>
      <c r="Q374" s="295" t="n"/>
      <c r="R374" s="282" t="n"/>
      <c r="S374" s="295" t="n"/>
      <c r="T374" s="295" t="n"/>
      <c r="U374" s="285" t="n"/>
      <c r="V374" s="295" t="n"/>
      <c r="W374" s="282" t="n"/>
      <c r="X374" s="295" t="n"/>
      <c r="Y374" s="295" t="n"/>
      <c r="Z374" s="295" t="n"/>
      <c r="AA374" s="295" t="n"/>
      <c r="AB374" s="285" t="n"/>
      <c r="AC374" s="295" t="n"/>
      <c r="AD374" s="295" t="n"/>
      <c r="AE374" s="286" t="n"/>
    </row>
    <row r="375">
      <c r="B375" s="287" t="n"/>
      <c r="C375" s="288" t="n"/>
      <c r="D375" s="295" t="n"/>
      <c r="E375" s="295" t="n"/>
      <c r="F375" s="295" t="n"/>
      <c r="G375" s="290" t="n"/>
      <c r="H375" s="295" t="n"/>
      <c r="I375" s="295" t="n"/>
      <c r="J375" s="290" t="n"/>
      <c r="K375" s="347" t="n"/>
      <c r="L375" s="295" t="n"/>
      <c r="M375" s="348" t="n"/>
      <c r="N375" s="295" t="n"/>
      <c r="O375" s="293" t="n"/>
      <c r="P375" s="295" t="n"/>
      <c r="Q375" s="295" t="n"/>
      <c r="R375" s="290" t="n"/>
      <c r="S375" s="295" t="n"/>
      <c r="T375" s="295" t="n"/>
      <c r="U375" s="293" t="n"/>
      <c r="V375" s="295" t="n"/>
      <c r="W375" s="290" t="n"/>
      <c r="X375" s="295" t="n"/>
      <c r="Y375" s="295" t="n"/>
      <c r="Z375" s="295" t="n"/>
      <c r="AA375" s="295" t="n"/>
      <c r="AB375" s="293" t="n"/>
      <c r="AC375" s="295" t="n"/>
      <c r="AD375" s="295" t="n"/>
      <c r="AE375" s="294" t="n"/>
    </row>
    <row r="376">
      <c r="B376" s="279" t="n"/>
      <c r="C376" s="280" t="n"/>
      <c r="D376" s="295" t="n"/>
      <c r="E376" s="295" t="n"/>
      <c r="F376" s="295" t="n"/>
      <c r="G376" s="282" t="n"/>
      <c r="H376" s="295" t="n"/>
      <c r="I376" s="295" t="n"/>
      <c r="J376" s="282" t="n"/>
      <c r="K376" s="345" t="n"/>
      <c r="L376" s="295" t="n"/>
      <c r="M376" s="346" t="n"/>
      <c r="N376" s="295" t="n"/>
      <c r="O376" s="285" t="n"/>
      <c r="P376" s="295" t="n"/>
      <c r="Q376" s="295" t="n"/>
      <c r="R376" s="282" t="n"/>
      <c r="S376" s="295" t="n"/>
      <c r="T376" s="295" t="n"/>
      <c r="U376" s="285" t="n"/>
      <c r="V376" s="295" t="n"/>
      <c r="W376" s="282" t="n"/>
      <c r="X376" s="295" t="n"/>
      <c r="Y376" s="295" t="n"/>
      <c r="Z376" s="295" t="n"/>
      <c r="AA376" s="295" t="n"/>
      <c r="AB376" s="285" t="n"/>
      <c r="AC376" s="295" t="n"/>
      <c r="AD376" s="295" t="n"/>
      <c r="AE376" s="286" t="n"/>
    </row>
    <row r="377">
      <c r="B377" s="287" t="n"/>
      <c r="C377" s="288" t="n"/>
      <c r="D377" s="295" t="n"/>
      <c r="E377" s="295" t="n"/>
      <c r="F377" s="295" t="n"/>
      <c r="G377" s="290" t="n"/>
      <c r="H377" s="295" t="n"/>
      <c r="I377" s="295" t="n"/>
      <c r="J377" s="290" t="n"/>
      <c r="K377" s="347" t="n"/>
      <c r="L377" s="295" t="n"/>
      <c r="M377" s="348" t="n"/>
      <c r="N377" s="295" t="n"/>
      <c r="O377" s="293" t="n"/>
      <c r="P377" s="295" t="n"/>
      <c r="Q377" s="295" t="n"/>
      <c r="R377" s="290" t="n"/>
      <c r="S377" s="295" t="n"/>
      <c r="T377" s="295" t="n"/>
      <c r="U377" s="293" t="n"/>
      <c r="V377" s="295" t="n"/>
      <c r="W377" s="290" t="n"/>
      <c r="X377" s="295" t="n"/>
      <c r="Y377" s="295" t="n"/>
      <c r="Z377" s="295" t="n"/>
      <c r="AA377" s="295" t="n"/>
      <c r="AB377" s="293" t="n"/>
      <c r="AC377" s="295" t="n"/>
      <c r="AD377" s="295" t="n"/>
      <c r="AE377" s="294" t="n"/>
    </row>
    <row r="378">
      <c r="B378" s="279" t="n"/>
      <c r="C378" s="280" t="n"/>
      <c r="D378" s="295" t="n"/>
      <c r="E378" s="295" t="n"/>
      <c r="F378" s="295" t="n"/>
      <c r="G378" s="282" t="n"/>
      <c r="H378" s="295" t="n"/>
      <c r="I378" s="295" t="n"/>
      <c r="J378" s="282" t="n"/>
      <c r="K378" s="345" t="n"/>
      <c r="L378" s="295" t="n"/>
      <c r="M378" s="346" t="n"/>
      <c r="N378" s="295" t="n"/>
      <c r="O378" s="285" t="n"/>
      <c r="P378" s="295" t="n"/>
      <c r="Q378" s="295" t="n"/>
      <c r="R378" s="282" t="n"/>
      <c r="S378" s="295" t="n"/>
      <c r="T378" s="295" t="n"/>
      <c r="U378" s="285" t="n"/>
      <c r="V378" s="295" t="n"/>
      <c r="W378" s="282" t="n"/>
      <c r="X378" s="295" t="n"/>
      <c r="Y378" s="295" t="n"/>
      <c r="Z378" s="295" t="n"/>
      <c r="AA378" s="295" t="n"/>
      <c r="AB378" s="285" t="n"/>
      <c r="AC378" s="295" t="n"/>
      <c r="AD378" s="295" t="n"/>
      <c r="AE378" s="286" t="n"/>
    </row>
    <row r="379">
      <c r="B379" s="287" t="n"/>
      <c r="C379" s="288" t="n"/>
      <c r="D379" s="295" t="n"/>
      <c r="E379" s="295" t="n"/>
      <c r="F379" s="295" t="n"/>
      <c r="G379" s="290" t="n"/>
      <c r="H379" s="295" t="n"/>
      <c r="I379" s="295" t="n"/>
      <c r="J379" s="290" t="n"/>
      <c r="K379" s="347" t="n"/>
      <c r="L379" s="295" t="n"/>
      <c r="M379" s="348" t="n"/>
      <c r="N379" s="295" t="n"/>
      <c r="O379" s="293" t="n"/>
      <c r="P379" s="295" t="n"/>
      <c r="Q379" s="295" t="n"/>
      <c r="R379" s="290" t="n"/>
      <c r="S379" s="295" t="n"/>
      <c r="T379" s="295" t="n"/>
      <c r="U379" s="293" t="n"/>
      <c r="V379" s="295" t="n"/>
      <c r="W379" s="290" t="n"/>
      <c r="X379" s="295" t="n"/>
      <c r="Y379" s="295" t="n"/>
      <c r="Z379" s="295" t="n"/>
      <c r="AA379" s="295" t="n"/>
      <c r="AB379" s="293" t="n"/>
      <c r="AC379" s="295" t="n"/>
      <c r="AD379" s="295" t="n"/>
      <c r="AE379" s="294" t="n"/>
    </row>
    <row r="380">
      <c r="B380" s="279" t="n"/>
      <c r="C380" s="280" t="n"/>
      <c r="D380" s="295" t="n"/>
      <c r="E380" s="295" t="n"/>
      <c r="F380" s="295" t="n"/>
      <c r="G380" s="282" t="n"/>
      <c r="H380" s="295" t="n"/>
      <c r="I380" s="295" t="n"/>
      <c r="J380" s="282" t="n"/>
      <c r="K380" s="345" t="n"/>
      <c r="L380" s="295" t="n"/>
      <c r="M380" s="346" t="n"/>
      <c r="N380" s="295" t="n"/>
      <c r="O380" s="285" t="n"/>
      <c r="P380" s="295" t="n"/>
      <c r="Q380" s="295" t="n"/>
      <c r="R380" s="282" t="n"/>
      <c r="S380" s="295" t="n"/>
      <c r="T380" s="295" t="n"/>
      <c r="U380" s="285" t="n"/>
      <c r="V380" s="295" t="n"/>
      <c r="W380" s="282" t="n"/>
      <c r="X380" s="295" t="n"/>
      <c r="Y380" s="295" t="n"/>
      <c r="Z380" s="295" t="n"/>
      <c r="AA380" s="295" t="n"/>
      <c r="AB380" s="285" t="n"/>
      <c r="AC380" s="295" t="n"/>
      <c r="AD380" s="295" t="n"/>
      <c r="AE380" s="286" t="n"/>
    </row>
    <row r="381">
      <c r="B381" s="287" t="n"/>
      <c r="C381" s="288" t="n"/>
      <c r="D381" s="295" t="n"/>
      <c r="E381" s="295" t="n"/>
      <c r="F381" s="295" t="n"/>
      <c r="G381" s="290" t="n"/>
      <c r="H381" s="295" t="n"/>
      <c r="I381" s="295" t="n"/>
      <c r="J381" s="290" t="n"/>
      <c r="K381" s="347" t="n"/>
      <c r="L381" s="295" t="n"/>
      <c r="M381" s="348" t="n"/>
      <c r="N381" s="295" t="n"/>
      <c r="O381" s="293" t="n"/>
      <c r="P381" s="295" t="n"/>
      <c r="Q381" s="295" t="n"/>
      <c r="R381" s="290" t="n"/>
      <c r="S381" s="295" t="n"/>
      <c r="T381" s="295" t="n"/>
      <c r="U381" s="293" t="n"/>
      <c r="V381" s="295" t="n"/>
      <c r="W381" s="290" t="n"/>
      <c r="X381" s="295" t="n"/>
      <c r="Y381" s="295" t="n"/>
      <c r="Z381" s="295" t="n"/>
      <c r="AA381" s="295" t="n"/>
      <c r="AB381" s="293" t="n"/>
      <c r="AC381" s="295" t="n"/>
      <c r="AD381" s="295" t="n"/>
      <c r="AE381" s="294" t="n"/>
    </row>
    <row r="382">
      <c r="B382" s="279" t="n"/>
      <c r="C382" s="280" t="n"/>
      <c r="D382" s="295" t="n"/>
      <c r="E382" s="295" t="n"/>
      <c r="F382" s="295" t="n"/>
      <c r="G382" s="282" t="n"/>
      <c r="H382" s="295" t="n"/>
      <c r="I382" s="295" t="n"/>
      <c r="J382" s="282" t="n"/>
      <c r="K382" s="345" t="n"/>
      <c r="L382" s="295" t="n"/>
      <c r="M382" s="346" t="n"/>
      <c r="N382" s="295" t="n"/>
      <c r="O382" s="285" t="n"/>
      <c r="P382" s="295" t="n"/>
      <c r="Q382" s="295" t="n"/>
      <c r="R382" s="282" t="n"/>
      <c r="S382" s="295" t="n"/>
      <c r="T382" s="295" t="n"/>
      <c r="U382" s="285" t="n"/>
      <c r="V382" s="295" t="n"/>
      <c r="W382" s="282" t="n"/>
      <c r="X382" s="295" t="n"/>
      <c r="Y382" s="295" t="n"/>
      <c r="Z382" s="295" t="n"/>
      <c r="AA382" s="295" t="n"/>
      <c r="AB382" s="285" t="n"/>
      <c r="AC382" s="295" t="n"/>
      <c r="AD382" s="295" t="n"/>
      <c r="AE382" s="286" t="n"/>
    </row>
    <row r="383">
      <c r="B383" s="287" t="n"/>
      <c r="C383" s="288" t="n"/>
      <c r="D383" s="295" t="n"/>
      <c r="E383" s="295" t="n"/>
      <c r="F383" s="295" t="n"/>
      <c r="G383" s="290" t="n"/>
      <c r="H383" s="295" t="n"/>
      <c r="I383" s="295" t="n"/>
      <c r="J383" s="290" t="n"/>
      <c r="K383" s="347" t="n"/>
      <c r="L383" s="295" t="n"/>
      <c r="M383" s="348" t="n"/>
      <c r="N383" s="295" t="n"/>
      <c r="O383" s="293" t="n"/>
      <c r="P383" s="295" t="n"/>
      <c r="Q383" s="295" t="n"/>
      <c r="R383" s="290" t="n"/>
      <c r="S383" s="295" t="n"/>
      <c r="T383" s="295" t="n"/>
      <c r="U383" s="293" t="n"/>
      <c r="V383" s="295" t="n"/>
      <c r="W383" s="290" t="n"/>
      <c r="X383" s="295" t="n"/>
      <c r="Y383" s="295" t="n"/>
      <c r="Z383" s="295" t="n"/>
      <c r="AA383" s="295" t="n"/>
      <c r="AB383" s="293" t="n"/>
      <c r="AC383" s="295" t="n"/>
      <c r="AD383" s="295" t="n"/>
      <c r="AE383" s="294" t="n"/>
    </row>
    <row r="384">
      <c r="B384" s="279" t="n"/>
      <c r="C384" s="280" t="n"/>
      <c r="D384" s="295" t="n"/>
      <c r="E384" s="295" t="n"/>
      <c r="F384" s="295" t="n"/>
      <c r="G384" s="282" t="n"/>
      <c r="H384" s="295" t="n"/>
      <c r="I384" s="295" t="n"/>
      <c r="J384" s="282" t="n"/>
      <c r="K384" s="345" t="n"/>
      <c r="L384" s="295" t="n"/>
      <c r="M384" s="346" t="n"/>
      <c r="N384" s="295" t="n"/>
      <c r="O384" s="285" t="n"/>
      <c r="P384" s="295" t="n"/>
      <c r="Q384" s="295" t="n"/>
      <c r="R384" s="282" t="n"/>
      <c r="S384" s="295" t="n"/>
      <c r="T384" s="295" t="n"/>
      <c r="U384" s="285" t="n"/>
      <c r="V384" s="295" t="n"/>
      <c r="W384" s="282" t="n"/>
      <c r="X384" s="295" t="n"/>
      <c r="Y384" s="295" t="n"/>
      <c r="Z384" s="295" t="n"/>
      <c r="AA384" s="295" t="n"/>
      <c r="AB384" s="285" t="n"/>
      <c r="AC384" s="295" t="n"/>
      <c r="AD384" s="295" t="n"/>
      <c r="AE384" s="286" t="n"/>
    </row>
    <row r="385">
      <c r="B385" s="287" t="n"/>
      <c r="C385" s="288" t="n"/>
      <c r="D385" s="295" t="n"/>
      <c r="E385" s="295" t="n"/>
      <c r="F385" s="295" t="n"/>
      <c r="G385" s="290" t="n"/>
      <c r="H385" s="295" t="n"/>
      <c r="I385" s="295" t="n"/>
      <c r="J385" s="290" t="n"/>
      <c r="K385" s="347" t="n"/>
      <c r="L385" s="295" t="n"/>
      <c r="M385" s="348" t="n"/>
      <c r="N385" s="295" t="n"/>
      <c r="O385" s="293" t="n"/>
      <c r="P385" s="295" t="n"/>
      <c r="Q385" s="295" t="n"/>
      <c r="R385" s="290" t="n"/>
      <c r="S385" s="295" t="n"/>
      <c r="T385" s="295" t="n"/>
      <c r="U385" s="293" t="n"/>
      <c r="V385" s="295" t="n"/>
      <c r="W385" s="290" t="n"/>
      <c r="X385" s="295" t="n"/>
      <c r="Y385" s="295" t="n"/>
      <c r="Z385" s="295" t="n"/>
      <c r="AA385" s="295" t="n"/>
      <c r="AB385" s="293" t="n"/>
      <c r="AC385" s="295" t="n"/>
      <c r="AD385" s="295" t="n"/>
      <c r="AE385" s="294" t="n"/>
    </row>
    <row r="386">
      <c r="B386" s="279" t="n"/>
      <c r="C386" s="280" t="n"/>
      <c r="D386" s="295" t="n"/>
      <c r="E386" s="295" t="n"/>
      <c r="F386" s="295" t="n"/>
      <c r="G386" s="282" t="n"/>
      <c r="H386" s="295" t="n"/>
      <c r="I386" s="295" t="n"/>
      <c r="J386" s="282" t="n"/>
      <c r="K386" s="345" t="n"/>
      <c r="L386" s="295" t="n"/>
      <c r="M386" s="346" t="n"/>
      <c r="N386" s="295" t="n"/>
      <c r="O386" s="285" t="n"/>
      <c r="P386" s="295" t="n"/>
      <c r="Q386" s="295" t="n"/>
      <c r="R386" s="282" t="n"/>
      <c r="S386" s="295" t="n"/>
      <c r="T386" s="295" t="n"/>
      <c r="U386" s="285" t="n"/>
      <c r="V386" s="295" t="n"/>
      <c r="W386" s="282" t="n"/>
      <c r="X386" s="295" t="n"/>
      <c r="Y386" s="295" t="n"/>
      <c r="Z386" s="295" t="n"/>
      <c r="AA386" s="295" t="n"/>
      <c r="AB386" s="285" t="n"/>
      <c r="AC386" s="295" t="n"/>
      <c r="AD386" s="295" t="n"/>
      <c r="AE386" s="286" t="n"/>
    </row>
    <row r="387">
      <c r="B387" s="287" t="n"/>
      <c r="C387" s="288" t="n"/>
      <c r="D387" s="295" t="n"/>
      <c r="E387" s="295" t="n"/>
      <c r="F387" s="295" t="n"/>
      <c r="G387" s="290" t="n"/>
      <c r="H387" s="295" t="n"/>
      <c r="I387" s="295" t="n"/>
      <c r="J387" s="290" t="n"/>
      <c r="K387" s="347" t="n"/>
      <c r="L387" s="295" t="n"/>
      <c r="M387" s="348" t="n"/>
      <c r="N387" s="295" t="n"/>
      <c r="O387" s="293" t="n"/>
      <c r="P387" s="295" t="n"/>
      <c r="Q387" s="295" t="n"/>
      <c r="R387" s="290" t="n"/>
      <c r="S387" s="295" t="n"/>
      <c r="T387" s="295" t="n"/>
      <c r="U387" s="293" t="n"/>
      <c r="V387" s="295" t="n"/>
      <c r="W387" s="290" t="n"/>
      <c r="X387" s="295" t="n"/>
      <c r="Y387" s="295" t="n"/>
      <c r="Z387" s="295" t="n"/>
      <c r="AA387" s="295" t="n"/>
      <c r="AB387" s="293" t="n"/>
      <c r="AC387" s="295" t="n"/>
      <c r="AD387" s="295" t="n"/>
      <c r="AE387" s="294" t="n"/>
    </row>
    <row r="388">
      <c r="B388" s="279" t="n"/>
      <c r="C388" s="280" t="n"/>
      <c r="D388" s="295" t="n"/>
      <c r="E388" s="295" t="n"/>
      <c r="F388" s="295" t="n"/>
      <c r="G388" s="282" t="n"/>
      <c r="H388" s="295" t="n"/>
      <c r="I388" s="295" t="n"/>
      <c r="J388" s="282" t="n"/>
      <c r="K388" s="345" t="n"/>
      <c r="L388" s="295" t="n"/>
      <c r="M388" s="346" t="n"/>
      <c r="N388" s="295" t="n"/>
      <c r="O388" s="285" t="n"/>
      <c r="P388" s="295" t="n"/>
      <c r="Q388" s="295" t="n"/>
      <c r="R388" s="282" t="n"/>
      <c r="S388" s="295" t="n"/>
      <c r="T388" s="295" t="n"/>
      <c r="U388" s="285" t="n"/>
      <c r="V388" s="295" t="n"/>
      <c r="W388" s="282" t="n"/>
      <c r="X388" s="295" t="n"/>
      <c r="Y388" s="295" t="n"/>
      <c r="Z388" s="295" t="n"/>
      <c r="AA388" s="295" t="n"/>
      <c r="AB388" s="285" t="n"/>
      <c r="AC388" s="295" t="n"/>
      <c r="AD388" s="295" t="n"/>
      <c r="AE388" s="286" t="n"/>
    </row>
    <row r="389">
      <c r="B389" s="287" t="n"/>
      <c r="C389" s="288" t="n"/>
      <c r="D389" s="295" t="n"/>
      <c r="E389" s="295" t="n"/>
      <c r="F389" s="295" t="n"/>
      <c r="G389" s="290" t="n"/>
      <c r="H389" s="295" t="n"/>
      <c r="I389" s="295" t="n"/>
      <c r="J389" s="290" t="n"/>
      <c r="K389" s="347" t="n"/>
      <c r="L389" s="295" t="n"/>
      <c r="M389" s="348" t="n"/>
      <c r="N389" s="295" t="n"/>
      <c r="O389" s="293" t="n"/>
      <c r="P389" s="295" t="n"/>
      <c r="Q389" s="295" t="n"/>
      <c r="R389" s="290" t="n"/>
      <c r="S389" s="295" t="n"/>
      <c r="T389" s="295" t="n"/>
      <c r="U389" s="293" t="n"/>
      <c r="V389" s="295" t="n"/>
      <c r="W389" s="290" t="n"/>
      <c r="X389" s="295" t="n"/>
      <c r="Y389" s="295" t="n"/>
      <c r="Z389" s="295" t="n"/>
      <c r="AA389" s="295" t="n"/>
      <c r="AB389" s="293" t="n"/>
      <c r="AC389" s="295" t="n"/>
      <c r="AD389" s="295" t="n"/>
      <c r="AE389" s="294" t="n"/>
    </row>
    <row r="390">
      <c r="B390" s="279" t="n"/>
      <c r="C390" s="280" t="n"/>
      <c r="D390" s="295" t="n"/>
      <c r="E390" s="295" t="n"/>
      <c r="F390" s="295" t="n"/>
      <c r="G390" s="282" t="n"/>
      <c r="H390" s="295" t="n"/>
      <c r="I390" s="295" t="n"/>
      <c r="J390" s="282" t="n"/>
      <c r="K390" s="345" t="n"/>
      <c r="L390" s="295" t="n"/>
      <c r="M390" s="346" t="n"/>
      <c r="N390" s="295" t="n"/>
      <c r="O390" s="285" t="n"/>
      <c r="P390" s="295" t="n"/>
      <c r="Q390" s="295" t="n"/>
      <c r="R390" s="282" t="n"/>
      <c r="S390" s="295" t="n"/>
      <c r="T390" s="295" t="n"/>
      <c r="U390" s="285" t="n"/>
      <c r="V390" s="295" t="n"/>
      <c r="W390" s="282" t="n"/>
      <c r="X390" s="295" t="n"/>
      <c r="Y390" s="295" t="n"/>
      <c r="Z390" s="295" t="n"/>
      <c r="AA390" s="295" t="n"/>
      <c r="AB390" s="285" t="n"/>
      <c r="AC390" s="295" t="n"/>
      <c r="AD390" s="295" t="n"/>
      <c r="AE390" s="286" t="n"/>
    </row>
    <row r="391">
      <c r="B391" s="287" t="n"/>
      <c r="C391" s="288" t="n"/>
      <c r="D391" s="295" t="n"/>
      <c r="E391" s="295" t="n"/>
      <c r="F391" s="295" t="n"/>
      <c r="G391" s="290" t="n"/>
      <c r="H391" s="295" t="n"/>
      <c r="I391" s="295" t="n"/>
      <c r="J391" s="290" t="n"/>
      <c r="K391" s="347" t="n"/>
      <c r="L391" s="295" t="n"/>
      <c r="M391" s="348" t="n"/>
      <c r="N391" s="295" t="n"/>
      <c r="O391" s="293" t="n"/>
      <c r="P391" s="295" t="n"/>
      <c r="Q391" s="295" t="n"/>
      <c r="R391" s="290" t="n"/>
      <c r="S391" s="295" t="n"/>
      <c r="T391" s="295" t="n"/>
      <c r="U391" s="293" t="n"/>
      <c r="V391" s="295" t="n"/>
      <c r="W391" s="290" t="n"/>
      <c r="X391" s="295" t="n"/>
      <c r="Y391" s="295" t="n"/>
      <c r="Z391" s="295" t="n"/>
      <c r="AA391" s="295" t="n"/>
      <c r="AB391" s="293" t="n"/>
      <c r="AC391" s="295" t="n"/>
      <c r="AD391" s="295" t="n"/>
      <c r="AE391" s="294" t="n"/>
    </row>
    <row r="392">
      <c r="B392" s="279" t="n"/>
      <c r="C392" s="280" t="n"/>
      <c r="D392" s="295" t="n"/>
      <c r="E392" s="295" t="n"/>
      <c r="F392" s="295" t="n"/>
      <c r="G392" s="282" t="n"/>
      <c r="H392" s="295" t="n"/>
      <c r="I392" s="295" t="n"/>
      <c r="J392" s="282" t="n"/>
      <c r="K392" s="345" t="n"/>
      <c r="L392" s="295" t="n"/>
      <c r="M392" s="346" t="n"/>
      <c r="N392" s="295" t="n"/>
      <c r="O392" s="285" t="n"/>
      <c r="P392" s="295" t="n"/>
      <c r="Q392" s="295" t="n"/>
      <c r="R392" s="282" t="n"/>
      <c r="S392" s="295" t="n"/>
      <c r="T392" s="295" t="n"/>
      <c r="U392" s="285" t="n"/>
      <c r="V392" s="295" t="n"/>
      <c r="W392" s="282" t="n"/>
      <c r="X392" s="295" t="n"/>
      <c r="Y392" s="295" t="n"/>
      <c r="Z392" s="295" t="n"/>
      <c r="AA392" s="295" t="n"/>
      <c r="AB392" s="285" t="n"/>
      <c r="AC392" s="295" t="n"/>
      <c r="AD392" s="295" t="n"/>
      <c r="AE392" s="286" t="n"/>
    </row>
    <row r="393">
      <c r="B393" s="287" t="n"/>
      <c r="C393" s="288" t="n"/>
      <c r="D393" s="295" t="n"/>
      <c r="E393" s="295" t="n"/>
      <c r="F393" s="295" t="n"/>
      <c r="G393" s="290" t="n"/>
      <c r="H393" s="295" t="n"/>
      <c r="I393" s="295" t="n"/>
      <c r="J393" s="290" t="n"/>
      <c r="K393" s="347" t="n"/>
      <c r="L393" s="295" t="n"/>
      <c r="M393" s="348" t="n"/>
      <c r="N393" s="295" t="n"/>
      <c r="O393" s="293" t="n"/>
      <c r="P393" s="295" t="n"/>
      <c r="Q393" s="295" t="n"/>
      <c r="R393" s="290" t="n"/>
      <c r="S393" s="295" t="n"/>
      <c r="T393" s="295" t="n"/>
      <c r="U393" s="293" t="n"/>
      <c r="V393" s="295" t="n"/>
      <c r="W393" s="290" t="n"/>
      <c r="X393" s="295" t="n"/>
      <c r="Y393" s="295" t="n"/>
      <c r="Z393" s="295" t="n"/>
      <c r="AA393" s="295" t="n"/>
      <c r="AB393" s="293" t="n"/>
      <c r="AC393" s="295" t="n"/>
      <c r="AD393" s="295" t="n"/>
      <c r="AE393" s="294" t="n"/>
    </row>
    <row r="394">
      <c r="B394" s="279" t="n"/>
      <c r="C394" s="280" t="n"/>
      <c r="D394" s="295" t="n"/>
      <c r="E394" s="295" t="n"/>
      <c r="F394" s="295" t="n"/>
      <c r="G394" s="282" t="n"/>
      <c r="H394" s="295" t="n"/>
      <c r="I394" s="295" t="n"/>
      <c r="J394" s="282" t="n"/>
      <c r="K394" s="345" t="n"/>
      <c r="L394" s="295" t="n"/>
      <c r="M394" s="346" t="n"/>
      <c r="N394" s="295" t="n"/>
      <c r="O394" s="285" t="n"/>
      <c r="P394" s="295" t="n"/>
      <c r="Q394" s="295" t="n"/>
      <c r="R394" s="282" t="n"/>
      <c r="S394" s="295" t="n"/>
      <c r="T394" s="295" t="n"/>
      <c r="U394" s="285" t="n"/>
      <c r="V394" s="295" t="n"/>
      <c r="W394" s="282" t="n"/>
      <c r="X394" s="295" t="n"/>
      <c r="Y394" s="295" t="n"/>
      <c r="Z394" s="295" t="n"/>
      <c r="AA394" s="295" t="n"/>
      <c r="AB394" s="285" t="n"/>
      <c r="AC394" s="295" t="n"/>
      <c r="AD394" s="295" t="n"/>
      <c r="AE394" s="286" t="n"/>
    </row>
    <row r="395">
      <c r="B395" s="287" t="n"/>
      <c r="C395" s="288" t="n"/>
      <c r="D395" s="295" t="n"/>
      <c r="E395" s="295" t="n"/>
      <c r="F395" s="295" t="n"/>
      <c r="G395" s="290" t="n"/>
      <c r="H395" s="295" t="n"/>
      <c r="I395" s="295" t="n"/>
      <c r="J395" s="290" t="n"/>
      <c r="K395" s="347" t="n"/>
      <c r="L395" s="295" t="n"/>
      <c r="M395" s="348" t="n"/>
      <c r="N395" s="295" t="n"/>
      <c r="O395" s="293" t="n"/>
      <c r="P395" s="295" t="n"/>
      <c r="Q395" s="295" t="n"/>
      <c r="R395" s="290" t="n"/>
      <c r="S395" s="295" t="n"/>
      <c r="T395" s="295" t="n"/>
      <c r="U395" s="293" t="n"/>
      <c r="V395" s="295" t="n"/>
      <c r="W395" s="290" t="n"/>
      <c r="X395" s="295" t="n"/>
      <c r="Y395" s="295" t="n"/>
      <c r="Z395" s="295" t="n"/>
      <c r="AA395" s="295" t="n"/>
      <c r="AB395" s="293" t="n"/>
      <c r="AC395" s="295" t="n"/>
      <c r="AD395" s="295" t="n"/>
      <c r="AE395" s="294" t="n"/>
    </row>
    <row r="396">
      <c r="B396" s="279" t="n"/>
      <c r="C396" s="280" t="n"/>
      <c r="D396" s="295" t="n"/>
      <c r="E396" s="295" t="n"/>
      <c r="F396" s="295" t="n"/>
      <c r="G396" s="282" t="n"/>
      <c r="H396" s="295" t="n"/>
      <c r="I396" s="295" t="n"/>
      <c r="J396" s="282" t="n"/>
      <c r="K396" s="345" t="n"/>
      <c r="L396" s="295" t="n"/>
      <c r="M396" s="346" t="n"/>
      <c r="N396" s="295" t="n"/>
      <c r="O396" s="285" t="n"/>
      <c r="P396" s="295" t="n"/>
      <c r="Q396" s="295" t="n"/>
      <c r="R396" s="282" t="n"/>
      <c r="S396" s="295" t="n"/>
      <c r="T396" s="295" t="n"/>
      <c r="U396" s="285" t="n"/>
      <c r="V396" s="295" t="n"/>
      <c r="W396" s="282" t="n"/>
      <c r="X396" s="295" t="n"/>
      <c r="Y396" s="295" t="n"/>
      <c r="Z396" s="295" t="n"/>
      <c r="AA396" s="295" t="n"/>
      <c r="AB396" s="285" t="n"/>
      <c r="AC396" s="295" t="n"/>
      <c r="AD396" s="295" t="n"/>
      <c r="AE396" s="286" t="n"/>
    </row>
    <row r="397">
      <c r="B397" s="287" t="n"/>
      <c r="C397" s="288" t="n"/>
      <c r="D397" s="295" t="n"/>
      <c r="E397" s="295" t="n"/>
      <c r="F397" s="295" t="n"/>
      <c r="G397" s="290" t="n"/>
      <c r="H397" s="295" t="n"/>
      <c r="I397" s="295" t="n"/>
      <c r="J397" s="290" t="n"/>
      <c r="K397" s="347" t="n"/>
      <c r="L397" s="295" t="n"/>
      <c r="M397" s="348" t="n"/>
      <c r="N397" s="295" t="n"/>
      <c r="O397" s="293" t="n"/>
      <c r="P397" s="295" t="n"/>
      <c r="Q397" s="295" t="n"/>
      <c r="R397" s="290" t="n"/>
      <c r="S397" s="295" t="n"/>
      <c r="T397" s="295" t="n"/>
      <c r="U397" s="293" t="n"/>
      <c r="V397" s="295" t="n"/>
      <c r="W397" s="290" t="n"/>
      <c r="X397" s="295" t="n"/>
      <c r="Y397" s="295" t="n"/>
      <c r="Z397" s="295" t="n"/>
      <c r="AA397" s="295" t="n"/>
      <c r="AB397" s="293" t="n"/>
      <c r="AC397" s="295" t="n"/>
      <c r="AD397" s="295" t="n"/>
      <c r="AE397" s="294" t="n"/>
    </row>
    <row r="398">
      <c r="B398" s="279" t="n"/>
      <c r="C398" s="280" t="n"/>
      <c r="D398" s="295" t="n"/>
      <c r="E398" s="295" t="n"/>
      <c r="F398" s="295" t="n"/>
      <c r="G398" s="282" t="n"/>
      <c r="H398" s="295" t="n"/>
      <c r="I398" s="295" t="n"/>
      <c r="J398" s="282" t="n"/>
      <c r="K398" s="345" t="n"/>
      <c r="L398" s="295" t="n"/>
      <c r="M398" s="346" t="n"/>
      <c r="N398" s="295" t="n"/>
      <c r="O398" s="285" t="n"/>
      <c r="P398" s="295" t="n"/>
      <c r="Q398" s="295" t="n"/>
      <c r="R398" s="282" t="n"/>
      <c r="S398" s="295" t="n"/>
      <c r="T398" s="295" t="n"/>
      <c r="U398" s="285" t="n"/>
      <c r="V398" s="295" t="n"/>
      <c r="W398" s="282" t="n"/>
      <c r="X398" s="295" t="n"/>
      <c r="Y398" s="295" t="n"/>
      <c r="Z398" s="295" t="n"/>
      <c r="AA398" s="295" t="n"/>
      <c r="AB398" s="285" t="n"/>
      <c r="AC398" s="295" t="n"/>
      <c r="AD398" s="295" t="n"/>
      <c r="AE398" s="286" t="n"/>
    </row>
    <row r="399">
      <c r="B399" s="287" t="n"/>
      <c r="C399" s="288" t="n"/>
      <c r="D399" s="295" t="n"/>
      <c r="E399" s="295" t="n"/>
      <c r="F399" s="295" t="n"/>
      <c r="G399" s="290" t="n"/>
      <c r="H399" s="295" t="n"/>
      <c r="I399" s="295" t="n"/>
      <c r="J399" s="290" t="n"/>
      <c r="K399" s="347" t="n"/>
      <c r="L399" s="295" t="n"/>
      <c r="M399" s="348" t="n"/>
      <c r="N399" s="295" t="n"/>
      <c r="O399" s="293" t="n"/>
      <c r="P399" s="295" t="n"/>
      <c r="Q399" s="295" t="n"/>
      <c r="R399" s="290" t="n"/>
      <c r="S399" s="295" t="n"/>
      <c r="T399" s="295" t="n"/>
      <c r="U399" s="293" t="n"/>
      <c r="V399" s="295" t="n"/>
      <c r="W399" s="290" t="n"/>
      <c r="X399" s="295" t="n"/>
      <c r="Y399" s="295" t="n"/>
      <c r="Z399" s="295" t="n"/>
      <c r="AA399" s="295" t="n"/>
      <c r="AB399" s="293" t="n"/>
      <c r="AC399" s="295" t="n"/>
      <c r="AD399" s="295" t="n"/>
      <c r="AE399" s="294" t="n"/>
    </row>
    <row r="400">
      <c r="B400" s="279" t="n"/>
      <c r="C400" s="280" t="n"/>
      <c r="D400" s="295" t="n"/>
      <c r="E400" s="295" t="n"/>
      <c r="F400" s="295" t="n"/>
      <c r="G400" s="282" t="n"/>
      <c r="H400" s="295" t="n"/>
      <c r="I400" s="295" t="n"/>
      <c r="J400" s="282" t="n"/>
      <c r="K400" s="345" t="n"/>
      <c r="L400" s="295" t="n"/>
      <c r="M400" s="346" t="n"/>
      <c r="N400" s="295" t="n"/>
      <c r="O400" s="285" t="n"/>
      <c r="P400" s="295" t="n"/>
      <c r="Q400" s="295" t="n"/>
      <c r="R400" s="282" t="n"/>
      <c r="S400" s="295" t="n"/>
      <c r="T400" s="295" t="n"/>
      <c r="U400" s="285" t="n"/>
      <c r="V400" s="295" t="n"/>
      <c r="W400" s="282" t="n"/>
      <c r="X400" s="295" t="n"/>
      <c r="Y400" s="295" t="n"/>
      <c r="Z400" s="295" t="n"/>
      <c r="AA400" s="295" t="n"/>
      <c r="AB400" s="285" t="n"/>
      <c r="AC400" s="295" t="n"/>
      <c r="AD400" s="295" t="n"/>
      <c r="AE400" s="286" t="n"/>
    </row>
    <row r="401">
      <c r="B401" s="287" t="n"/>
      <c r="C401" s="288" t="n"/>
      <c r="D401" s="295" t="n"/>
      <c r="E401" s="295" t="n"/>
      <c r="F401" s="295" t="n"/>
      <c r="G401" s="290" t="n"/>
      <c r="H401" s="295" t="n"/>
      <c r="I401" s="295" t="n"/>
      <c r="J401" s="290" t="n"/>
      <c r="K401" s="347" t="n"/>
      <c r="L401" s="295" t="n"/>
      <c r="M401" s="348" t="n"/>
      <c r="N401" s="295" t="n"/>
      <c r="O401" s="293" t="n"/>
      <c r="P401" s="295" t="n"/>
      <c r="Q401" s="295" t="n"/>
      <c r="R401" s="290" t="n"/>
      <c r="S401" s="295" t="n"/>
      <c r="T401" s="295" t="n"/>
      <c r="U401" s="293" t="n"/>
      <c r="V401" s="295" t="n"/>
      <c r="W401" s="290" t="n"/>
      <c r="X401" s="295" t="n"/>
      <c r="Y401" s="295" t="n"/>
      <c r="Z401" s="295" t="n"/>
      <c r="AA401" s="295" t="n"/>
      <c r="AB401" s="293" t="n"/>
      <c r="AC401" s="295" t="n"/>
      <c r="AD401" s="295" t="n"/>
      <c r="AE401" s="294" t="n"/>
    </row>
    <row r="402">
      <c r="B402" s="279" t="n"/>
      <c r="C402" s="280" t="n"/>
      <c r="D402" s="295" t="n"/>
      <c r="E402" s="295" t="n"/>
      <c r="F402" s="295" t="n"/>
      <c r="G402" s="282" t="n"/>
      <c r="H402" s="295" t="n"/>
      <c r="I402" s="295" t="n"/>
      <c r="J402" s="282" t="n"/>
      <c r="K402" s="345" t="n"/>
      <c r="L402" s="295" t="n"/>
      <c r="M402" s="346" t="n"/>
      <c r="N402" s="295" t="n"/>
      <c r="O402" s="285" t="n"/>
      <c r="P402" s="295" t="n"/>
      <c r="Q402" s="295" t="n"/>
      <c r="R402" s="282" t="n"/>
      <c r="S402" s="295" t="n"/>
      <c r="T402" s="295" t="n"/>
      <c r="U402" s="285" t="n"/>
      <c r="V402" s="295" t="n"/>
      <c r="W402" s="282" t="n"/>
      <c r="X402" s="295" t="n"/>
      <c r="Y402" s="295" t="n"/>
      <c r="Z402" s="295" t="n"/>
      <c r="AA402" s="295" t="n"/>
      <c r="AB402" s="285" t="n"/>
      <c r="AC402" s="295" t="n"/>
      <c r="AD402" s="295" t="n"/>
      <c r="AE402" s="286" t="n"/>
    </row>
    <row r="403">
      <c r="B403" s="287" t="n"/>
      <c r="C403" s="288" t="n"/>
      <c r="D403" s="295" t="n"/>
      <c r="E403" s="295" t="n"/>
      <c r="F403" s="295" t="n"/>
      <c r="G403" s="290" t="n"/>
      <c r="H403" s="295" t="n"/>
      <c r="I403" s="295" t="n"/>
      <c r="J403" s="290" t="n"/>
      <c r="K403" s="347" t="n"/>
      <c r="L403" s="295" t="n"/>
      <c r="M403" s="348" t="n"/>
      <c r="N403" s="295" t="n"/>
      <c r="O403" s="293" t="n"/>
      <c r="P403" s="295" t="n"/>
      <c r="Q403" s="295" t="n"/>
      <c r="R403" s="290" t="n"/>
      <c r="S403" s="295" t="n"/>
      <c r="T403" s="295" t="n"/>
      <c r="U403" s="293" t="n"/>
      <c r="V403" s="295" t="n"/>
      <c r="W403" s="290" t="n"/>
      <c r="X403" s="295" t="n"/>
      <c r="Y403" s="295" t="n"/>
      <c r="Z403" s="295" t="n"/>
      <c r="AA403" s="295" t="n"/>
      <c r="AB403" s="293" t="n"/>
      <c r="AC403" s="295" t="n"/>
      <c r="AD403" s="295" t="n"/>
      <c r="AE403" s="294" t="n"/>
    </row>
    <row r="404">
      <c r="B404" s="279" t="n"/>
      <c r="C404" s="280" t="n"/>
      <c r="D404" s="295" t="n"/>
      <c r="E404" s="295" t="n"/>
      <c r="F404" s="295" t="n"/>
      <c r="G404" s="282" t="n"/>
      <c r="H404" s="295" t="n"/>
      <c r="I404" s="295" t="n"/>
      <c r="J404" s="282" t="n"/>
      <c r="K404" s="345" t="n"/>
      <c r="L404" s="295" t="n"/>
      <c r="M404" s="346" t="n"/>
      <c r="N404" s="295" t="n"/>
      <c r="O404" s="285" t="n"/>
      <c r="P404" s="295" t="n"/>
      <c r="Q404" s="295" t="n"/>
      <c r="R404" s="282" t="n"/>
      <c r="S404" s="295" t="n"/>
      <c r="T404" s="295" t="n"/>
      <c r="U404" s="285" t="n"/>
      <c r="V404" s="295" t="n"/>
      <c r="W404" s="282" t="n"/>
      <c r="X404" s="295" t="n"/>
      <c r="Y404" s="295" t="n"/>
      <c r="Z404" s="295" t="n"/>
      <c r="AA404" s="295" t="n"/>
      <c r="AB404" s="285" t="n"/>
      <c r="AC404" s="295" t="n"/>
      <c r="AD404" s="295" t="n"/>
      <c r="AE404" s="286" t="n"/>
    </row>
    <row r="405">
      <c r="B405" s="287" t="n"/>
      <c r="C405" s="288" t="n"/>
      <c r="D405" s="295" t="n"/>
      <c r="E405" s="295" t="n"/>
      <c r="F405" s="295" t="n"/>
      <c r="G405" s="290" t="n"/>
      <c r="H405" s="295" t="n"/>
      <c r="I405" s="295" t="n"/>
      <c r="J405" s="290" t="n"/>
      <c r="K405" s="347" t="n"/>
      <c r="L405" s="295" t="n"/>
      <c r="M405" s="348" t="n"/>
      <c r="N405" s="295" t="n"/>
      <c r="O405" s="293" t="n"/>
      <c r="P405" s="295" t="n"/>
      <c r="Q405" s="295" t="n"/>
      <c r="R405" s="290" t="n"/>
      <c r="S405" s="295" t="n"/>
      <c r="T405" s="295" t="n"/>
      <c r="U405" s="293" t="n"/>
      <c r="V405" s="295" t="n"/>
      <c r="W405" s="290" t="n"/>
      <c r="X405" s="295" t="n"/>
      <c r="Y405" s="295" t="n"/>
      <c r="Z405" s="295" t="n"/>
      <c r="AA405" s="295" t="n"/>
      <c r="AB405" s="293" t="n"/>
      <c r="AC405" s="295" t="n"/>
      <c r="AD405" s="295" t="n"/>
      <c r="AE405" s="294" t="n"/>
    </row>
    <row r="406">
      <c r="B406" s="279" t="n"/>
      <c r="C406" s="280" t="n"/>
      <c r="D406" s="295" t="n"/>
      <c r="E406" s="295" t="n"/>
      <c r="F406" s="295" t="n"/>
      <c r="G406" s="282" t="n"/>
      <c r="H406" s="295" t="n"/>
      <c r="I406" s="295" t="n"/>
      <c r="J406" s="282" t="n"/>
      <c r="K406" s="345" t="n"/>
      <c r="L406" s="295" t="n"/>
      <c r="M406" s="346" t="n"/>
      <c r="N406" s="295" t="n"/>
      <c r="O406" s="285" t="n"/>
      <c r="P406" s="295" t="n"/>
      <c r="Q406" s="295" t="n"/>
      <c r="R406" s="282" t="n"/>
      <c r="S406" s="295" t="n"/>
      <c r="T406" s="295" t="n"/>
      <c r="U406" s="285" t="n"/>
      <c r="V406" s="295" t="n"/>
      <c r="W406" s="282" t="n"/>
      <c r="X406" s="295" t="n"/>
      <c r="Y406" s="295" t="n"/>
      <c r="Z406" s="295" t="n"/>
      <c r="AA406" s="295" t="n"/>
      <c r="AB406" s="285" t="n"/>
      <c r="AC406" s="295" t="n"/>
      <c r="AD406" s="295" t="n"/>
      <c r="AE406" s="286" t="n"/>
    </row>
    <row r="407">
      <c r="B407" s="287" t="n"/>
      <c r="C407" s="288" t="n"/>
      <c r="D407" s="295" t="n"/>
      <c r="E407" s="295" t="n"/>
      <c r="F407" s="295" t="n"/>
      <c r="G407" s="290" t="n"/>
      <c r="H407" s="295" t="n"/>
      <c r="I407" s="295" t="n"/>
      <c r="J407" s="290" t="n"/>
      <c r="K407" s="347" t="n"/>
      <c r="L407" s="295" t="n"/>
      <c r="M407" s="348" t="n"/>
      <c r="N407" s="295" t="n"/>
      <c r="O407" s="293" t="n"/>
      <c r="P407" s="295" t="n"/>
      <c r="Q407" s="295" t="n"/>
      <c r="R407" s="290" t="n"/>
      <c r="S407" s="295" t="n"/>
      <c r="T407" s="295" t="n"/>
      <c r="U407" s="293" t="n"/>
      <c r="V407" s="295" t="n"/>
      <c r="W407" s="290" t="n"/>
      <c r="X407" s="295" t="n"/>
      <c r="Y407" s="295" t="n"/>
      <c r="Z407" s="295" t="n"/>
      <c r="AA407" s="295" t="n"/>
      <c r="AB407" s="293" t="n"/>
      <c r="AC407" s="295" t="n"/>
      <c r="AD407" s="295" t="n"/>
      <c r="AE407" s="294" t="n"/>
    </row>
    <row r="408">
      <c r="B408" s="279" t="n"/>
      <c r="C408" s="280" t="n"/>
      <c r="D408" s="295" t="n"/>
      <c r="E408" s="295" t="n"/>
      <c r="F408" s="295" t="n"/>
      <c r="G408" s="282" t="n"/>
      <c r="H408" s="295" t="n"/>
      <c r="I408" s="295" t="n"/>
      <c r="J408" s="282" t="n"/>
      <c r="K408" s="345" t="n"/>
      <c r="L408" s="295" t="n"/>
      <c r="M408" s="346" t="n"/>
      <c r="N408" s="295" t="n"/>
      <c r="O408" s="285" t="n"/>
      <c r="P408" s="295" t="n"/>
      <c r="Q408" s="295" t="n"/>
      <c r="R408" s="282" t="n"/>
      <c r="S408" s="295" t="n"/>
      <c r="T408" s="295" t="n"/>
      <c r="U408" s="285" t="n"/>
      <c r="V408" s="295" t="n"/>
      <c r="W408" s="282" t="n"/>
      <c r="X408" s="295" t="n"/>
      <c r="Y408" s="295" t="n"/>
      <c r="Z408" s="295" t="n"/>
      <c r="AA408" s="295" t="n"/>
      <c r="AB408" s="285" t="n"/>
      <c r="AC408" s="295" t="n"/>
      <c r="AD408" s="295" t="n"/>
      <c r="AE408" s="286" t="n"/>
    </row>
    <row r="409">
      <c r="B409" s="287" t="n"/>
      <c r="C409" s="288" t="n"/>
      <c r="D409" s="295" t="n"/>
      <c r="E409" s="295" t="n"/>
      <c r="F409" s="295" t="n"/>
      <c r="G409" s="290" t="n"/>
      <c r="H409" s="295" t="n"/>
      <c r="I409" s="295" t="n"/>
      <c r="J409" s="290" t="n"/>
      <c r="K409" s="347" t="n"/>
      <c r="L409" s="295" t="n"/>
      <c r="M409" s="348" t="n"/>
      <c r="N409" s="295" t="n"/>
      <c r="O409" s="293" t="n"/>
      <c r="P409" s="295" t="n"/>
      <c r="Q409" s="295" t="n"/>
      <c r="R409" s="290" t="n"/>
      <c r="S409" s="295" t="n"/>
      <c r="T409" s="295" t="n"/>
      <c r="U409" s="293" t="n"/>
      <c r="V409" s="295" t="n"/>
      <c r="W409" s="290" t="n"/>
      <c r="X409" s="295" t="n"/>
      <c r="Y409" s="295" t="n"/>
      <c r="Z409" s="295" t="n"/>
      <c r="AA409" s="295" t="n"/>
      <c r="AB409" s="293" t="n"/>
      <c r="AC409" s="295" t="n"/>
      <c r="AD409" s="295" t="n"/>
      <c r="AE409" s="294" t="n"/>
    </row>
    <row r="410">
      <c r="B410" s="279" t="n"/>
      <c r="C410" s="280" t="n"/>
      <c r="D410" s="295" t="n"/>
      <c r="E410" s="295" t="n"/>
      <c r="F410" s="295" t="n"/>
      <c r="G410" s="282" t="n"/>
      <c r="H410" s="295" t="n"/>
      <c r="I410" s="295" t="n"/>
      <c r="J410" s="282" t="n"/>
      <c r="K410" s="345" t="n"/>
      <c r="L410" s="295" t="n"/>
      <c r="M410" s="346" t="n"/>
      <c r="N410" s="295" t="n"/>
      <c r="O410" s="285" t="n"/>
      <c r="P410" s="295" t="n"/>
      <c r="Q410" s="295" t="n"/>
      <c r="R410" s="282" t="n"/>
      <c r="S410" s="295" t="n"/>
      <c r="T410" s="295" t="n"/>
      <c r="U410" s="285" t="n"/>
      <c r="V410" s="295" t="n"/>
      <c r="W410" s="282" t="n"/>
      <c r="X410" s="295" t="n"/>
      <c r="Y410" s="295" t="n"/>
      <c r="Z410" s="295" t="n"/>
      <c r="AA410" s="295" t="n"/>
      <c r="AB410" s="285" t="n"/>
      <c r="AC410" s="295" t="n"/>
      <c r="AD410" s="295" t="n"/>
      <c r="AE410" s="286" t="n"/>
    </row>
    <row r="411">
      <c r="B411" s="287" t="n"/>
      <c r="C411" s="288" t="n"/>
      <c r="D411" s="295" t="n"/>
      <c r="E411" s="295" t="n"/>
      <c r="F411" s="295" t="n"/>
      <c r="G411" s="290" t="n"/>
      <c r="H411" s="295" t="n"/>
      <c r="I411" s="295" t="n"/>
      <c r="J411" s="290" t="n"/>
      <c r="K411" s="347" t="n"/>
      <c r="L411" s="295" t="n"/>
      <c r="M411" s="348" t="n"/>
      <c r="N411" s="295" t="n"/>
      <c r="O411" s="293" t="n"/>
      <c r="P411" s="295" t="n"/>
      <c r="Q411" s="295" t="n"/>
      <c r="R411" s="290" t="n"/>
      <c r="S411" s="295" t="n"/>
      <c r="T411" s="295" t="n"/>
      <c r="U411" s="293" t="n"/>
      <c r="V411" s="295" t="n"/>
      <c r="W411" s="290" t="n"/>
      <c r="X411" s="295" t="n"/>
      <c r="Y411" s="295" t="n"/>
      <c r="Z411" s="295" t="n"/>
      <c r="AA411" s="295" t="n"/>
      <c r="AB411" s="293" t="n"/>
      <c r="AC411" s="295" t="n"/>
      <c r="AD411" s="295" t="n"/>
      <c r="AE411" s="294" t="n"/>
    </row>
    <row r="412">
      <c r="B412" s="279" t="n"/>
      <c r="C412" s="280" t="n"/>
      <c r="D412" s="295" t="n"/>
      <c r="E412" s="295" t="n"/>
      <c r="F412" s="295" t="n"/>
      <c r="G412" s="282" t="n"/>
      <c r="H412" s="295" t="n"/>
      <c r="I412" s="295" t="n"/>
      <c r="J412" s="282" t="n"/>
      <c r="K412" s="345" t="n"/>
      <c r="L412" s="295" t="n"/>
      <c r="M412" s="346" t="n"/>
      <c r="N412" s="295" t="n"/>
      <c r="O412" s="285" t="n"/>
      <c r="P412" s="295" t="n"/>
      <c r="Q412" s="295" t="n"/>
      <c r="R412" s="282" t="n"/>
      <c r="S412" s="295" t="n"/>
      <c r="T412" s="295" t="n"/>
      <c r="U412" s="285" t="n"/>
      <c r="V412" s="295" t="n"/>
      <c r="W412" s="282" t="n"/>
      <c r="X412" s="295" t="n"/>
      <c r="Y412" s="295" t="n"/>
      <c r="Z412" s="295" t="n"/>
      <c r="AA412" s="295" t="n"/>
      <c r="AB412" s="285" t="n"/>
      <c r="AC412" s="295" t="n"/>
      <c r="AD412" s="295" t="n"/>
      <c r="AE412" s="286" t="n"/>
    </row>
    <row r="413">
      <c r="B413" s="287" t="n"/>
      <c r="C413" s="288" t="n"/>
      <c r="D413" s="295" t="n"/>
      <c r="E413" s="295" t="n"/>
      <c r="F413" s="295" t="n"/>
      <c r="G413" s="290" t="n"/>
      <c r="H413" s="295" t="n"/>
      <c r="I413" s="295" t="n"/>
      <c r="J413" s="290" t="n"/>
      <c r="K413" s="347" t="n"/>
      <c r="L413" s="295" t="n"/>
      <c r="M413" s="348" t="n"/>
      <c r="N413" s="295" t="n"/>
      <c r="O413" s="293" t="n"/>
      <c r="P413" s="295" t="n"/>
      <c r="Q413" s="295" t="n"/>
      <c r="R413" s="290" t="n"/>
      <c r="S413" s="295" t="n"/>
      <c r="T413" s="295" t="n"/>
      <c r="U413" s="293" t="n"/>
      <c r="V413" s="295" t="n"/>
      <c r="W413" s="290" t="n"/>
      <c r="X413" s="295" t="n"/>
      <c r="Y413" s="295" t="n"/>
      <c r="Z413" s="295" t="n"/>
      <c r="AA413" s="295" t="n"/>
      <c r="AB413" s="293" t="n"/>
      <c r="AC413" s="295" t="n"/>
      <c r="AD413" s="295" t="n"/>
      <c r="AE413" s="294" t="n"/>
    </row>
    <row r="414">
      <c r="B414" s="279" t="n"/>
      <c r="C414" s="280" t="n"/>
      <c r="D414" s="295" t="n"/>
      <c r="E414" s="295" t="n"/>
      <c r="F414" s="295" t="n"/>
      <c r="G414" s="282" t="n"/>
      <c r="H414" s="295" t="n"/>
      <c r="I414" s="295" t="n"/>
      <c r="J414" s="282" t="n"/>
      <c r="K414" s="345" t="n"/>
      <c r="L414" s="295" t="n"/>
      <c r="M414" s="346" t="n"/>
      <c r="N414" s="295" t="n"/>
      <c r="O414" s="285" t="n"/>
      <c r="P414" s="295" t="n"/>
      <c r="Q414" s="295" t="n"/>
      <c r="R414" s="282" t="n"/>
      <c r="S414" s="295" t="n"/>
      <c r="T414" s="295" t="n"/>
      <c r="U414" s="285" t="n"/>
      <c r="V414" s="295" t="n"/>
      <c r="W414" s="282" t="n"/>
      <c r="X414" s="295" t="n"/>
      <c r="Y414" s="295" t="n"/>
      <c r="Z414" s="295" t="n"/>
      <c r="AA414" s="295" t="n"/>
      <c r="AB414" s="285" t="n"/>
      <c r="AC414" s="295" t="n"/>
      <c r="AD414" s="295" t="n"/>
      <c r="AE414" s="286" t="n"/>
    </row>
    <row r="415">
      <c r="B415" s="287" t="n"/>
      <c r="C415" s="288" t="n"/>
      <c r="D415" s="295" t="n"/>
      <c r="E415" s="295" t="n"/>
      <c r="F415" s="295" t="n"/>
      <c r="G415" s="290" t="n"/>
      <c r="H415" s="295" t="n"/>
      <c r="I415" s="295" t="n"/>
      <c r="J415" s="290" t="n"/>
      <c r="K415" s="347" t="n"/>
      <c r="L415" s="295" t="n"/>
      <c r="M415" s="348" t="n"/>
      <c r="N415" s="295" t="n"/>
      <c r="O415" s="293" t="n"/>
      <c r="P415" s="295" t="n"/>
      <c r="Q415" s="295" t="n"/>
      <c r="R415" s="290" t="n"/>
      <c r="S415" s="295" t="n"/>
      <c r="T415" s="295" t="n"/>
      <c r="U415" s="293" t="n"/>
      <c r="V415" s="295" t="n"/>
      <c r="W415" s="290" t="n"/>
      <c r="X415" s="295" t="n"/>
      <c r="Y415" s="295" t="n"/>
      <c r="Z415" s="295" t="n"/>
      <c r="AA415" s="295" t="n"/>
      <c r="AB415" s="293" t="n"/>
      <c r="AC415" s="295" t="n"/>
      <c r="AD415" s="295" t="n"/>
      <c r="AE415" s="294" t="n"/>
    </row>
    <row r="416">
      <c r="B416" s="279" t="n"/>
      <c r="C416" s="280" t="n"/>
      <c r="D416" s="295" t="n"/>
      <c r="E416" s="295" t="n"/>
      <c r="F416" s="295" t="n"/>
      <c r="G416" s="282" t="n"/>
      <c r="H416" s="295" t="n"/>
      <c r="I416" s="295" t="n"/>
      <c r="J416" s="282" t="n"/>
      <c r="K416" s="345" t="n"/>
      <c r="L416" s="295" t="n"/>
      <c r="M416" s="346" t="n"/>
      <c r="N416" s="295" t="n"/>
      <c r="O416" s="285" t="n"/>
      <c r="P416" s="295" t="n"/>
      <c r="Q416" s="295" t="n"/>
      <c r="R416" s="282" t="n"/>
      <c r="S416" s="295" t="n"/>
      <c r="T416" s="295" t="n"/>
      <c r="U416" s="285" t="n"/>
      <c r="V416" s="295" t="n"/>
      <c r="W416" s="282" t="n"/>
      <c r="X416" s="295" t="n"/>
      <c r="Y416" s="295" t="n"/>
      <c r="Z416" s="295" t="n"/>
      <c r="AA416" s="295" t="n"/>
      <c r="AB416" s="285" t="n"/>
      <c r="AC416" s="295" t="n"/>
      <c r="AD416" s="295" t="n"/>
      <c r="AE416" s="286" t="n"/>
    </row>
    <row r="417">
      <c r="B417" s="287" t="n"/>
      <c r="C417" s="288" t="n"/>
      <c r="D417" s="295" t="n"/>
      <c r="E417" s="295" t="n"/>
      <c r="F417" s="295" t="n"/>
      <c r="G417" s="290" t="n"/>
      <c r="H417" s="295" t="n"/>
      <c r="I417" s="295" t="n"/>
      <c r="J417" s="290" t="n"/>
      <c r="K417" s="347" t="n"/>
      <c r="L417" s="295" t="n"/>
      <c r="M417" s="348" t="n"/>
      <c r="N417" s="295" t="n"/>
      <c r="O417" s="293" t="n"/>
      <c r="P417" s="295" t="n"/>
      <c r="Q417" s="295" t="n"/>
      <c r="R417" s="290" t="n"/>
      <c r="S417" s="295" t="n"/>
      <c r="T417" s="295" t="n"/>
      <c r="U417" s="293" t="n"/>
      <c r="V417" s="295" t="n"/>
      <c r="W417" s="290" t="n"/>
      <c r="X417" s="295" t="n"/>
      <c r="Y417" s="295" t="n"/>
      <c r="Z417" s="295" t="n"/>
      <c r="AA417" s="295" t="n"/>
      <c r="AB417" s="293" t="n"/>
      <c r="AC417" s="295" t="n"/>
      <c r="AD417" s="295" t="n"/>
      <c r="AE417" s="294" t="n"/>
    </row>
    <row r="418">
      <c r="B418" s="279" t="n"/>
      <c r="C418" s="280" t="n"/>
      <c r="D418" s="295" t="n"/>
      <c r="E418" s="295" t="n"/>
      <c r="F418" s="295" t="n"/>
      <c r="G418" s="282" t="n"/>
      <c r="H418" s="295" t="n"/>
      <c r="I418" s="295" t="n"/>
      <c r="J418" s="282" t="n"/>
      <c r="K418" s="345" t="n"/>
      <c r="L418" s="295" t="n"/>
      <c r="M418" s="346" t="n"/>
      <c r="N418" s="295" t="n"/>
      <c r="O418" s="285" t="n"/>
      <c r="P418" s="295" t="n"/>
      <c r="Q418" s="295" t="n"/>
      <c r="R418" s="282" t="n"/>
      <c r="S418" s="295" t="n"/>
      <c r="T418" s="295" t="n"/>
      <c r="U418" s="285" t="n"/>
      <c r="V418" s="295" t="n"/>
      <c r="W418" s="282" t="n"/>
      <c r="X418" s="295" t="n"/>
      <c r="Y418" s="295" t="n"/>
      <c r="Z418" s="295" t="n"/>
      <c r="AA418" s="295" t="n"/>
      <c r="AB418" s="285" t="n"/>
      <c r="AC418" s="295" t="n"/>
      <c r="AD418" s="295" t="n"/>
      <c r="AE418" s="286" t="n"/>
    </row>
    <row r="419">
      <c r="B419" s="287" t="n"/>
      <c r="C419" s="288" t="n"/>
      <c r="D419" s="295" t="n"/>
      <c r="E419" s="295" t="n"/>
      <c r="F419" s="295" t="n"/>
      <c r="G419" s="290" t="n"/>
      <c r="H419" s="295" t="n"/>
      <c r="I419" s="295" t="n"/>
      <c r="J419" s="290" t="n"/>
      <c r="K419" s="347" t="n"/>
      <c r="L419" s="295" t="n"/>
      <c r="M419" s="348" t="n"/>
      <c r="N419" s="295" t="n"/>
      <c r="O419" s="293" t="n"/>
      <c r="P419" s="295" t="n"/>
      <c r="Q419" s="295" t="n"/>
      <c r="R419" s="290" t="n"/>
      <c r="S419" s="295" t="n"/>
      <c r="T419" s="295" t="n"/>
      <c r="U419" s="293" t="n"/>
      <c r="V419" s="295" t="n"/>
      <c r="W419" s="290" t="n"/>
      <c r="X419" s="295" t="n"/>
      <c r="Y419" s="295" t="n"/>
      <c r="Z419" s="295" t="n"/>
      <c r="AA419" s="295" t="n"/>
      <c r="AB419" s="293" t="n"/>
      <c r="AC419" s="295" t="n"/>
      <c r="AD419" s="295" t="n"/>
      <c r="AE419" s="294" t="n"/>
    </row>
    <row r="420">
      <c r="B420" s="279" t="n"/>
      <c r="C420" s="280" t="n"/>
      <c r="D420" s="295" t="n"/>
      <c r="E420" s="295" t="n"/>
      <c r="F420" s="295" t="n"/>
      <c r="G420" s="282" t="n"/>
      <c r="H420" s="295" t="n"/>
      <c r="I420" s="295" t="n"/>
      <c r="J420" s="282" t="n"/>
      <c r="K420" s="345" t="n"/>
      <c r="L420" s="295" t="n"/>
      <c r="M420" s="346" t="n"/>
      <c r="N420" s="295" t="n"/>
      <c r="O420" s="285" t="n"/>
      <c r="P420" s="295" t="n"/>
      <c r="Q420" s="295" t="n"/>
      <c r="R420" s="282" t="n"/>
      <c r="S420" s="295" t="n"/>
      <c r="T420" s="295" t="n"/>
      <c r="U420" s="285" t="n"/>
      <c r="V420" s="295" t="n"/>
      <c r="W420" s="282" t="n"/>
      <c r="X420" s="295" t="n"/>
      <c r="Y420" s="295" t="n"/>
      <c r="Z420" s="295" t="n"/>
      <c r="AA420" s="295" t="n"/>
      <c r="AB420" s="285" t="n"/>
      <c r="AC420" s="295" t="n"/>
      <c r="AD420" s="295" t="n"/>
      <c r="AE420" s="286" t="n"/>
    </row>
    <row r="421">
      <c r="B421" s="287" t="n"/>
      <c r="C421" s="288" t="n"/>
      <c r="D421" s="295" t="n"/>
      <c r="E421" s="295" t="n"/>
      <c r="F421" s="295" t="n"/>
      <c r="G421" s="290" t="n"/>
      <c r="H421" s="295" t="n"/>
      <c r="I421" s="295" t="n"/>
      <c r="J421" s="290" t="n"/>
      <c r="K421" s="347" t="n"/>
      <c r="L421" s="295" t="n"/>
      <c r="M421" s="348" t="n"/>
      <c r="N421" s="295" t="n"/>
      <c r="O421" s="293" t="n"/>
      <c r="P421" s="295" t="n"/>
      <c r="Q421" s="295" t="n"/>
      <c r="R421" s="290" t="n"/>
      <c r="S421" s="295" t="n"/>
      <c r="T421" s="295" t="n"/>
      <c r="U421" s="293" t="n"/>
      <c r="V421" s="295" t="n"/>
      <c r="W421" s="290" t="n"/>
      <c r="X421" s="295" t="n"/>
      <c r="Y421" s="295" t="n"/>
      <c r="Z421" s="295" t="n"/>
      <c r="AA421" s="295" t="n"/>
      <c r="AB421" s="293" t="n"/>
      <c r="AC421" s="295" t="n"/>
      <c r="AD421" s="295" t="n"/>
      <c r="AE421" s="294" t="n"/>
    </row>
    <row r="422">
      <c r="B422" s="279" t="n"/>
      <c r="C422" s="280" t="n"/>
      <c r="D422" s="295" t="n"/>
      <c r="E422" s="295" t="n"/>
      <c r="F422" s="295" t="n"/>
      <c r="G422" s="282" t="n"/>
      <c r="H422" s="295" t="n"/>
      <c r="I422" s="295" t="n"/>
      <c r="J422" s="282" t="n"/>
      <c r="K422" s="345" t="n"/>
      <c r="L422" s="295" t="n"/>
      <c r="M422" s="346" t="n"/>
      <c r="N422" s="295" t="n"/>
      <c r="O422" s="285" t="n"/>
      <c r="P422" s="295" t="n"/>
      <c r="Q422" s="295" t="n"/>
      <c r="R422" s="282" t="n"/>
      <c r="S422" s="295" t="n"/>
      <c r="T422" s="295" t="n"/>
      <c r="U422" s="285" t="n"/>
      <c r="V422" s="295" t="n"/>
      <c r="W422" s="282" t="n"/>
      <c r="X422" s="295" t="n"/>
      <c r="Y422" s="295" t="n"/>
      <c r="Z422" s="295" t="n"/>
      <c r="AA422" s="295" t="n"/>
      <c r="AB422" s="285" t="n"/>
      <c r="AC422" s="295" t="n"/>
      <c r="AD422" s="295" t="n"/>
      <c r="AE422" s="286" t="n"/>
    </row>
    <row r="423">
      <c r="B423" s="287" t="n"/>
      <c r="C423" s="288" t="n"/>
      <c r="D423" s="295" t="n"/>
      <c r="E423" s="295" t="n"/>
      <c r="F423" s="295" t="n"/>
      <c r="G423" s="290" t="n"/>
      <c r="H423" s="295" t="n"/>
      <c r="I423" s="295" t="n"/>
      <c r="J423" s="290" t="n"/>
      <c r="K423" s="347" t="n"/>
      <c r="L423" s="295" t="n"/>
      <c r="M423" s="348" t="n"/>
      <c r="N423" s="295" t="n"/>
      <c r="O423" s="293" t="n"/>
      <c r="P423" s="295" t="n"/>
      <c r="Q423" s="295" t="n"/>
      <c r="R423" s="290" t="n"/>
      <c r="S423" s="295" t="n"/>
      <c r="T423" s="295" t="n"/>
      <c r="U423" s="293" t="n"/>
      <c r="V423" s="295" t="n"/>
      <c r="W423" s="290" t="n"/>
      <c r="X423" s="295" t="n"/>
      <c r="Y423" s="295" t="n"/>
      <c r="Z423" s="295" t="n"/>
      <c r="AA423" s="295" t="n"/>
      <c r="AB423" s="293" t="n"/>
      <c r="AC423" s="295" t="n"/>
      <c r="AD423" s="295" t="n"/>
      <c r="AE423" s="294" t="n"/>
    </row>
    <row r="424">
      <c r="B424" s="279" t="n"/>
      <c r="C424" s="280" t="n"/>
      <c r="D424" s="295" t="n"/>
      <c r="E424" s="295" t="n"/>
      <c r="F424" s="295" t="n"/>
      <c r="G424" s="282" t="n"/>
      <c r="H424" s="295" t="n"/>
      <c r="I424" s="295" t="n"/>
      <c r="J424" s="282" t="n"/>
      <c r="K424" s="345" t="n"/>
      <c r="L424" s="295" t="n"/>
      <c r="M424" s="346" t="n"/>
      <c r="N424" s="295" t="n"/>
      <c r="O424" s="285" t="n"/>
      <c r="P424" s="295" t="n"/>
      <c r="Q424" s="295" t="n"/>
      <c r="R424" s="282" t="n"/>
      <c r="S424" s="295" t="n"/>
      <c r="T424" s="295" t="n"/>
      <c r="U424" s="285" t="n"/>
      <c r="V424" s="295" t="n"/>
      <c r="W424" s="282" t="n"/>
      <c r="X424" s="295" t="n"/>
      <c r="Y424" s="295" t="n"/>
      <c r="Z424" s="295" t="n"/>
      <c r="AA424" s="295" t="n"/>
      <c r="AB424" s="285" t="n"/>
      <c r="AC424" s="295" t="n"/>
      <c r="AD424" s="295" t="n"/>
      <c r="AE424" s="286" t="n"/>
    </row>
    <row r="425">
      <c r="B425" s="287" t="n"/>
      <c r="C425" s="288" t="n"/>
      <c r="D425" s="295" t="n"/>
      <c r="E425" s="295" t="n"/>
      <c r="F425" s="295" t="n"/>
      <c r="G425" s="290" t="n"/>
      <c r="H425" s="295" t="n"/>
      <c r="I425" s="295" t="n"/>
      <c r="J425" s="290" t="n"/>
      <c r="K425" s="347" t="n"/>
      <c r="L425" s="295" t="n"/>
      <c r="M425" s="348" t="n"/>
      <c r="N425" s="295" t="n"/>
      <c r="O425" s="293" t="n"/>
      <c r="P425" s="295" t="n"/>
      <c r="Q425" s="295" t="n"/>
      <c r="R425" s="290" t="n"/>
      <c r="S425" s="295" t="n"/>
      <c r="T425" s="295" t="n"/>
      <c r="U425" s="293" t="n"/>
      <c r="V425" s="295" t="n"/>
      <c r="W425" s="290" t="n"/>
      <c r="X425" s="295" t="n"/>
      <c r="Y425" s="295" t="n"/>
      <c r="Z425" s="295" t="n"/>
      <c r="AA425" s="295" t="n"/>
      <c r="AB425" s="293" t="n"/>
      <c r="AC425" s="295" t="n"/>
      <c r="AD425" s="295" t="n"/>
      <c r="AE425" s="294" t="n"/>
    </row>
    <row r="426">
      <c r="B426" s="279" t="n"/>
      <c r="C426" s="280" t="n"/>
      <c r="D426" s="295" t="n"/>
      <c r="E426" s="295" t="n"/>
      <c r="F426" s="295" t="n"/>
      <c r="G426" s="282" t="n"/>
      <c r="H426" s="295" t="n"/>
      <c r="I426" s="295" t="n"/>
      <c r="J426" s="282" t="n"/>
      <c r="K426" s="345" t="n"/>
      <c r="L426" s="295" t="n"/>
      <c r="M426" s="346" t="n"/>
      <c r="N426" s="295" t="n"/>
      <c r="O426" s="285" t="n"/>
      <c r="P426" s="295" t="n"/>
      <c r="Q426" s="295" t="n"/>
      <c r="R426" s="282" t="n"/>
      <c r="S426" s="295" t="n"/>
      <c r="T426" s="295" t="n"/>
      <c r="U426" s="285" t="n"/>
      <c r="V426" s="295" t="n"/>
      <c r="W426" s="282" t="n"/>
      <c r="X426" s="295" t="n"/>
      <c r="Y426" s="295" t="n"/>
      <c r="Z426" s="295" t="n"/>
      <c r="AA426" s="295" t="n"/>
      <c r="AB426" s="285" t="n"/>
      <c r="AC426" s="295" t="n"/>
      <c r="AD426" s="295" t="n"/>
      <c r="AE426" s="286" t="n"/>
    </row>
    <row r="427">
      <c r="B427" s="287" t="n"/>
      <c r="C427" s="288" t="n"/>
      <c r="D427" s="295" t="n"/>
      <c r="E427" s="295" t="n"/>
      <c r="F427" s="295" t="n"/>
      <c r="G427" s="290" t="n"/>
      <c r="H427" s="295" t="n"/>
      <c r="I427" s="295" t="n"/>
      <c r="J427" s="290" t="n"/>
      <c r="K427" s="347" t="n"/>
      <c r="L427" s="295" t="n"/>
      <c r="M427" s="348" t="n"/>
      <c r="N427" s="295" t="n"/>
      <c r="O427" s="293" t="n"/>
      <c r="P427" s="295" t="n"/>
      <c r="Q427" s="295" t="n"/>
      <c r="R427" s="290" t="n"/>
      <c r="S427" s="295" t="n"/>
      <c r="T427" s="295" t="n"/>
      <c r="U427" s="293" t="n"/>
      <c r="V427" s="295" t="n"/>
      <c r="W427" s="290" t="n"/>
      <c r="X427" s="295" t="n"/>
      <c r="Y427" s="295" t="n"/>
      <c r="Z427" s="295" t="n"/>
      <c r="AA427" s="295" t="n"/>
      <c r="AB427" s="293" t="n"/>
      <c r="AC427" s="295" t="n"/>
      <c r="AD427" s="295" t="n"/>
      <c r="AE427" s="294" t="n"/>
    </row>
    <row r="428">
      <c r="B428" s="279" t="n"/>
      <c r="C428" s="280" t="n"/>
      <c r="D428" s="295" t="n"/>
      <c r="E428" s="295" t="n"/>
      <c r="F428" s="295" t="n"/>
      <c r="G428" s="282" t="n"/>
      <c r="H428" s="295" t="n"/>
      <c r="I428" s="295" t="n"/>
      <c r="J428" s="282" t="n"/>
      <c r="K428" s="345" t="n"/>
      <c r="L428" s="295" t="n"/>
      <c r="M428" s="346" t="n"/>
      <c r="N428" s="295" t="n"/>
      <c r="O428" s="285" t="n"/>
      <c r="P428" s="295" t="n"/>
      <c r="Q428" s="295" t="n"/>
      <c r="R428" s="282" t="n"/>
      <c r="S428" s="295" t="n"/>
      <c r="T428" s="295" t="n"/>
      <c r="U428" s="285" t="n"/>
      <c r="V428" s="295" t="n"/>
      <c r="W428" s="282" t="n"/>
      <c r="X428" s="295" t="n"/>
      <c r="Y428" s="295" t="n"/>
      <c r="Z428" s="295" t="n"/>
      <c r="AA428" s="295" t="n"/>
      <c r="AB428" s="285" t="n"/>
      <c r="AC428" s="295" t="n"/>
      <c r="AD428" s="295" t="n"/>
      <c r="AE428" s="286" t="n"/>
    </row>
    <row r="429">
      <c r="B429" s="287" t="n"/>
      <c r="C429" s="288" t="n"/>
      <c r="D429" s="295" t="n"/>
      <c r="E429" s="295" t="n"/>
      <c r="F429" s="295" t="n"/>
      <c r="G429" s="290" t="n"/>
      <c r="H429" s="295" t="n"/>
      <c r="I429" s="295" t="n"/>
      <c r="J429" s="290" t="n"/>
      <c r="K429" s="347" t="n"/>
      <c r="L429" s="295" t="n"/>
      <c r="M429" s="348" t="n"/>
      <c r="N429" s="295" t="n"/>
      <c r="O429" s="293" t="n"/>
      <c r="P429" s="295" t="n"/>
      <c r="Q429" s="295" t="n"/>
      <c r="R429" s="290" t="n"/>
      <c r="S429" s="295" t="n"/>
      <c r="T429" s="295" t="n"/>
      <c r="U429" s="293" t="n"/>
      <c r="V429" s="295" t="n"/>
      <c r="W429" s="290" t="n"/>
      <c r="X429" s="295" t="n"/>
      <c r="Y429" s="295" t="n"/>
      <c r="Z429" s="295" t="n"/>
      <c r="AA429" s="295" t="n"/>
      <c r="AB429" s="293" t="n"/>
      <c r="AC429" s="295" t="n"/>
      <c r="AD429" s="295" t="n"/>
      <c r="AE429" s="294" t="n"/>
    </row>
    <row r="430">
      <c r="B430" s="279" t="n"/>
      <c r="C430" s="280" t="n"/>
      <c r="D430" s="295" t="n"/>
      <c r="E430" s="295" t="n"/>
      <c r="F430" s="295" t="n"/>
      <c r="G430" s="282" t="n"/>
      <c r="H430" s="295" t="n"/>
      <c r="I430" s="295" t="n"/>
      <c r="J430" s="282" t="n"/>
      <c r="K430" s="345" t="n"/>
      <c r="L430" s="295" t="n"/>
      <c r="M430" s="346" t="n"/>
      <c r="N430" s="295" t="n"/>
      <c r="O430" s="285" t="n"/>
      <c r="P430" s="295" t="n"/>
      <c r="Q430" s="295" t="n"/>
      <c r="R430" s="282" t="n"/>
      <c r="S430" s="295" t="n"/>
      <c r="T430" s="295" t="n"/>
      <c r="U430" s="285" t="n"/>
      <c r="V430" s="295" t="n"/>
      <c r="W430" s="282" t="n"/>
      <c r="X430" s="295" t="n"/>
      <c r="Y430" s="295" t="n"/>
      <c r="Z430" s="295" t="n"/>
      <c r="AA430" s="295" t="n"/>
      <c r="AB430" s="285" t="n"/>
      <c r="AC430" s="295" t="n"/>
      <c r="AD430" s="295" t="n"/>
      <c r="AE430" s="286" t="n"/>
    </row>
    <row r="431">
      <c r="B431" s="287" t="n"/>
      <c r="C431" s="288" t="n"/>
      <c r="D431" s="295" t="n"/>
      <c r="E431" s="295" t="n"/>
      <c r="F431" s="295" t="n"/>
      <c r="G431" s="290" t="n"/>
      <c r="H431" s="295" t="n"/>
      <c r="I431" s="295" t="n"/>
      <c r="J431" s="290" t="n"/>
      <c r="K431" s="347" t="n"/>
      <c r="L431" s="295" t="n"/>
      <c r="M431" s="348" t="n"/>
      <c r="N431" s="295" t="n"/>
      <c r="O431" s="293" t="n"/>
      <c r="P431" s="295" t="n"/>
      <c r="Q431" s="295" t="n"/>
      <c r="R431" s="290" t="n"/>
      <c r="S431" s="295" t="n"/>
      <c r="T431" s="295" t="n"/>
      <c r="U431" s="293" t="n"/>
      <c r="V431" s="295" t="n"/>
      <c r="W431" s="290" t="n"/>
      <c r="X431" s="295" t="n"/>
      <c r="Y431" s="295" t="n"/>
      <c r="Z431" s="295" t="n"/>
      <c r="AA431" s="295" t="n"/>
      <c r="AB431" s="293" t="n"/>
      <c r="AC431" s="295" t="n"/>
      <c r="AD431" s="295" t="n"/>
      <c r="AE431" s="294" t="n"/>
    </row>
    <row r="432">
      <c r="B432" s="279" t="n"/>
      <c r="C432" s="280" t="n"/>
      <c r="D432" s="295" t="n"/>
      <c r="E432" s="295" t="n"/>
      <c r="F432" s="295" t="n"/>
      <c r="G432" s="282" t="n"/>
      <c r="H432" s="295" t="n"/>
      <c r="I432" s="295" t="n"/>
      <c r="J432" s="282" t="n"/>
      <c r="K432" s="345" t="n"/>
      <c r="L432" s="295" t="n"/>
      <c r="M432" s="346" t="n"/>
      <c r="N432" s="295" t="n"/>
      <c r="O432" s="285" t="n"/>
      <c r="P432" s="295" t="n"/>
      <c r="Q432" s="295" t="n"/>
      <c r="R432" s="282" t="n"/>
      <c r="S432" s="295" t="n"/>
      <c r="T432" s="295" t="n"/>
      <c r="U432" s="285" t="n"/>
      <c r="V432" s="295" t="n"/>
      <c r="W432" s="282" t="n"/>
      <c r="X432" s="295" t="n"/>
      <c r="Y432" s="295" t="n"/>
      <c r="Z432" s="295" t="n"/>
      <c r="AA432" s="295" t="n"/>
      <c r="AB432" s="285" t="n"/>
      <c r="AC432" s="295" t="n"/>
      <c r="AD432" s="295" t="n"/>
      <c r="AE432" s="286" t="n"/>
    </row>
    <row r="433">
      <c r="B433" s="287" t="n"/>
      <c r="C433" s="288" t="n"/>
      <c r="D433" s="295" t="n"/>
      <c r="E433" s="295" t="n"/>
      <c r="F433" s="295" t="n"/>
      <c r="G433" s="290" t="n"/>
      <c r="H433" s="295" t="n"/>
      <c r="I433" s="295" t="n"/>
      <c r="J433" s="290" t="n"/>
      <c r="K433" s="347" t="n"/>
      <c r="L433" s="295" t="n"/>
      <c r="M433" s="348" t="n"/>
      <c r="N433" s="295" t="n"/>
      <c r="O433" s="293" t="n"/>
      <c r="P433" s="295" t="n"/>
      <c r="Q433" s="295" t="n"/>
      <c r="R433" s="290" t="n"/>
      <c r="S433" s="295" t="n"/>
      <c r="T433" s="295" t="n"/>
      <c r="U433" s="293" t="n"/>
      <c r="V433" s="295" t="n"/>
      <c r="W433" s="290" t="n"/>
      <c r="X433" s="295" t="n"/>
      <c r="Y433" s="295" t="n"/>
      <c r="Z433" s="295" t="n"/>
      <c r="AA433" s="295" t="n"/>
      <c r="AB433" s="293" t="n"/>
      <c r="AC433" s="295" t="n"/>
      <c r="AD433" s="295" t="n"/>
      <c r="AE433" s="294" t="n"/>
    </row>
    <row r="434">
      <c r="B434" s="279" t="n"/>
      <c r="C434" s="280" t="n"/>
      <c r="D434" s="295" t="n"/>
      <c r="E434" s="295" t="n"/>
      <c r="F434" s="295" t="n"/>
      <c r="G434" s="282" t="n"/>
      <c r="H434" s="295" t="n"/>
      <c r="I434" s="295" t="n"/>
      <c r="J434" s="282" t="n"/>
      <c r="K434" s="345" t="n"/>
      <c r="L434" s="295" t="n"/>
      <c r="M434" s="346" t="n"/>
      <c r="N434" s="295" t="n"/>
      <c r="O434" s="285" t="n"/>
      <c r="P434" s="295" t="n"/>
      <c r="Q434" s="295" t="n"/>
      <c r="R434" s="282" t="n"/>
      <c r="S434" s="295" t="n"/>
      <c r="T434" s="295" t="n"/>
      <c r="U434" s="285" t="n"/>
      <c r="V434" s="295" t="n"/>
      <c r="W434" s="282" t="n"/>
      <c r="X434" s="295" t="n"/>
      <c r="Y434" s="295" t="n"/>
      <c r="Z434" s="295" t="n"/>
      <c r="AA434" s="295" t="n"/>
      <c r="AB434" s="285" t="n"/>
      <c r="AC434" s="295" t="n"/>
      <c r="AD434" s="295" t="n"/>
      <c r="AE434" s="286" t="n"/>
    </row>
    <row r="435">
      <c r="B435" s="287" t="n"/>
      <c r="C435" s="288" t="n"/>
      <c r="D435" s="295" t="n"/>
      <c r="E435" s="295" t="n"/>
      <c r="F435" s="295" t="n"/>
      <c r="G435" s="290" t="n"/>
      <c r="H435" s="295" t="n"/>
      <c r="I435" s="295" t="n"/>
      <c r="J435" s="290" t="n"/>
      <c r="K435" s="347" t="n"/>
      <c r="L435" s="295" t="n"/>
      <c r="M435" s="348" t="n"/>
      <c r="N435" s="295" t="n"/>
      <c r="O435" s="293" t="n"/>
      <c r="P435" s="295" t="n"/>
      <c r="Q435" s="295" t="n"/>
      <c r="R435" s="290" t="n"/>
      <c r="S435" s="295" t="n"/>
      <c r="T435" s="295" t="n"/>
      <c r="U435" s="293" t="n"/>
      <c r="V435" s="295" t="n"/>
      <c r="W435" s="290" t="n"/>
      <c r="X435" s="295" t="n"/>
      <c r="Y435" s="295" t="n"/>
      <c r="Z435" s="295" t="n"/>
      <c r="AA435" s="295" t="n"/>
      <c r="AB435" s="293" t="n"/>
      <c r="AC435" s="295" t="n"/>
      <c r="AD435" s="295" t="n"/>
      <c r="AE435" s="294" t="n"/>
    </row>
    <row r="436">
      <c r="B436" s="279" t="n"/>
      <c r="C436" s="280" t="n"/>
      <c r="D436" s="295" t="n"/>
      <c r="E436" s="295" t="n"/>
      <c r="F436" s="295" t="n"/>
      <c r="G436" s="282" t="n"/>
      <c r="H436" s="295" t="n"/>
      <c r="I436" s="295" t="n"/>
      <c r="J436" s="282" t="n"/>
      <c r="K436" s="345" t="n"/>
      <c r="L436" s="295" t="n"/>
      <c r="M436" s="346" t="n"/>
      <c r="N436" s="295" t="n"/>
      <c r="O436" s="285" t="n"/>
      <c r="P436" s="295" t="n"/>
      <c r="Q436" s="295" t="n"/>
      <c r="R436" s="282" t="n"/>
      <c r="S436" s="295" t="n"/>
      <c r="T436" s="295" t="n"/>
      <c r="U436" s="285" t="n"/>
      <c r="V436" s="295" t="n"/>
      <c r="W436" s="282" t="n"/>
      <c r="X436" s="295" t="n"/>
      <c r="Y436" s="295" t="n"/>
      <c r="Z436" s="295" t="n"/>
      <c r="AA436" s="295" t="n"/>
      <c r="AB436" s="285" t="n"/>
      <c r="AC436" s="295" t="n"/>
      <c r="AD436" s="295" t="n"/>
      <c r="AE436" s="286" t="n"/>
    </row>
    <row r="437">
      <c r="B437" s="287" t="n"/>
      <c r="C437" s="288" t="n"/>
      <c r="D437" s="295" t="n"/>
      <c r="E437" s="295" t="n"/>
      <c r="F437" s="295" t="n"/>
      <c r="G437" s="290" t="n"/>
      <c r="H437" s="295" t="n"/>
      <c r="I437" s="295" t="n"/>
      <c r="J437" s="290" t="n"/>
      <c r="K437" s="347" t="n"/>
      <c r="L437" s="295" t="n"/>
      <c r="M437" s="348" t="n"/>
      <c r="N437" s="295" t="n"/>
      <c r="O437" s="293" t="n"/>
      <c r="P437" s="295" t="n"/>
      <c r="Q437" s="295" t="n"/>
      <c r="R437" s="290" t="n"/>
      <c r="S437" s="295" t="n"/>
      <c r="T437" s="295" t="n"/>
      <c r="U437" s="293" t="n"/>
      <c r="V437" s="295" t="n"/>
      <c r="W437" s="290" t="n"/>
      <c r="X437" s="295" t="n"/>
      <c r="Y437" s="295" t="n"/>
      <c r="Z437" s="295" t="n"/>
      <c r="AA437" s="295" t="n"/>
      <c r="AB437" s="293" t="n"/>
      <c r="AC437" s="295" t="n"/>
      <c r="AD437" s="295" t="n"/>
      <c r="AE437" s="294" t="n"/>
    </row>
    <row r="438">
      <c r="B438" s="279" t="n"/>
      <c r="C438" s="280" t="n"/>
      <c r="D438" s="295" t="n"/>
      <c r="E438" s="295" t="n"/>
      <c r="F438" s="295" t="n"/>
      <c r="G438" s="282" t="n"/>
      <c r="H438" s="295" t="n"/>
      <c r="I438" s="295" t="n"/>
      <c r="J438" s="282" t="n"/>
      <c r="K438" s="345" t="n"/>
      <c r="L438" s="295" t="n"/>
      <c r="M438" s="346" t="n"/>
      <c r="N438" s="295" t="n"/>
      <c r="O438" s="285" t="n"/>
      <c r="P438" s="295" t="n"/>
      <c r="Q438" s="295" t="n"/>
      <c r="R438" s="282" t="n"/>
      <c r="S438" s="295" t="n"/>
      <c r="T438" s="295" t="n"/>
      <c r="U438" s="285" t="n"/>
      <c r="V438" s="295" t="n"/>
      <c r="W438" s="282" t="n"/>
      <c r="X438" s="295" t="n"/>
      <c r="Y438" s="295" t="n"/>
      <c r="Z438" s="295" t="n"/>
      <c r="AA438" s="295" t="n"/>
      <c r="AB438" s="285" t="n"/>
      <c r="AC438" s="295" t="n"/>
      <c r="AD438" s="295" t="n"/>
      <c r="AE438" s="286" t="n"/>
    </row>
    <row r="439">
      <c r="B439" s="287" t="n"/>
      <c r="C439" s="288" t="n"/>
      <c r="D439" s="295" t="n"/>
      <c r="E439" s="295" t="n"/>
      <c r="F439" s="295" t="n"/>
      <c r="G439" s="290" t="n"/>
      <c r="H439" s="295" t="n"/>
      <c r="I439" s="295" t="n"/>
      <c r="J439" s="290" t="n"/>
      <c r="K439" s="347" t="n"/>
      <c r="L439" s="295" t="n"/>
      <c r="M439" s="348" t="n"/>
      <c r="N439" s="295" t="n"/>
      <c r="O439" s="293" t="n"/>
      <c r="P439" s="295" t="n"/>
      <c r="Q439" s="295" t="n"/>
      <c r="R439" s="290" t="n"/>
      <c r="S439" s="295" t="n"/>
      <c r="T439" s="295" t="n"/>
      <c r="U439" s="293" t="n"/>
      <c r="V439" s="295" t="n"/>
      <c r="W439" s="290" t="n"/>
      <c r="X439" s="295" t="n"/>
      <c r="Y439" s="295" t="n"/>
      <c r="Z439" s="295" t="n"/>
      <c r="AA439" s="295" t="n"/>
      <c r="AB439" s="293" t="n"/>
      <c r="AC439" s="295" t="n"/>
      <c r="AD439" s="295" t="n"/>
      <c r="AE439" s="294" t="n"/>
    </row>
    <row r="440">
      <c r="B440" s="279" t="n"/>
      <c r="C440" s="280" t="n"/>
      <c r="D440" s="295" t="n"/>
      <c r="E440" s="295" t="n"/>
      <c r="F440" s="295" t="n"/>
      <c r="G440" s="282" t="n"/>
      <c r="H440" s="295" t="n"/>
      <c r="I440" s="295" t="n"/>
      <c r="J440" s="282" t="n"/>
      <c r="K440" s="345" t="n"/>
      <c r="L440" s="295" t="n"/>
      <c r="M440" s="346" t="n"/>
      <c r="N440" s="295" t="n"/>
      <c r="O440" s="285" t="n"/>
      <c r="P440" s="295" t="n"/>
      <c r="Q440" s="295" t="n"/>
      <c r="R440" s="282" t="n"/>
      <c r="S440" s="295" t="n"/>
      <c r="T440" s="295" t="n"/>
      <c r="U440" s="285" t="n"/>
      <c r="V440" s="295" t="n"/>
      <c r="W440" s="282" t="n"/>
      <c r="X440" s="295" t="n"/>
      <c r="Y440" s="295" t="n"/>
      <c r="Z440" s="295" t="n"/>
      <c r="AA440" s="295" t="n"/>
      <c r="AB440" s="285" t="n"/>
      <c r="AC440" s="295" t="n"/>
      <c r="AD440" s="295" t="n"/>
      <c r="AE440" s="286" t="n"/>
    </row>
    <row r="441">
      <c r="B441" s="287" t="n"/>
      <c r="C441" s="288" t="n"/>
      <c r="D441" s="295" t="n"/>
      <c r="E441" s="295" t="n"/>
      <c r="F441" s="295" t="n"/>
      <c r="G441" s="290" t="n"/>
      <c r="H441" s="295" t="n"/>
      <c r="I441" s="295" t="n"/>
      <c r="J441" s="290" t="n"/>
      <c r="K441" s="347" t="n"/>
      <c r="L441" s="295" t="n"/>
      <c r="M441" s="348" t="n"/>
      <c r="N441" s="295" t="n"/>
      <c r="O441" s="293" t="n"/>
      <c r="P441" s="295" t="n"/>
      <c r="Q441" s="295" t="n"/>
      <c r="R441" s="290" t="n"/>
      <c r="S441" s="295" t="n"/>
      <c r="T441" s="295" t="n"/>
      <c r="U441" s="293" t="n"/>
      <c r="V441" s="295" t="n"/>
      <c r="W441" s="290" t="n"/>
      <c r="X441" s="295" t="n"/>
      <c r="Y441" s="295" t="n"/>
      <c r="Z441" s="295" t="n"/>
      <c r="AA441" s="295" t="n"/>
      <c r="AB441" s="293" t="n"/>
      <c r="AC441" s="295" t="n"/>
      <c r="AD441" s="295" t="n"/>
      <c r="AE441" s="294" t="n"/>
    </row>
    <row r="442">
      <c r="B442" s="279" t="n"/>
      <c r="C442" s="280" t="n"/>
      <c r="D442" s="295" t="n"/>
      <c r="E442" s="295" t="n"/>
      <c r="F442" s="295" t="n"/>
      <c r="G442" s="282" t="n"/>
      <c r="H442" s="295" t="n"/>
      <c r="I442" s="295" t="n"/>
      <c r="J442" s="282" t="n"/>
      <c r="K442" s="345" t="n"/>
      <c r="L442" s="295" t="n"/>
      <c r="M442" s="346" t="n"/>
      <c r="N442" s="295" t="n"/>
      <c r="O442" s="285" t="n"/>
      <c r="P442" s="295" t="n"/>
      <c r="Q442" s="295" t="n"/>
      <c r="R442" s="282" t="n"/>
      <c r="S442" s="295" t="n"/>
      <c r="T442" s="295" t="n"/>
      <c r="U442" s="285" t="n"/>
      <c r="V442" s="295" t="n"/>
      <c r="W442" s="282" t="n"/>
      <c r="X442" s="295" t="n"/>
      <c r="Y442" s="295" t="n"/>
      <c r="Z442" s="295" t="n"/>
      <c r="AA442" s="295" t="n"/>
      <c r="AB442" s="285" t="n"/>
      <c r="AC442" s="295" t="n"/>
      <c r="AD442" s="295" t="n"/>
      <c r="AE442" s="286" t="n"/>
    </row>
    <row r="443">
      <c r="B443" s="287" t="n"/>
      <c r="C443" s="288" t="n"/>
      <c r="D443" s="295" t="n"/>
      <c r="E443" s="295" t="n"/>
      <c r="F443" s="295" t="n"/>
      <c r="G443" s="290" t="n"/>
      <c r="H443" s="295" t="n"/>
      <c r="I443" s="295" t="n"/>
      <c r="J443" s="290" t="n"/>
      <c r="K443" s="347" t="n"/>
      <c r="L443" s="295" t="n"/>
      <c r="M443" s="348" t="n"/>
      <c r="N443" s="295" t="n"/>
      <c r="O443" s="293" t="n"/>
      <c r="P443" s="295" t="n"/>
      <c r="Q443" s="295" t="n"/>
      <c r="R443" s="290" t="n"/>
      <c r="S443" s="295" t="n"/>
      <c r="T443" s="295" t="n"/>
      <c r="U443" s="293" t="n"/>
      <c r="V443" s="295" t="n"/>
      <c r="W443" s="290" t="n"/>
      <c r="X443" s="295" t="n"/>
      <c r="Y443" s="295" t="n"/>
      <c r="Z443" s="295" t="n"/>
      <c r="AA443" s="295" t="n"/>
      <c r="AB443" s="293" t="n"/>
      <c r="AC443" s="295" t="n"/>
      <c r="AD443" s="295" t="n"/>
      <c r="AE443" s="294" t="n"/>
    </row>
    <row r="444">
      <c r="B444" s="279" t="n"/>
      <c r="C444" s="280" t="n"/>
      <c r="D444" s="295" t="n"/>
      <c r="E444" s="295" t="n"/>
      <c r="F444" s="295" t="n"/>
      <c r="G444" s="282" t="n"/>
      <c r="H444" s="295" t="n"/>
      <c r="I444" s="295" t="n"/>
      <c r="J444" s="282" t="n"/>
      <c r="K444" s="345" t="n"/>
      <c r="L444" s="295" t="n"/>
      <c r="M444" s="346" t="n"/>
      <c r="N444" s="295" t="n"/>
      <c r="O444" s="285" t="n"/>
      <c r="P444" s="295" t="n"/>
      <c r="Q444" s="295" t="n"/>
      <c r="R444" s="282" t="n"/>
      <c r="S444" s="295" t="n"/>
      <c r="T444" s="295" t="n"/>
      <c r="U444" s="285" t="n"/>
      <c r="V444" s="295" t="n"/>
      <c r="W444" s="282" t="n"/>
      <c r="X444" s="295" t="n"/>
      <c r="Y444" s="295" t="n"/>
      <c r="Z444" s="295" t="n"/>
      <c r="AA444" s="295" t="n"/>
      <c r="AB444" s="285" t="n"/>
      <c r="AC444" s="295" t="n"/>
      <c r="AD444" s="295" t="n"/>
      <c r="AE444" s="286" t="n"/>
    </row>
    <row r="445">
      <c r="B445" s="279" t="n"/>
      <c r="C445" s="280" t="n"/>
      <c r="D445" s="295" t="n"/>
      <c r="E445" s="295" t="n"/>
      <c r="F445" s="295" t="n"/>
      <c r="G445" s="282" t="n"/>
      <c r="H445" s="295" t="n"/>
      <c r="I445" s="295" t="n"/>
      <c r="J445" s="282" t="n"/>
      <c r="K445" s="345" t="n"/>
      <c r="L445" s="295" t="n"/>
      <c r="M445" s="346" t="n"/>
      <c r="N445" s="295" t="n"/>
      <c r="O445" s="285" t="n"/>
      <c r="P445" s="295" t="n"/>
      <c r="Q445" s="295" t="n"/>
      <c r="R445" s="282" t="n"/>
      <c r="S445" s="295" t="n"/>
      <c r="T445" s="295" t="n"/>
      <c r="U445" s="285" t="n"/>
      <c r="V445" s="295" t="n"/>
      <c r="W445" s="282" t="n"/>
      <c r="X445" s="295" t="n"/>
      <c r="Y445" s="295" t="n"/>
      <c r="Z445" s="295" t="n"/>
      <c r="AA445" s="295" t="n"/>
      <c r="AB445" s="285" t="n"/>
      <c r="AC445" s="295" t="n"/>
      <c r="AD445" s="295" t="n"/>
      <c r="AE445" s="286" t="n"/>
    </row>
    <row r="446">
      <c r="B446" s="287" t="n"/>
      <c r="C446" s="288" t="n"/>
      <c r="D446" s="295" t="n"/>
      <c r="E446" s="295" t="n"/>
      <c r="F446" s="295" t="n"/>
      <c r="G446" s="290" t="n"/>
      <c r="H446" s="295" t="n"/>
      <c r="I446" s="295" t="n"/>
      <c r="J446" s="290" t="n"/>
      <c r="K446" s="347" t="n"/>
      <c r="L446" s="295" t="n"/>
      <c r="M446" s="348" t="n"/>
      <c r="N446" s="295" t="n"/>
      <c r="O446" s="293" t="n"/>
      <c r="P446" s="295" t="n"/>
      <c r="Q446" s="295" t="n"/>
      <c r="R446" s="290" t="n"/>
      <c r="S446" s="295" t="n"/>
      <c r="T446" s="295" t="n"/>
      <c r="U446" s="293" t="n"/>
      <c r="V446" s="295" t="n"/>
      <c r="W446" s="290" t="n"/>
      <c r="X446" s="295" t="n"/>
      <c r="Y446" s="295" t="n"/>
      <c r="Z446" s="295" t="n"/>
      <c r="AA446" s="295" t="n"/>
      <c r="AB446" s="293" t="n"/>
      <c r="AC446" s="295" t="n"/>
      <c r="AD446" s="295" t="n"/>
      <c r="AE446" s="294" t="n"/>
    </row>
    <row r="447">
      <c r="B447" s="279" t="n"/>
      <c r="C447" s="280" t="n"/>
      <c r="D447" s="295" t="n"/>
      <c r="E447" s="295" t="n"/>
      <c r="F447" s="295" t="n"/>
      <c r="G447" s="282" t="n"/>
      <c r="H447" s="295" t="n"/>
      <c r="I447" s="295" t="n"/>
      <c r="J447" s="282" t="n"/>
      <c r="K447" s="345" t="n"/>
      <c r="L447" s="295" t="n"/>
      <c r="M447" s="346" t="n"/>
      <c r="N447" s="295" t="n"/>
      <c r="O447" s="285" t="n"/>
      <c r="P447" s="295" t="n"/>
      <c r="Q447" s="295" t="n"/>
      <c r="R447" s="282" t="n"/>
      <c r="S447" s="295" t="n"/>
      <c r="T447" s="295" t="n"/>
      <c r="U447" s="285" t="n"/>
      <c r="V447" s="295" t="n"/>
      <c r="W447" s="282" t="n"/>
      <c r="X447" s="295" t="n"/>
      <c r="Y447" s="295" t="n"/>
      <c r="Z447" s="295" t="n"/>
      <c r="AA447" s="295" t="n"/>
      <c r="AB447" s="285" t="n"/>
      <c r="AC447" s="295" t="n"/>
      <c r="AD447" s="295" t="n"/>
      <c r="AE447" s="286" t="n"/>
    </row>
    <row r="448">
      <c r="B448" s="287" t="n"/>
      <c r="C448" s="288" t="n"/>
      <c r="D448" s="295" t="n"/>
      <c r="E448" s="295" t="n"/>
      <c r="F448" s="295" t="n"/>
      <c r="G448" s="290" t="n"/>
      <c r="H448" s="295" t="n"/>
      <c r="I448" s="295" t="n"/>
      <c r="J448" s="290" t="n"/>
      <c r="K448" s="347" t="n"/>
      <c r="L448" s="295" t="n"/>
      <c r="M448" s="348" t="n"/>
      <c r="N448" s="295" t="n"/>
      <c r="O448" s="293" t="n"/>
      <c r="P448" s="295" t="n"/>
      <c r="Q448" s="295" t="n"/>
      <c r="R448" s="290" t="n"/>
      <c r="S448" s="295" t="n"/>
      <c r="T448" s="295" t="n"/>
      <c r="U448" s="293" t="n"/>
      <c r="V448" s="295" t="n"/>
      <c r="W448" s="290" t="n"/>
      <c r="X448" s="295" t="n"/>
      <c r="Y448" s="295" t="n"/>
      <c r="Z448" s="295" t="n"/>
      <c r="AA448" s="295" t="n"/>
      <c r="AB448" s="293" t="n"/>
      <c r="AC448" s="295" t="n"/>
      <c r="AD448" s="295" t="n"/>
      <c r="AE448" s="294" t="n"/>
    </row>
    <row r="449">
      <c r="B449" s="279" t="n"/>
      <c r="C449" s="280" t="n"/>
      <c r="D449" s="295" t="n"/>
      <c r="E449" s="295" t="n"/>
      <c r="F449" s="295" t="n"/>
      <c r="G449" s="282" t="n"/>
      <c r="H449" s="295" t="n"/>
      <c r="I449" s="295" t="n"/>
      <c r="J449" s="282" t="n"/>
      <c r="K449" s="345" t="n"/>
      <c r="L449" s="295" t="n"/>
      <c r="M449" s="346" t="n"/>
      <c r="N449" s="295" t="n"/>
      <c r="O449" s="285" t="n"/>
      <c r="P449" s="295" t="n"/>
      <c r="Q449" s="295" t="n"/>
      <c r="R449" s="282" t="n"/>
      <c r="S449" s="295" t="n"/>
      <c r="T449" s="295" t="n"/>
      <c r="U449" s="285" t="n"/>
      <c r="V449" s="295" t="n"/>
      <c r="W449" s="282" t="n"/>
      <c r="X449" s="295" t="n"/>
      <c r="Y449" s="295" t="n"/>
      <c r="Z449" s="295" t="n"/>
      <c r="AA449" s="295" t="n"/>
      <c r="AB449" s="285" t="n"/>
      <c r="AC449" s="295" t="n"/>
      <c r="AD449" s="295" t="n"/>
      <c r="AE449" s="286" t="n"/>
    </row>
    <row r="450">
      <c r="B450" s="287" t="n"/>
      <c r="C450" s="288" t="n"/>
      <c r="D450" s="295" t="n"/>
      <c r="E450" s="295" t="n"/>
      <c r="F450" s="295" t="n"/>
      <c r="G450" s="290" t="n"/>
      <c r="H450" s="295" t="n"/>
      <c r="I450" s="295" t="n"/>
      <c r="J450" s="290" t="n"/>
      <c r="K450" s="347" t="n"/>
      <c r="L450" s="295" t="n"/>
      <c r="M450" s="348" t="n"/>
      <c r="N450" s="295" t="n"/>
      <c r="O450" s="293" t="n"/>
      <c r="P450" s="295" t="n"/>
      <c r="Q450" s="295" t="n"/>
      <c r="R450" s="290" t="n"/>
      <c r="S450" s="295" t="n"/>
      <c r="T450" s="295" t="n"/>
      <c r="U450" s="293" t="n"/>
      <c r="V450" s="295" t="n"/>
      <c r="W450" s="290" t="n"/>
      <c r="X450" s="295" t="n"/>
      <c r="Y450" s="295" t="n"/>
      <c r="Z450" s="295" t="n"/>
      <c r="AA450" s="295" t="n"/>
      <c r="AB450" s="293" t="n"/>
      <c r="AC450" s="295" t="n"/>
      <c r="AD450" s="295" t="n"/>
      <c r="AE450" s="294" t="n"/>
    </row>
    <row r="451">
      <c r="B451" s="279" t="n"/>
      <c r="C451" s="280" t="n"/>
      <c r="D451" s="295" t="n"/>
      <c r="E451" s="295" t="n"/>
      <c r="F451" s="295" t="n"/>
      <c r="G451" s="282" t="n"/>
      <c r="H451" s="295" t="n"/>
      <c r="I451" s="295" t="n"/>
      <c r="J451" s="282" t="n"/>
      <c r="K451" s="345" t="n"/>
      <c r="L451" s="295" t="n"/>
      <c r="M451" s="346" t="n"/>
      <c r="N451" s="295" t="n"/>
      <c r="O451" s="285" t="n"/>
      <c r="P451" s="295" t="n"/>
      <c r="Q451" s="295" t="n"/>
      <c r="R451" s="282" t="n"/>
      <c r="S451" s="295" t="n"/>
      <c r="T451" s="295" t="n"/>
      <c r="U451" s="285" t="n"/>
      <c r="V451" s="295" t="n"/>
      <c r="W451" s="282" t="n"/>
      <c r="X451" s="295" t="n"/>
      <c r="Y451" s="295" t="n"/>
      <c r="Z451" s="295" t="n"/>
      <c r="AA451" s="295" t="n"/>
      <c r="AB451" s="285" t="n"/>
      <c r="AC451" s="295" t="n"/>
      <c r="AD451" s="295" t="n"/>
      <c r="AE451" s="286" t="n"/>
    </row>
    <row r="452">
      <c r="B452" s="287" t="n"/>
      <c r="C452" s="288" t="n"/>
      <c r="D452" s="295" t="n"/>
      <c r="E452" s="295" t="n"/>
      <c r="F452" s="295" t="n"/>
      <c r="G452" s="290" t="n"/>
      <c r="H452" s="295" t="n"/>
      <c r="I452" s="295" t="n"/>
      <c r="J452" s="290" t="n"/>
      <c r="K452" s="347" t="n"/>
      <c r="L452" s="295" t="n"/>
      <c r="M452" s="348" t="n"/>
      <c r="N452" s="295" t="n"/>
      <c r="O452" s="293" t="n"/>
      <c r="P452" s="295" t="n"/>
      <c r="Q452" s="295" t="n"/>
      <c r="R452" s="290" t="n"/>
      <c r="S452" s="295" t="n"/>
      <c r="T452" s="295" t="n"/>
      <c r="U452" s="293" t="n"/>
      <c r="V452" s="295" t="n"/>
      <c r="W452" s="290" t="n"/>
      <c r="X452" s="295" t="n"/>
      <c r="Y452" s="295" t="n"/>
      <c r="Z452" s="295" t="n"/>
      <c r="AA452" s="295" t="n"/>
      <c r="AB452" s="293" t="n"/>
      <c r="AC452" s="295" t="n"/>
      <c r="AD452" s="295" t="n"/>
      <c r="AE452" s="294" t="n"/>
    </row>
    <row r="453">
      <c r="B453" s="279" t="n"/>
      <c r="C453" s="280" t="n"/>
      <c r="D453" s="295" t="n"/>
      <c r="E453" s="295" t="n"/>
      <c r="F453" s="295" t="n"/>
      <c r="G453" s="282" t="n"/>
      <c r="H453" s="295" t="n"/>
      <c r="I453" s="295" t="n"/>
      <c r="J453" s="282" t="n"/>
      <c r="K453" s="345" t="n"/>
      <c r="L453" s="295" t="n"/>
      <c r="M453" s="346" t="n"/>
      <c r="N453" s="295" t="n"/>
      <c r="O453" s="285" t="n"/>
      <c r="P453" s="295" t="n"/>
      <c r="Q453" s="295" t="n"/>
      <c r="R453" s="282" t="n"/>
      <c r="S453" s="295" t="n"/>
      <c r="T453" s="295" t="n"/>
      <c r="U453" s="285" t="n"/>
      <c r="V453" s="295" t="n"/>
      <c r="W453" s="282" t="n"/>
      <c r="X453" s="295" t="n"/>
      <c r="Y453" s="295" t="n"/>
      <c r="Z453" s="295" t="n"/>
      <c r="AA453" s="295" t="n"/>
      <c r="AB453" s="285" t="n"/>
      <c r="AC453" s="295" t="n"/>
      <c r="AD453" s="295" t="n"/>
      <c r="AE453" s="286" t="n"/>
    </row>
    <row r="454">
      <c r="B454" s="287" t="n"/>
      <c r="C454" s="288" t="n"/>
      <c r="D454" s="295" t="n"/>
      <c r="E454" s="295" t="n"/>
      <c r="F454" s="295" t="n"/>
      <c r="G454" s="290" t="n"/>
      <c r="H454" s="295" t="n"/>
      <c r="I454" s="295" t="n"/>
      <c r="J454" s="290" t="n"/>
      <c r="K454" s="347" t="n"/>
      <c r="L454" s="295" t="n"/>
      <c r="M454" s="348" t="n"/>
      <c r="N454" s="295" t="n"/>
      <c r="O454" s="293" t="n"/>
      <c r="P454" s="295" t="n"/>
      <c r="Q454" s="295" t="n"/>
      <c r="R454" s="290" t="n"/>
      <c r="S454" s="295" t="n"/>
      <c r="T454" s="295" t="n"/>
      <c r="U454" s="293" t="n"/>
      <c r="V454" s="295" t="n"/>
      <c r="W454" s="290" t="n"/>
      <c r="X454" s="295" t="n"/>
      <c r="Y454" s="295" t="n"/>
      <c r="Z454" s="295" t="n"/>
      <c r="AA454" s="295" t="n"/>
      <c r="AB454" s="293" t="n"/>
      <c r="AC454" s="295" t="n"/>
      <c r="AD454" s="295" t="n"/>
      <c r="AE454" s="294" t="n"/>
    </row>
    <row r="455">
      <c r="B455" s="279" t="n"/>
      <c r="C455" s="280" t="n"/>
      <c r="D455" s="295" t="n"/>
      <c r="E455" s="295" t="n"/>
      <c r="F455" s="295" t="n"/>
      <c r="G455" s="282" t="n"/>
      <c r="H455" s="295" t="n"/>
      <c r="I455" s="295" t="n"/>
      <c r="J455" s="282" t="n"/>
      <c r="K455" s="345" t="n"/>
      <c r="L455" s="295" t="n"/>
      <c r="M455" s="346" t="n"/>
      <c r="N455" s="295" t="n"/>
      <c r="O455" s="285" t="n"/>
      <c r="P455" s="295" t="n"/>
      <c r="Q455" s="295" t="n"/>
      <c r="R455" s="282" t="n"/>
      <c r="S455" s="295" t="n"/>
      <c r="T455" s="295" t="n"/>
      <c r="U455" s="285" t="n"/>
      <c r="V455" s="295" t="n"/>
      <c r="W455" s="282" t="n"/>
      <c r="X455" s="295" t="n"/>
      <c r="Y455" s="295" t="n"/>
      <c r="Z455" s="295" t="n"/>
      <c r="AA455" s="295" t="n"/>
      <c r="AB455" s="285" t="n"/>
      <c r="AC455" s="295" t="n"/>
      <c r="AD455" s="295" t="n"/>
      <c r="AE455" s="286" t="n"/>
    </row>
    <row r="456">
      <c r="B456" s="152" t="n"/>
      <c r="C456" s="153" t="n"/>
      <c r="G456" s="155" t="n"/>
      <c r="J456" s="155" t="n"/>
      <c r="K456" s="349" t="n"/>
      <c r="M456" s="350" t="n"/>
      <c r="O456" s="158" t="n"/>
      <c r="R456" s="155" t="n"/>
      <c r="U456" s="158" t="n"/>
      <c r="W456" s="155" t="n"/>
      <c r="AB456" s="158" t="n"/>
      <c r="AE456" s="159" t="n"/>
    </row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71"/>
  <mergeCells count="1765">
    <mergeCell ref="U420:V420"/>
    <mergeCell ref="R415:T415"/>
    <mergeCell ref="G288:I288"/>
    <mergeCell ref="W367:AA367"/>
    <mergeCell ref="G323:I323"/>
    <mergeCell ref="G298:I298"/>
    <mergeCell ref="U291:V291"/>
    <mergeCell ref="W359:AA359"/>
    <mergeCell ref="G412:I412"/>
    <mergeCell ref="W369:AA369"/>
    <mergeCell ref="R440:T440"/>
    <mergeCell ref="K302:L302"/>
    <mergeCell ref="P158:Q158"/>
    <mergeCell ref="M358:N358"/>
    <mergeCell ref="U293:V293"/>
    <mergeCell ref="U415:V415"/>
    <mergeCell ref="R439:T439"/>
    <mergeCell ref="G443:I443"/>
    <mergeCell ref="U292:V292"/>
    <mergeCell ref="AB430:AD430"/>
    <mergeCell ref="M366:N366"/>
    <mergeCell ref="M360:N360"/>
    <mergeCell ref="R441:T441"/>
    <mergeCell ref="C368:F368"/>
    <mergeCell ref="R435:T435"/>
    <mergeCell ref="U317:V317"/>
    <mergeCell ref="R312:T312"/>
    <mergeCell ref="M361:N361"/>
    <mergeCell ref="C364:F364"/>
    <mergeCell ref="O425:Q425"/>
    <mergeCell ref="K328:L328"/>
    <mergeCell ref="U319:V319"/>
    <mergeCell ref="U318:V318"/>
    <mergeCell ref="W405:AA405"/>
    <mergeCell ref="M392:N392"/>
    <mergeCell ref="U312:V312"/>
    <mergeCell ref="M386:N386"/>
    <mergeCell ref="D219:F219"/>
    <mergeCell ref="W293:AA293"/>
    <mergeCell ref="U320:V320"/>
    <mergeCell ref="W407:AA407"/>
    <mergeCell ref="M394:N394"/>
    <mergeCell ref="U314:V314"/>
    <mergeCell ref="G367:I367"/>
    <mergeCell ref="M387:N387"/>
    <mergeCell ref="W438:AA438"/>
    <mergeCell ref="R365:T365"/>
    <mergeCell ref="O295:Q295"/>
    <mergeCell ref="G369:I369"/>
    <mergeCell ref="R454:T454"/>
    <mergeCell ref="C419:F419"/>
    <mergeCell ref="AB355:AD355"/>
    <mergeCell ref="G368:I368"/>
    <mergeCell ref="W439:AA439"/>
    <mergeCell ref="W433:AA433"/>
    <mergeCell ref="K341:L341"/>
    <mergeCell ref="G364:I364"/>
    <mergeCell ref="M316:N316"/>
    <mergeCell ref="U373:V373"/>
    <mergeCell ref="W435:AA435"/>
    <mergeCell ref="M405:N405"/>
    <mergeCell ref="AB356:AD356"/>
    <mergeCell ref="R376:T376"/>
    <mergeCell ref="U389:V389"/>
    <mergeCell ref="R378:T378"/>
    <mergeCell ref="O341:Q341"/>
    <mergeCell ref="M157:Q157"/>
    <mergeCell ref="U384:V384"/>
    <mergeCell ref="G408:I408"/>
    <mergeCell ref="W365:AA365"/>
    <mergeCell ref="C279:F279"/>
    <mergeCell ref="K273:L273"/>
    <mergeCell ref="U386:V386"/>
    <mergeCell ref="G410:I410"/>
    <mergeCell ref="C281:F281"/>
    <mergeCell ref="G439:I439"/>
    <mergeCell ref="F192:I192"/>
    <mergeCell ref="M331:N331"/>
    <mergeCell ref="L50:M50"/>
    <mergeCell ref="L25:M25"/>
    <mergeCell ref="O395:Q395"/>
    <mergeCell ref="R437:T437"/>
    <mergeCell ref="O367:Q367"/>
    <mergeCell ref="AB428:AD428"/>
    <mergeCell ref="G441:I441"/>
    <mergeCell ref="G435:I435"/>
    <mergeCell ref="L52:M52"/>
    <mergeCell ref="G312:I312"/>
    <mergeCell ref="G434:I434"/>
    <mergeCell ref="O396:Q396"/>
    <mergeCell ref="O390:Q390"/>
    <mergeCell ref="K413:L413"/>
    <mergeCell ref="AB423:AD423"/>
    <mergeCell ref="G436:I436"/>
    <mergeCell ref="U404:V404"/>
    <mergeCell ref="O398:Q398"/>
    <mergeCell ref="W376:AA376"/>
    <mergeCell ref="H256:I256"/>
    <mergeCell ref="K415:L415"/>
    <mergeCell ref="U397:V397"/>
    <mergeCell ref="U316:V316"/>
    <mergeCell ref="W378:AA378"/>
    <mergeCell ref="U310:V310"/>
    <mergeCell ref="K286:L286"/>
    <mergeCell ref="AB297:AD297"/>
    <mergeCell ref="AB299:AD299"/>
    <mergeCell ref="K410:L410"/>
    <mergeCell ref="O414:Q414"/>
    <mergeCell ref="O291:Q291"/>
    <mergeCell ref="R450:T450"/>
    <mergeCell ref="AB292:AD292"/>
    <mergeCell ref="G454:I454"/>
    <mergeCell ref="O293:Q293"/>
    <mergeCell ref="R452:T452"/>
    <mergeCell ref="AB294:AD294"/>
    <mergeCell ref="O409:Q409"/>
    <mergeCell ref="K337:L337"/>
    <mergeCell ref="K312:L312"/>
    <mergeCell ref="AB404:AD404"/>
    <mergeCell ref="H267:I267"/>
    <mergeCell ref="G449:I449"/>
    <mergeCell ref="K339:L339"/>
    <mergeCell ref="K314:L314"/>
    <mergeCell ref="M401:N401"/>
    <mergeCell ref="M395:N395"/>
    <mergeCell ref="U452:V452"/>
    <mergeCell ref="L2:M2"/>
    <mergeCell ref="C380:F380"/>
    <mergeCell ref="U329:V329"/>
    <mergeCell ref="M403:N403"/>
    <mergeCell ref="W432:AA432"/>
    <mergeCell ref="L3:M3"/>
    <mergeCell ref="C434:F434"/>
    <mergeCell ref="M398:N398"/>
    <mergeCell ref="L5:M5"/>
    <mergeCell ref="U380:V380"/>
    <mergeCell ref="M423:N423"/>
    <mergeCell ref="K350:L350"/>
    <mergeCell ref="W450:AA450"/>
    <mergeCell ref="U382:V382"/>
    <mergeCell ref="U357:V357"/>
    <mergeCell ref="M431:N431"/>
    <mergeCell ref="K352:L352"/>
    <mergeCell ref="M414:N414"/>
    <mergeCell ref="C277:F277"/>
    <mergeCell ref="M424:N424"/>
    <mergeCell ref="L21:M21"/>
    <mergeCell ref="C276:F276"/>
    <mergeCell ref="M416:N416"/>
    <mergeCell ref="C278:F278"/>
    <mergeCell ref="K376:L376"/>
    <mergeCell ref="O392:Q392"/>
    <mergeCell ref="L16:M16"/>
    <mergeCell ref="K384:L384"/>
    <mergeCell ref="K378:L378"/>
    <mergeCell ref="O394:Q394"/>
    <mergeCell ref="U393:V393"/>
    <mergeCell ref="M442:N442"/>
    <mergeCell ref="C288:F288"/>
    <mergeCell ref="K379:L379"/>
    <mergeCell ref="U395:V395"/>
    <mergeCell ref="R273:T273"/>
    <mergeCell ref="K406:L406"/>
    <mergeCell ref="G277:I277"/>
    <mergeCell ref="I33:J33"/>
    <mergeCell ref="U426:V426"/>
    <mergeCell ref="O376:Q376"/>
    <mergeCell ref="L44:M44"/>
    <mergeCell ref="K437:L437"/>
    <mergeCell ref="C291:F291"/>
    <mergeCell ref="M284:N284"/>
    <mergeCell ref="AB290:AD290"/>
    <mergeCell ref="O378:Q378"/>
    <mergeCell ref="O405:Q405"/>
    <mergeCell ref="U421:V421"/>
    <mergeCell ref="G445:I445"/>
    <mergeCell ref="C347:F347"/>
    <mergeCell ref="O407:Q407"/>
    <mergeCell ref="K310:L310"/>
    <mergeCell ref="K432:L432"/>
    <mergeCell ref="U423:V423"/>
    <mergeCell ref="K424:L424"/>
    <mergeCell ref="C342:F342"/>
    <mergeCell ref="R292:T292"/>
    <mergeCell ref="C344:F344"/>
    <mergeCell ref="O433:Q433"/>
    <mergeCell ref="K450:L450"/>
    <mergeCell ref="O435:Q435"/>
    <mergeCell ref="W273:AA273"/>
    <mergeCell ref="K452:L452"/>
    <mergeCell ref="AB334:AD334"/>
    <mergeCell ref="G347:I347"/>
    <mergeCell ref="AB336:AD336"/>
    <mergeCell ref="AB329:AD329"/>
    <mergeCell ref="W413:AA413"/>
    <mergeCell ref="AB337:AD337"/>
    <mergeCell ref="AB331:AD331"/>
    <mergeCell ref="K380:L380"/>
    <mergeCell ref="W415:AA415"/>
    <mergeCell ref="M438:N438"/>
    <mergeCell ref="W286:AA286"/>
    <mergeCell ref="K375:L375"/>
    <mergeCell ref="C417:F417"/>
    <mergeCell ref="M440:N440"/>
    <mergeCell ref="C383:F383"/>
    <mergeCell ref="R358:T358"/>
    <mergeCell ref="G362:I362"/>
    <mergeCell ref="M435:N435"/>
    <mergeCell ref="R360:T360"/>
    <mergeCell ref="C287:F287"/>
    <mergeCell ref="G414:I414"/>
    <mergeCell ref="M280:N280"/>
    <mergeCell ref="U417:V417"/>
    <mergeCell ref="C289:F289"/>
    <mergeCell ref="K393:L393"/>
    <mergeCell ref="G416:I416"/>
    <mergeCell ref="U419:V419"/>
    <mergeCell ref="M275:N275"/>
    <mergeCell ref="M311:N311"/>
    <mergeCell ref="C314:F314"/>
    <mergeCell ref="O347:Q347"/>
    <mergeCell ref="C313:F313"/>
    <mergeCell ref="M277:N277"/>
    <mergeCell ref="AB279:AD279"/>
    <mergeCell ref="AB401:AD401"/>
    <mergeCell ref="G286:I286"/>
    <mergeCell ref="C315:F315"/>
    <mergeCell ref="O429:Q429"/>
    <mergeCell ref="R290:T290"/>
    <mergeCell ref="AB281:AD281"/>
    <mergeCell ref="AB403:AD403"/>
    <mergeCell ref="O431:Q431"/>
    <mergeCell ref="AB274:AD274"/>
    <mergeCell ref="G287:I287"/>
    <mergeCell ref="E192:E193"/>
    <mergeCell ref="U430:V430"/>
    <mergeCell ref="W358:AA358"/>
    <mergeCell ref="U290:V290"/>
    <mergeCell ref="R285:T285"/>
    <mergeCell ref="G289:I289"/>
    <mergeCell ref="K416:L416"/>
    <mergeCell ref="W360:AA360"/>
    <mergeCell ref="R316:T316"/>
    <mergeCell ref="G314:I314"/>
    <mergeCell ref="C326:F326"/>
    <mergeCell ref="AB300:AD300"/>
    <mergeCell ref="R274:T274"/>
    <mergeCell ref="O273:Q273"/>
    <mergeCell ref="G305:I305"/>
    <mergeCell ref="R311:T311"/>
    <mergeCell ref="H247:I247"/>
    <mergeCell ref="AB327:AD327"/>
    <mergeCell ref="U308:V308"/>
    <mergeCell ref="O442:Q442"/>
    <mergeCell ref="R303:T303"/>
    <mergeCell ref="W411:AA411"/>
    <mergeCell ref="W282:AA282"/>
    <mergeCell ref="AB447:AD447"/>
    <mergeCell ref="U309:V309"/>
    <mergeCell ref="C413:F413"/>
    <mergeCell ref="R300:T300"/>
    <mergeCell ref="C379:F379"/>
    <mergeCell ref="W283:AA283"/>
    <mergeCell ref="C415:F415"/>
    <mergeCell ref="R329:T329"/>
    <mergeCell ref="O284:Q284"/>
    <mergeCell ref="G358:I358"/>
    <mergeCell ref="C408:F408"/>
    <mergeCell ref="R295:T295"/>
    <mergeCell ref="R331:T331"/>
    <mergeCell ref="W308:AA308"/>
    <mergeCell ref="O286:Q286"/>
    <mergeCell ref="G360:I360"/>
    <mergeCell ref="C410:F410"/>
    <mergeCell ref="AB346:AD346"/>
    <mergeCell ref="W316:AA316"/>
    <mergeCell ref="G353:I353"/>
    <mergeCell ref="W310:AA310"/>
    <mergeCell ref="W309:AA309"/>
    <mergeCell ref="C397:F397"/>
    <mergeCell ref="AB371:AD371"/>
    <mergeCell ref="G384:I384"/>
    <mergeCell ref="W311:AA311"/>
    <mergeCell ref="R382:T382"/>
    <mergeCell ref="C426:F426"/>
    <mergeCell ref="M273:N273"/>
    <mergeCell ref="AB372:AD372"/>
    <mergeCell ref="C428:F428"/>
    <mergeCell ref="M302:N302"/>
    <mergeCell ref="K358:L358"/>
    <mergeCell ref="AB374:AD374"/>
    <mergeCell ref="AB399:AD399"/>
    <mergeCell ref="W452:AA452"/>
    <mergeCell ref="G283:I283"/>
    <mergeCell ref="M299:N299"/>
    <mergeCell ref="G253:G254"/>
    <mergeCell ref="G285:I285"/>
    <mergeCell ref="C454:F454"/>
    <mergeCell ref="M328:N328"/>
    <mergeCell ref="R393:T393"/>
    <mergeCell ref="G397:I397"/>
    <mergeCell ref="AB425:AD425"/>
    <mergeCell ref="W324:AA324"/>
    <mergeCell ref="R401:T401"/>
    <mergeCell ref="R395:T395"/>
    <mergeCell ref="AB296:AD296"/>
    <mergeCell ref="AB427:AD427"/>
    <mergeCell ref="W380:AA380"/>
    <mergeCell ref="O358:Q358"/>
    <mergeCell ref="L51:M51"/>
    <mergeCell ref="M317:N317"/>
    <mergeCell ref="AB298:AD298"/>
    <mergeCell ref="G311:I311"/>
    <mergeCell ref="R396:T396"/>
    <mergeCell ref="AB456:AD456"/>
    <mergeCell ref="W382:AA382"/>
    <mergeCell ref="K430:L430"/>
    <mergeCell ref="U272:V272"/>
    <mergeCell ref="M346:N346"/>
    <mergeCell ref="G296:I296"/>
    <mergeCell ref="M318:N318"/>
    <mergeCell ref="K283:L283"/>
    <mergeCell ref="AB443:AD443"/>
    <mergeCell ref="M312:N312"/>
    <mergeCell ref="R421:T421"/>
    <mergeCell ref="U299:V299"/>
    <mergeCell ref="U274:V274"/>
    <mergeCell ref="M348:N348"/>
    <mergeCell ref="W377:AA377"/>
    <mergeCell ref="K285:L285"/>
    <mergeCell ref="M347:N347"/>
    <mergeCell ref="M314:N314"/>
    <mergeCell ref="R325:T325"/>
    <mergeCell ref="R456:T456"/>
    <mergeCell ref="G451:I451"/>
    <mergeCell ref="G329:I329"/>
    <mergeCell ref="AB438:AD438"/>
    <mergeCell ref="C352:F352"/>
    <mergeCell ref="K272:L272"/>
    <mergeCell ref="R327:T327"/>
    <mergeCell ref="G322:I322"/>
    <mergeCell ref="AB440:AD440"/>
    <mergeCell ref="C381:F381"/>
    <mergeCell ref="W393:AA393"/>
    <mergeCell ref="M374:N374"/>
    <mergeCell ref="K301:L301"/>
    <mergeCell ref="G324:I324"/>
    <mergeCell ref="W395:AA395"/>
    <mergeCell ref="D255:D256"/>
    <mergeCell ref="U327:V327"/>
    <mergeCell ref="K303:L303"/>
    <mergeCell ref="B192:B193"/>
    <mergeCell ref="U335:V335"/>
    <mergeCell ref="K296:L296"/>
    <mergeCell ref="O308:Q308"/>
    <mergeCell ref="G382:I382"/>
    <mergeCell ref="U328:V328"/>
    <mergeCell ref="O397:Q397"/>
    <mergeCell ref="AB368:AD368"/>
    <mergeCell ref="O310:Q310"/>
    <mergeCell ref="R338:T338"/>
    <mergeCell ref="W421:AA421"/>
    <mergeCell ref="O309:Q309"/>
    <mergeCell ref="K354:L354"/>
    <mergeCell ref="AB370:AD370"/>
    <mergeCell ref="AB364:AD364"/>
    <mergeCell ref="G377:I377"/>
    <mergeCell ref="U345:V345"/>
    <mergeCell ref="R340:T340"/>
    <mergeCell ref="O339:Q339"/>
    <mergeCell ref="W448:AA448"/>
    <mergeCell ref="W423:AA423"/>
    <mergeCell ref="C425:F425"/>
    <mergeCell ref="K356:L356"/>
    <mergeCell ref="M418:N418"/>
    <mergeCell ref="W325:AA325"/>
    <mergeCell ref="K349:L349"/>
    <mergeCell ref="U346:V346"/>
    <mergeCell ref="U340:V340"/>
    <mergeCell ref="C450:F450"/>
    <mergeCell ref="M413:N413"/>
    <mergeCell ref="U348:V348"/>
    <mergeCell ref="C452:F452"/>
    <mergeCell ref="W320:AA320"/>
    <mergeCell ref="L20:M20"/>
    <mergeCell ref="G395:I395"/>
    <mergeCell ref="C451:F451"/>
    <mergeCell ref="M415:N415"/>
    <mergeCell ref="C445:F445"/>
    <mergeCell ref="K382:L382"/>
    <mergeCell ref="L22:M22"/>
    <mergeCell ref="C453:F453"/>
    <mergeCell ref="R392:T392"/>
    <mergeCell ref="O322:Q322"/>
    <mergeCell ref="AB383:AD383"/>
    <mergeCell ref="G396:I396"/>
    <mergeCell ref="G390:I390"/>
    <mergeCell ref="U399:V399"/>
    <mergeCell ref="W338:AA338"/>
    <mergeCell ref="K368:L368"/>
    <mergeCell ref="W373:AA373"/>
    <mergeCell ref="C255:C256"/>
    <mergeCell ref="C375:F375"/>
    <mergeCell ref="M339:N339"/>
    <mergeCell ref="K395:L395"/>
    <mergeCell ref="O411:Q411"/>
    <mergeCell ref="C377:F377"/>
    <mergeCell ref="L35:M35"/>
    <mergeCell ref="U427:V427"/>
    <mergeCell ref="G320:I320"/>
    <mergeCell ref="G295:I295"/>
    <mergeCell ref="G409:I409"/>
    <mergeCell ref="U298:V298"/>
    <mergeCell ref="U418:V418"/>
    <mergeCell ref="U412:V412"/>
    <mergeCell ref="O406:Q406"/>
    <mergeCell ref="H264:I264"/>
    <mergeCell ref="M365:N365"/>
    <mergeCell ref="R430:T430"/>
    <mergeCell ref="M373:N373"/>
    <mergeCell ref="R438:T438"/>
    <mergeCell ref="O393:Q393"/>
    <mergeCell ref="K294:L294"/>
    <mergeCell ref="U413:V413"/>
    <mergeCell ref="O423:Q423"/>
    <mergeCell ref="O422:Q422"/>
    <mergeCell ref="K325:L325"/>
    <mergeCell ref="H255:I255"/>
    <mergeCell ref="U438:V438"/>
    <mergeCell ref="R433:T433"/>
    <mergeCell ref="AB449:AD449"/>
    <mergeCell ref="K318:L318"/>
    <mergeCell ref="O424:Q424"/>
    <mergeCell ref="C390:F390"/>
    <mergeCell ref="M383:N383"/>
    <mergeCell ref="U440:V440"/>
    <mergeCell ref="G333:I333"/>
    <mergeCell ref="K320:L320"/>
    <mergeCell ref="U342:V342"/>
    <mergeCell ref="M385:N385"/>
    <mergeCell ref="M384:N384"/>
    <mergeCell ref="U344:V344"/>
    <mergeCell ref="M411:N411"/>
    <mergeCell ref="R364:T364"/>
    <mergeCell ref="G359:I359"/>
    <mergeCell ref="W430:AA430"/>
    <mergeCell ref="W290:AA290"/>
    <mergeCell ref="K338:L338"/>
    <mergeCell ref="O354:Q354"/>
    <mergeCell ref="O348:Q348"/>
    <mergeCell ref="U370:V370"/>
    <mergeCell ref="O320:Q320"/>
    <mergeCell ref="K340:L340"/>
    <mergeCell ref="M437:N437"/>
    <mergeCell ref="K333:L333"/>
    <mergeCell ref="U355:V355"/>
    <mergeCell ref="U365:V365"/>
    <mergeCell ref="K366:L366"/>
    <mergeCell ref="M397:N397"/>
    <mergeCell ref="M310:N310"/>
    <mergeCell ref="L29:M29"/>
    <mergeCell ref="G448:I448"/>
    <mergeCell ref="L4:M4"/>
    <mergeCell ref="O374:Q374"/>
    <mergeCell ref="K391:L391"/>
    <mergeCell ref="W274:AA274"/>
    <mergeCell ref="W301:AA301"/>
    <mergeCell ref="O382:Q382"/>
    <mergeCell ref="L31:M31"/>
    <mergeCell ref="O375:Q375"/>
    <mergeCell ref="M455:N455"/>
    <mergeCell ref="W303:AA303"/>
    <mergeCell ref="K392:L392"/>
    <mergeCell ref="U383:V383"/>
    <mergeCell ref="O377:Q377"/>
    <mergeCell ref="K394:L394"/>
    <mergeCell ref="M450:N450"/>
    <mergeCell ref="U385:V385"/>
    <mergeCell ref="W357:AA357"/>
    <mergeCell ref="L57:M57"/>
    <mergeCell ref="AB276:AD276"/>
    <mergeCell ref="M452:N452"/>
    <mergeCell ref="C304:F304"/>
    <mergeCell ref="AB278:AD278"/>
    <mergeCell ref="L42:M42"/>
    <mergeCell ref="H251:I251"/>
    <mergeCell ref="R429:T429"/>
    <mergeCell ref="O359:Q359"/>
    <mergeCell ref="K404:L404"/>
    <mergeCell ref="G433:I433"/>
    <mergeCell ref="U305:V305"/>
    <mergeCell ref="U436:V436"/>
    <mergeCell ref="R431:T431"/>
    <mergeCell ref="M292:N292"/>
    <mergeCell ref="K316:L316"/>
    <mergeCell ref="U313:V313"/>
    <mergeCell ref="H246:I246"/>
    <mergeCell ref="U307:V307"/>
    <mergeCell ref="K405:L405"/>
    <mergeCell ref="C330:F330"/>
    <mergeCell ref="M380:N380"/>
    <mergeCell ref="U437:V437"/>
    <mergeCell ref="H248:I248"/>
    <mergeCell ref="K407:L407"/>
    <mergeCell ref="AB418:AD418"/>
    <mergeCell ref="C332:F332"/>
    <mergeCell ref="I59:J59"/>
    <mergeCell ref="O446:Q446"/>
    <mergeCell ref="M382:N382"/>
    <mergeCell ref="AB420:AD420"/>
    <mergeCell ref="O448:Q448"/>
    <mergeCell ref="AB291:AD291"/>
    <mergeCell ref="U447:V447"/>
    <mergeCell ref="R302:T302"/>
    <mergeCell ref="U455:V455"/>
    <mergeCell ref="U449:V449"/>
    <mergeCell ref="C343:F343"/>
    <mergeCell ref="K331:L331"/>
    <mergeCell ref="M393:N393"/>
    <mergeCell ref="R291:T291"/>
    <mergeCell ref="U450:V450"/>
    <mergeCell ref="C345:F345"/>
    <mergeCell ref="R284:T284"/>
    <mergeCell ref="W299:AA299"/>
    <mergeCell ref="C272:F272"/>
    <mergeCell ref="K357:L357"/>
    <mergeCell ref="O373:Q373"/>
    <mergeCell ref="M421:N421"/>
    <mergeCell ref="O301:Q301"/>
    <mergeCell ref="AB362:AD362"/>
    <mergeCell ref="W302:AA302"/>
    <mergeCell ref="C275:F275"/>
    <mergeCell ref="L55:M55"/>
    <mergeCell ref="O389:Q389"/>
    <mergeCell ref="C427:F427"/>
    <mergeCell ref="AB363:AD363"/>
    <mergeCell ref="W327:AA327"/>
    <mergeCell ref="O391:Q391"/>
    <mergeCell ref="O357:Q357"/>
    <mergeCell ref="K401:L401"/>
    <mergeCell ref="W284:AA284"/>
    <mergeCell ref="R399:T399"/>
    <mergeCell ref="G272:I272"/>
    <mergeCell ref="C295:F295"/>
    <mergeCell ref="C409:F409"/>
    <mergeCell ref="K403:L403"/>
    <mergeCell ref="C328:F328"/>
    <mergeCell ref="U276:V276"/>
    <mergeCell ref="AB287:AD287"/>
    <mergeCell ref="C323:F323"/>
    <mergeCell ref="U278:V278"/>
    <mergeCell ref="W340:AA340"/>
    <mergeCell ref="AB289:AD289"/>
    <mergeCell ref="G302:I302"/>
    <mergeCell ref="K307:L307"/>
    <mergeCell ref="K429:L429"/>
    <mergeCell ref="K431:L431"/>
    <mergeCell ref="R412:T412"/>
    <mergeCell ref="AB313:AD313"/>
    <mergeCell ref="U446:V446"/>
    <mergeCell ref="AB444:AD444"/>
    <mergeCell ref="C341:F341"/>
    <mergeCell ref="AB321:AD321"/>
    <mergeCell ref="AB315:AD315"/>
    <mergeCell ref="G328:I328"/>
    <mergeCell ref="U448:V448"/>
    <mergeCell ref="O430:Q430"/>
    <mergeCell ref="K447:L447"/>
    <mergeCell ref="C370:F370"/>
    <mergeCell ref="M363:N363"/>
    <mergeCell ref="W392:AA392"/>
    <mergeCell ref="AB316:AD316"/>
    <mergeCell ref="M329:N329"/>
    <mergeCell ref="W394:AA394"/>
    <mergeCell ref="K442:L442"/>
    <mergeCell ref="C367:F367"/>
    <mergeCell ref="R342:T342"/>
    <mergeCell ref="O272:Q272"/>
    <mergeCell ref="AB455:AD455"/>
    <mergeCell ref="C369:F369"/>
    <mergeCell ref="C396:F396"/>
    <mergeCell ref="R344:T344"/>
    <mergeCell ref="AB326:AD326"/>
    <mergeCell ref="O299:Q299"/>
    <mergeCell ref="O274:Q274"/>
    <mergeCell ref="C398:F398"/>
    <mergeCell ref="R337:T337"/>
    <mergeCell ref="G341:I341"/>
    <mergeCell ref="K284:L284"/>
    <mergeCell ref="W412:AA412"/>
    <mergeCell ref="R339:T339"/>
    <mergeCell ref="K372:L372"/>
    <mergeCell ref="R326:T326"/>
    <mergeCell ref="M430:N430"/>
    <mergeCell ref="O327:Q327"/>
    <mergeCell ref="M290:N290"/>
    <mergeCell ref="C293:F293"/>
    <mergeCell ref="R355:T355"/>
    <mergeCell ref="AB387:AD387"/>
    <mergeCell ref="R357:T357"/>
    <mergeCell ref="O356:Q356"/>
    <mergeCell ref="C294:F294"/>
    <mergeCell ref="W336:AA336"/>
    <mergeCell ref="G273:I273"/>
    <mergeCell ref="AB382:AD382"/>
    <mergeCell ref="U363:V363"/>
    <mergeCell ref="M272:N272"/>
    <mergeCell ref="W337:AA337"/>
    <mergeCell ref="R383:T383"/>
    <mergeCell ref="M274:N274"/>
    <mergeCell ref="O338:Q338"/>
    <mergeCell ref="W339:AA339"/>
    <mergeCell ref="R410:T410"/>
    <mergeCell ref="C312:F312"/>
    <mergeCell ref="O340:Q340"/>
    <mergeCell ref="R287:T287"/>
    <mergeCell ref="AB400:AD400"/>
    <mergeCell ref="G413:I413"/>
    <mergeCell ref="G407:I407"/>
    <mergeCell ref="W364:AA364"/>
    <mergeCell ref="P159:Q159"/>
    <mergeCell ref="R411:T411"/>
    <mergeCell ref="G284:I284"/>
    <mergeCell ref="C307:F307"/>
    <mergeCell ref="AB402:AD402"/>
    <mergeCell ref="G415:I415"/>
    <mergeCell ref="M300:N300"/>
    <mergeCell ref="W355:AA355"/>
    <mergeCell ref="U287:V287"/>
    <mergeCell ref="R282:T282"/>
    <mergeCell ref="U289:V289"/>
    <mergeCell ref="U411:V411"/>
    <mergeCell ref="R307:T307"/>
    <mergeCell ref="K440:L440"/>
    <mergeCell ref="AB426:AD426"/>
    <mergeCell ref="W350:AA350"/>
    <mergeCell ref="C392:F392"/>
    <mergeCell ref="M356:N356"/>
    <mergeCell ref="AB453:AD453"/>
    <mergeCell ref="C394:F394"/>
    <mergeCell ref="R308:T308"/>
    <mergeCell ref="AB330:AD330"/>
    <mergeCell ref="G337:I337"/>
    <mergeCell ref="R422:T422"/>
    <mergeCell ref="K280:L280"/>
    <mergeCell ref="W408:AA408"/>
    <mergeCell ref="U315:V315"/>
    <mergeCell ref="R335:T335"/>
    <mergeCell ref="R310:T310"/>
    <mergeCell ref="H253:I254"/>
    <mergeCell ref="G339:I339"/>
    <mergeCell ref="M372:N372"/>
    <mergeCell ref="K309:L309"/>
    <mergeCell ref="W403:AA403"/>
    <mergeCell ref="R449:T449"/>
    <mergeCell ref="C376:F376"/>
    <mergeCell ref="W434:AA434"/>
    <mergeCell ref="C378:F378"/>
    <mergeCell ref="O439:Q439"/>
    <mergeCell ref="AB352:AD352"/>
    <mergeCell ref="G365:I365"/>
    <mergeCell ref="W305:AA305"/>
    <mergeCell ref="C407:F407"/>
    <mergeCell ref="U326:V326"/>
    <mergeCell ref="M400:N400"/>
    <mergeCell ref="G350:I350"/>
    <mergeCell ref="W307:AA307"/>
    <mergeCell ref="W429:AA429"/>
    <mergeCell ref="AB353:AD353"/>
    <mergeCell ref="R348:T348"/>
    <mergeCell ref="W437:AA437"/>
    <mergeCell ref="W431:AA431"/>
    <mergeCell ref="U361:V361"/>
    <mergeCell ref="R379:T379"/>
    <mergeCell ref="W422:AA422"/>
    <mergeCell ref="U354:V354"/>
    <mergeCell ref="C433:F433"/>
    <mergeCell ref="W335:AA335"/>
    <mergeCell ref="R381:T381"/>
    <mergeCell ref="G376:I376"/>
    <mergeCell ref="O336:Q336"/>
    <mergeCell ref="U356:V356"/>
    <mergeCell ref="W447:AA447"/>
    <mergeCell ref="R380:T380"/>
    <mergeCell ref="C435:F435"/>
    <mergeCell ref="R374:T374"/>
    <mergeCell ref="K355:L355"/>
    <mergeCell ref="G378:I378"/>
    <mergeCell ref="O365:Q365"/>
    <mergeCell ref="W449:AA449"/>
    <mergeCell ref="O337:Q337"/>
    <mergeCell ref="G411:I411"/>
    <mergeCell ref="O331:Q331"/>
    <mergeCell ref="M296:N296"/>
    <mergeCell ref="W442:AA442"/>
    <mergeCell ref="O366:Q366"/>
    <mergeCell ref="M298:N298"/>
    <mergeCell ref="M325:N325"/>
    <mergeCell ref="M456:N456"/>
    <mergeCell ref="G406:I406"/>
    <mergeCell ref="W346:AA346"/>
    <mergeCell ref="G307:I307"/>
    <mergeCell ref="M327:N327"/>
    <mergeCell ref="L46:M46"/>
    <mergeCell ref="O363:Q363"/>
    <mergeCell ref="AB424:AD424"/>
    <mergeCell ref="G437:I437"/>
    <mergeCell ref="W348:AA348"/>
    <mergeCell ref="O355:Q355"/>
    <mergeCell ref="L48:M48"/>
    <mergeCell ref="AB295:AD295"/>
    <mergeCell ref="G308:I308"/>
    <mergeCell ref="G422:I422"/>
    <mergeCell ref="U311:V311"/>
    <mergeCell ref="R306:T306"/>
    <mergeCell ref="K281:L281"/>
    <mergeCell ref="G310:I310"/>
    <mergeCell ref="U400:V400"/>
    <mergeCell ref="R420:T420"/>
    <mergeCell ref="W372:AA372"/>
    <mergeCell ref="L43:M43"/>
    <mergeCell ref="H252:I252"/>
    <mergeCell ref="K411:L411"/>
    <mergeCell ref="W374:AA374"/>
    <mergeCell ref="U306:V306"/>
    <mergeCell ref="K282:L282"/>
    <mergeCell ref="U297:V297"/>
    <mergeCell ref="M340:N340"/>
    <mergeCell ref="O404:Q404"/>
    <mergeCell ref="R446:T446"/>
    <mergeCell ref="O323:Q323"/>
    <mergeCell ref="G450:I450"/>
    <mergeCell ref="O437:Q437"/>
    <mergeCell ref="R448:T448"/>
    <mergeCell ref="G452:I452"/>
    <mergeCell ref="U330:V330"/>
    <mergeCell ref="H263:I263"/>
    <mergeCell ref="U324:V324"/>
    <mergeCell ref="R319:T319"/>
    <mergeCell ref="K422:L422"/>
    <mergeCell ref="W427:AA427"/>
    <mergeCell ref="K335:L335"/>
    <mergeCell ref="H265:I265"/>
    <mergeCell ref="W298:AA298"/>
    <mergeCell ref="O305:Q305"/>
    <mergeCell ref="U325:V325"/>
    <mergeCell ref="M399:N399"/>
    <mergeCell ref="G372:I372"/>
    <mergeCell ref="O307:Q307"/>
    <mergeCell ref="C431:F431"/>
    <mergeCell ref="K351:L351"/>
    <mergeCell ref="G380:I380"/>
    <mergeCell ref="O300:Q300"/>
    <mergeCell ref="G374:I374"/>
    <mergeCell ref="W445:AA445"/>
    <mergeCell ref="C432:F432"/>
    <mergeCell ref="K346:L346"/>
    <mergeCell ref="G375:I375"/>
    <mergeCell ref="U343:V343"/>
    <mergeCell ref="W446:AA446"/>
    <mergeCell ref="W440:AA440"/>
    <mergeCell ref="K348:L348"/>
    <mergeCell ref="D245:G245"/>
    <mergeCell ref="C273:F273"/>
    <mergeCell ref="W317:AA317"/>
    <mergeCell ref="L17:M17"/>
    <mergeCell ref="U338:V338"/>
    <mergeCell ref="M412:N412"/>
    <mergeCell ref="C442:F442"/>
    <mergeCell ref="L19:M19"/>
    <mergeCell ref="C414:F414"/>
    <mergeCell ref="R389:T389"/>
    <mergeCell ref="L12:M12"/>
    <mergeCell ref="G393:I393"/>
    <mergeCell ref="K374:L374"/>
    <mergeCell ref="U396:V396"/>
    <mergeCell ref="R385:T385"/>
    <mergeCell ref="L39:M39"/>
    <mergeCell ref="L14:M14"/>
    <mergeCell ref="K276:L276"/>
    <mergeCell ref="U398:V398"/>
    <mergeCell ref="K278:L278"/>
    <mergeCell ref="U391:V391"/>
    <mergeCell ref="C286:F286"/>
    <mergeCell ref="M336:N336"/>
    <mergeCell ref="O372:Q372"/>
    <mergeCell ref="G446:I446"/>
    <mergeCell ref="O408:Q408"/>
    <mergeCell ref="O402:Q402"/>
    <mergeCell ref="O401:Q401"/>
    <mergeCell ref="K418:L418"/>
    <mergeCell ref="U409:V409"/>
    <mergeCell ref="O403:Q403"/>
    <mergeCell ref="H261:I261"/>
    <mergeCell ref="M362:N362"/>
    <mergeCell ref="K420:L420"/>
    <mergeCell ref="U321:V321"/>
    <mergeCell ref="M364:N364"/>
    <mergeCell ref="K291:L291"/>
    <mergeCell ref="U323:V323"/>
    <mergeCell ref="W385:AA385"/>
    <mergeCell ref="AB304:AD304"/>
    <mergeCell ref="O421:Q421"/>
    <mergeCell ref="K446:L446"/>
    <mergeCell ref="O456:Q456"/>
    <mergeCell ref="K317:L317"/>
    <mergeCell ref="C64:H64"/>
    <mergeCell ref="K448:L448"/>
    <mergeCell ref="K319:L319"/>
    <mergeCell ref="G373:I373"/>
    <mergeCell ref="C358:F358"/>
    <mergeCell ref="D2:D3"/>
    <mergeCell ref="R272:T272"/>
    <mergeCell ref="U334:V334"/>
    <mergeCell ref="AB332:AD332"/>
    <mergeCell ref="O447:Q447"/>
    <mergeCell ref="C351:F351"/>
    <mergeCell ref="U336:V336"/>
    <mergeCell ref="L8:M8"/>
    <mergeCell ref="K370:L370"/>
    <mergeCell ref="W280:AA280"/>
    <mergeCell ref="L10:M10"/>
    <mergeCell ref="C384:F384"/>
    <mergeCell ref="C441:F441"/>
    <mergeCell ref="M434:N434"/>
    <mergeCell ref="U362:V362"/>
    <mergeCell ref="M436:N436"/>
    <mergeCell ref="AB343:AD343"/>
    <mergeCell ref="K373:L373"/>
    <mergeCell ref="U364:V364"/>
    <mergeCell ref="R354:T354"/>
    <mergeCell ref="AB345:AD345"/>
    <mergeCell ref="K388:L388"/>
    <mergeCell ref="R356:T356"/>
    <mergeCell ref="C283:F283"/>
    <mergeCell ref="M276:N276"/>
    <mergeCell ref="W300:AA300"/>
    <mergeCell ref="C285:F285"/>
    <mergeCell ref="W272:AA272"/>
    <mergeCell ref="K389:L389"/>
    <mergeCell ref="K383:L383"/>
    <mergeCell ref="M278:N278"/>
    <mergeCell ref="O399:Q399"/>
    <mergeCell ref="L23:M23"/>
    <mergeCell ref="K385:L385"/>
    <mergeCell ref="M447:N447"/>
    <mergeCell ref="R372:T372"/>
    <mergeCell ref="P160:Q160"/>
    <mergeCell ref="L54:M54"/>
    <mergeCell ref="U444:V444"/>
    <mergeCell ref="C309:F309"/>
    <mergeCell ref="M449:N449"/>
    <mergeCell ref="C301:F301"/>
    <mergeCell ref="L56:M56"/>
    <mergeCell ref="AB275:AD275"/>
    <mergeCell ref="K386:L386"/>
    <mergeCell ref="C311:F311"/>
    <mergeCell ref="U402:V402"/>
    <mergeCell ref="R426:T426"/>
    <mergeCell ref="C303:F303"/>
    <mergeCell ref="L49:M49"/>
    <mergeCell ref="G430:I430"/>
    <mergeCell ref="AB277:AD277"/>
    <mergeCell ref="U433:V433"/>
    <mergeCell ref="O427:Q427"/>
    <mergeCell ref="K444:L444"/>
    <mergeCell ref="W354:AA354"/>
    <mergeCell ref="U435:V435"/>
    <mergeCell ref="M291:N291"/>
    <mergeCell ref="O412:Q412"/>
    <mergeCell ref="U434:V434"/>
    <mergeCell ref="U428:V428"/>
    <mergeCell ref="W356:AA356"/>
    <mergeCell ref="AB328:AD328"/>
    <mergeCell ref="O443:Q443"/>
    <mergeCell ref="R298:T298"/>
    <mergeCell ref="C322:F322"/>
    <mergeCell ref="AB417:AD417"/>
    <mergeCell ref="R297:T297"/>
    <mergeCell ref="O445:Q445"/>
    <mergeCell ref="AB288:AD288"/>
    <mergeCell ref="G301:I301"/>
    <mergeCell ref="C349:F349"/>
    <mergeCell ref="C324:F324"/>
    <mergeCell ref="AB419:AD419"/>
    <mergeCell ref="O438:Q438"/>
    <mergeCell ref="U304:V304"/>
    <mergeCell ref="R299:T299"/>
    <mergeCell ref="G303:I303"/>
    <mergeCell ref="K455:L455"/>
    <mergeCell ref="O440:Q440"/>
    <mergeCell ref="W278:AA278"/>
    <mergeCell ref="R296:T296"/>
    <mergeCell ref="U358:V358"/>
    <mergeCell ref="C411:F411"/>
    <mergeCell ref="U360:V360"/>
    <mergeCell ref="AB347:AD347"/>
    <mergeCell ref="O280:Q280"/>
    <mergeCell ref="AB341:AD341"/>
    <mergeCell ref="G354:I354"/>
    <mergeCell ref="O282:Q282"/>
    <mergeCell ref="G356:I356"/>
    <mergeCell ref="W296:AA296"/>
    <mergeCell ref="C406:F406"/>
    <mergeCell ref="AB342:AD342"/>
    <mergeCell ref="G349:I349"/>
    <mergeCell ref="W306:AA306"/>
    <mergeCell ref="O370:Q370"/>
    <mergeCell ref="W420:AA420"/>
    <mergeCell ref="AB344:AD344"/>
    <mergeCell ref="C393:F393"/>
    <mergeCell ref="W297:AA297"/>
    <mergeCell ref="W291:AA291"/>
    <mergeCell ref="R368:T368"/>
    <mergeCell ref="C422:F422"/>
    <mergeCell ref="U371:V371"/>
    <mergeCell ref="AB369:AD369"/>
    <mergeCell ref="C388:F388"/>
    <mergeCell ref="C424:F424"/>
    <mergeCell ref="R363:T363"/>
    <mergeCell ref="L47:M47"/>
    <mergeCell ref="W319:AA319"/>
    <mergeCell ref="M287:N287"/>
    <mergeCell ref="C325:F325"/>
    <mergeCell ref="G423:I423"/>
    <mergeCell ref="R391:T391"/>
    <mergeCell ref="C318:F318"/>
    <mergeCell ref="M282:N282"/>
    <mergeCell ref="AB388:AD388"/>
    <mergeCell ref="AB413:AD413"/>
    <mergeCell ref="G297:I297"/>
    <mergeCell ref="C320:F320"/>
    <mergeCell ref="AB415:AD415"/>
    <mergeCell ref="M313:N313"/>
    <mergeCell ref="C356:F356"/>
    <mergeCell ref="G299:I299"/>
    <mergeCell ref="AB408:AD408"/>
    <mergeCell ref="G293:I293"/>
    <mergeCell ref="K426:L426"/>
    <mergeCell ref="M342:N342"/>
    <mergeCell ref="G292:I292"/>
    <mergeCell ref="AB410:AD410"/>
    <mergeCell ref="K428:L428"/>
    <mergeCell ref="M308:N308"/>
    <mergeCell ref="W363:AA363"/>
    <mergeCell ref="AB439:AD439"/>
    <mergeCell ref="M344:N344"/>
    <mergeCell ref="R409:T409"/>
    <mergeCell ref="G294:I294"/>
    <mergeCell ref="AB441:AD441"/>
    <mergeCell ref="C338:F338"/>
    <mergeCell ref="R321:T321"/>
    <mergeCell ref="AB312:AD312"/>
    <mergeCell ref="G325:I325"/>
    <mergeCell ref="AB434:AD434"/>
    <mergeCell ref="R404:T404"/>
    <mergeCell ref="C340:F340"/>
    <mergeCell ref="R323:T323"/>
    <mergeCell ref="G318:I318"/>
    <mergeCell ref="O278:Q278"/>
    <mergeCell ref="AB314:AD314"/>
    <mergeCell ref="AB436:AD436"/>
    <mergeCell ref="W389:AA389"/>
    <mergeCell ref="C333:F333"/>
    <mergeCell ref="K297:L297"/>
    <mergeCell ref="M326:N326"/>
    <mergeCell ref="AB307:AD307"/>
    <mergeCell ref="U288:V288"/>
    <mergeCell ref="W391:AA391"/>
    <mergeCell ref="K299:L299"/>
    <mergeCell ref="K293:L293"/>
    <mergeCell ref="O449:Q449"/>
    <mergeCell ref="M355:N355"/>
    <mergeCell ref="M357:N357"/>
    <mergeCell ref="R305:T305"/>
    <mergeCell ref="O296:Q296"/>
    <mergeCell ref="C359:F359"/>
    <mergeCell ref="AB454:AD454"/>
    <mergeCell ref="C420:F420"/>
    <mergeCell ref="C395:F395"/>
    <mergeCell ref="O306:Q306"/>
    <mergeCell ref="R334:T334"/>
    <mergeCell ref="G363:I363"/>
    <mergeCell ref="G338:I338"/>
    <mergeCell ref="AB366:AD366"/>
    <mergeCell ref="O297:Q297"/>
    <mergeCell ref="R336:T336"/>
    <mergeCell ref="O335:Q335"/>
    <mergeCell ref="G340:I340"/>
    <mergeCell ref="AB351:AD351"/>
    <mergeCell ref="W321:AA321"/>
    <mergeCell ref="W315:AA315"/>
    <mergeCell ref="W404:AA404"/>
    <mergeCell ref="G366:I366"/>
    <mergeCell ref="W323:AA323"/>
    <mergeCell ref="C448:F448"/>
    <mergeCell ref="AB384:AD384"/>
    <mergeCell ref="O317:Q317"/>
    <mergeCell ref="AB378:AD378"/>
    <mergeCell ref="G391:I391"/>
    <mergeCell ref="D260:E260"/>
    <mergeCell ref="M289:N289"/>
    <mergeCell ref="C439:F439"/>
    <mergeCell ref="O325:Q325"/>
    <mergeCell ref="O319:Q319"/>
    <mergeCell ref="W333:AA333"/>
    <mergeCell ref="C405:F405"/>
    <mergeCell ref="K363:L363"/>
    <mergeCell ref="AB379:AD379"/>
    <mergeCell ref="G392:I392"/>
    <mergeCell ref="G386:I386"/>
    <mergeCell ref="K365:L365"/>
    <mergeCell ref="AB381:AD381"/>
    <mergeCell ref="G394:I394"/>
    <mergeCell ref="W334:AA334"/>
    <mergeCell ref="M315:N315"/>
    <mergeCell ref="M429:N429"/>
    <mergeCell ref="AB437:AD437"/>
    <mergeCell ref="L30:M30"/>
    <mergeCell ref="G321:I321"/>
    <mergeCell ref="M335:N335"/>
    <mergeCell ref="R400:T400"/>
    <mergeCell ref="AB397:AD397"/>
    <mergeCell ref="G404:I404"/>
    <mergeCell ref="AB432:AD432"/>
    <mergeCell ref="R408:T408"/>
    <mergeCell ref="C373:F373"/>
    <mergeCell ref="R402:T402"/>
    <mergeCell ref="AB309:AD309"/>
    <mergeCell ref="M322:N322"/>
    <mergeCell ref="G316:I316"/>
    <mergeCell ref="U284:V284"/>
    <mergeCell ref="W387:AA387"/>
    <mergeCell ref="G405:I405"/>
    <mergeCell ref="M324:N324"/>
    <mergeCell ref="M351:N351"/>
    <mergeCell ref="U286:V286"/>
    <mergeCell ref="U408:V408"/>
    <mergeCell ref="C360:F360"/>
    <mergeCell ref="U279:V279"/>
    <mergeCell ref="M353:N353"/>
    <mergeCell ref="U410:V410"/>
    <mergeCell ref="R434:T434"/>
    <mergeCell ref="R428:T428"/>
    <mergeCell ref="K290:L290"/>
    <mergeCell ref="AB450:AD450"/>
    <mergeCell ref="M319:N319"/>
    <mergeCell ref="C355:F355"/>
    <mergeCell ref="U281:V281"/>
    <mergeCell ref="C391:F391"/>
    <mergeCell ref="O302:Q302"/>
    <mergeCell ref="R436:T436"/>
    <mergeCell ref="G334:I334"/>
    <mergeCell ref="AB452:AD452"/>
    <mergeCell ref="M354:N354"/>
    <mergeCell ref="C357:F357"/>
    <mergeCell ref="K321:L321"/>
    <mergeCell ref="O418:Q418"/>
    <mergeCell ref="AB451:AD451"/>
    <mergeCell ref="AB445:AD445"/>
    <mergeCell ref="G336:I336"/>
    <mergeCell ref="O420:Q420"/>
    <mergeCell ref="C386:F386"/>
    <mergeCell ref="K323:L323"/>
    <mergeCell ref="K279:L279"/>
    <mergeCell ref="M379:N379"/>
    <mergeCell ref="U339:V339"/>
    <mergeCell ref="W400:AA400"/>
    <mergeCell ref="M381:N381"/>
    <mergeCell ref="K308:L308"/>
    <mergeCell ref="G331:I331"/>
    <mergeCell ref="K274:L274"/>
    <mergeCell ref="W402:AA402"/>
    <mergeCell ref="W401:AA401"/>
    <mergeCell ref="O349:Q349"/>
    <mergeCell ref="R447:T447"/>
    <mergeCell ref="M338:N338"/>
    <mergeCell ref="K305:L305"/>
    <mergeCell ref="O321:Q321"/>
    <mergeCell ref="O315:Q315"/>
    <mergeCell ref="W426:AA426"/>
    <mergeCell ref="K334:L334"/>
    <mergeCell ref="G357:I357"/>
    <mergeCell ref="O344:Q344"/>
    <mergeCell ref="K300:L300"/>
    <mergeCell ref="W428:AA428"/>
    <mergeCell ref="O316:Q316"/>
    <mergeCell ref="K361:L361"/>
    <mergeCell ref="K336:L336"/>
    <mergeCell ref="U352:V352"/>
    <mergeCell ref="U351:V351"/>
    <mergeCell ref="M425:N425"/>
    <mergeCell ref="E255:E256"/>
    <mergeCell ref="U353:V353"/>
    <mergeCell ref="M427:N427"/>
    <mergeCell ref="W456:AA456"/>
    <mergeCell ref="M306:N306"/>
    <mergeCell ref="R371:T371"/>
    <mergeCell ref="O326:Q326"/>
    <mergeCell ref="M420:N420"/>
    <mergeCell ref="O334:Q334"/>
    <mergeCell ref="L27:M27"/>
    <mergeCell ref="O364:Q364"/>
    <mergeCell ref="M451:N451"/>
    <mergeCell ref="G401:I401"/>
    <mergeCell ref="M295:N295"/>
    <mergeCell ref="U379:V379"/>
    <mergeCell ref="M453:N453"/>
    <mergeCell ref="AB390:AD390"/>
    <mergeCell ref="G403:I403"/>
    <mergeCell ref="M446:N446"/>
    <mergeCell ref="U406:V406"/>
    <mergeCell ref="U381:V381"/>
    <mergeCell ref="B157:B158"/>
    <mergeCell ref="G432:I432"/>
    <mergeCell ref="AB421:AD421"/>
    <mergeCell ref="G428:I428"/>
    <mergeCell ref="M448:N448"/>
    <mergeCell ref="L45:M45"/>
    <mergeCell ref="R432:T432"/>
    <mergeCell ref="AB414:AD414"/>
    <mergeCell ref="O362:Q362"/>
    <mergeCell ref="L38:M38"/>
    <mergeCell ref="C302:F302"/>
    <mergeCell ref="AB416:AD416"/>
    <mergeCell ref="G429:I429"/>
    <mergeCell ref="O385:Q385"/>
    <mergeCell ref="L40:M40"/>
    <mergeCell ref="G421:I421"/>
    <mergeCell ref="H249:I249"/>
    <mergeCell ref="U432:V432"/>
    <mergeCell ref="R427:T427"/>
    <mergeCell ref="G300:I300"/>
    <mergeCell ref="K408:L408"/>
    <mergeCell ref="K402:L402"/>
    <mergeCell ref="G431:I431"/>
    <mergeCell ref="W371:AA371"/>
    <mergeCell ref="U303:V303"/>
    <mergeCell ref="M377:N377"/>
    <mergeCell ref="U425:V425"/>
    <mergeCell ref="R443:T443"/>
    <mergeCell ref="G447:I447"/>
    <mergeCell ref="R445:T445"/>
    <mergeCell ref="O444:Q444"/>
    <mergeCell ref="K330:L330"/>
    <mergeCell ref="W424:AA424"/>
    <mergeCell ref="G442:I442"/>
    <mergeCell ref="K332:L332"/>
    <mergeCell ref="U451:V451"/>
    <mergeCell ref="H262:I262"/>
    <mergeCell ref="U445:V445"/>
    <mergeCell ref="K421:L421"/>
    <mergeCell ref="U322:V322"/>
    <mergeCell ref="K456:L456"/>
    <mergeCell ref="M396:N396"/>
    <mergeCell ref="U453:V453"/>
    <mergeCell ref="M390:N390"/>
    <mergeCell ref="W425:AA425"/>
    <mergeCell ref="K327:L327"/>
    <mergeCell ref="M389:N389"/>
    <mergeCell ref="AB305:AD305"/>
    <mergeCell ref="G371:I371"/>
    <mergeCell ref="R280:T280"/>
    <mergeCell ref="M391:N391"/>
    <mergeCell ref="O455:Q455"/>
    <mergeCell ref="C423:F423"/>
    <mergeCell ref="K343:L343"/>
    <mergeCell ref="AB359:AD359"/>
    <mergeCell ref="W443:AA443"/>
    <mergeCell ref="U375:V375"/>
    <mergeCell ref="K345:L345"/>
    <mergeCell ref="U377:V377"/>
    <mergeCell ref="M409:N409"/>
    <mergeCell ref="M444:N444"/>
    <mergeCell ref="O386:Q386"/>
    <mergeCell ref="O352:Q352"/>
    <mergeCell ref="L9:M9"/>
    <mergeCell ref="M404:N404"/>
    <mergeCell ref="W279:AA279"/>
    <mergeCell ref="K371:L371"/>
    <mergeCell ref="G425:I425"/>
    <mergeCell ref="O387:Q387"/>
    <mergeCell ref="O381:Q381"/>
    <mergeCell ref="L11:M11"/>
    <mergeCell ref="AB361:AD361"/>
    <mergeCell ref="O353:Q353"/>
    <mergeCell ref="K398:L398"/>
    <mergeCell ref="U388:V388"/>
    <mergeCell ref="G456:I456"/>
    <mergeCell ref="K399:L399"/>
    <mergeCell ref="U390:V390"/>
    <mergeCell ref="U302:V302"/>
    <mergeCell ref="C284:F284"/>
    <mergeCell ref="O371:Q371"/>
    <mergeCell ref="AB283:AD283"/>
    <mergeCell ref="G438:I438"/>
    <mergeCell ref="AB285:AD285"/>
    <mergeCell ref="O400:Q400"/>
    <mergeCell ref="H258:I258"/>
    <mergeCell ref="U416:V416"/>
    <mergeCell ref="K417:L417"/>
    <mergeCell ref="G440:I440"/>
    <mergeCell ref="K427:L427"/>
    <mergeCell ref="K298:L298"/>
    <mergeCell ref="AB301:AD301"/>
    <mergeCell ref="K412:L412"/>
    <mergeCell ref="C337:F337"/>
    <mergeCell ref="R276:T276"/>
    <mergeCell ref="O451:Q451"/>
    <mergeCell ref="AB311:AD311"/>
    <mergeCell ref="AB303:AD303"/>
    <mergeCell ref="K443:L443"/>
    <mergeCell ref="C339:F339"/>
    <mergeCell ref="C366:F366"/>
    <mergeCell ref="O453:Q453"/>
    <mergeCell ref="O428:Q428"/>
    <mergeCell ref="G309:I309"/>
    <mergeCell ref="K445:L445"/>
    <mergeCell ref="K438:L438"/>
    <mergeCell ref="U454:V454"/>
    <mergeCell ref="J192:J193"/>
    <mergeCell ref="AB322:AD322"/>
    <mergeCell ref="C350:F350"/>
    <mergeCell ref="M343:N343"/>
    <mergeCell ref="AB324:AD324"/>
    <mergeCell ref="K367:L367"/>
    <mergeCell ref="L7:M7"/>
    <mergeCell ref="O290:Q290"/>
    <mergeCell ref="K369:L369"/>
    <mergeCell ref="R322:T322"/>
    <mergeCell ref="U359:V359"/>
    <mergeCell ref="M433:N433"/>
    <mergeCell ref="W281:AA281"/>
    <mergeCell ref="K364:L364"/>
    <mergeCell ref="M426:N426"/>
    <mergeCell ref="R351:T351"/>
    <mergeCell ref="R317:T317"/>
    <mergeCell ref="M428:N428"/>
    <mergeCell ref="R353:T353"/>
    <mergeCell ref="C280:F280"/>
    <mergeCell ref="C274:F274"/>
    <mergeCell ref="C282:F282"/>
    <mergeCell ref="AB272:AD272"/>
    <mergeCell ref="R406:T406"/>
    <mergeCell ref="G279:I279"/>
    <mergeCell ref="C308:F308"/>
    <mergeCell ref="R283:T283"/>
    <mergeCell ref="R277:T277"/>
    <mergeCell ref="AB396:AD396"/>
    <mergeCell ref="F253:F254"/>
    <mergeCell ref="G281:I281"/>
    <mergeCell ref="C310:F310"/>
    <mergeCell ref="K439:L439"/>
    <mergeCell ref="G280:I280"/>
    <mergeCell ref="G274:I274"/>
    <mergeCell ref="AB398:AD398"/>
    <mergeCell ref="K441:L441"/>
    <mergeCell ref="W351:AA351"/>
    <mergeCell ref="U283:V283"/>
    <mergeCell ref="R278:T278"/>
    <mergeCell ref="M288:N288"/>
    <mergeCell ref="G282:I282"/>
    <mergeCell ref="K434:L434"/>
    <mergeCell ref="W353:AA353"/>
    <mergeCell ref="U285:V285"/>
    <mergeCell ref="AB325:AD325"/>
    <mergeCell ref="K436:L436"/>
    <mergeCell ref="R425:T425"/>
    <mergeCell ref="R419:T419"/>
    <mergeCell ref="C346:F346"/>
    <mergeCell ref="AB320:AD320"/>
    <mergeCell ref="R418:T418"/>
    <mergeCell ref="AB409:AD409"/>
    <mergeCell ref="C348:F348"/>
    <mergeCell ref="G335:I335"/>
    <mergeCell ref="W275:AA275"/>
    <mergeCell ref="W406:AA406"/>
    <mergeCell ref="K454:L454"/>
    <mergeCell ref="U296:V296"/>
    <mergeCell ref="M370:N370"/>
    <mergeCell ref="W277:AA277"/>
    <mergeCell ref="W399:AA399"/>
    <mergeCell ref="AB323:AD323"/>
    <mergeCell ref="C372:F372"/>
    <mergeCell ref="W276:AA276"/>
    <mergeCell ref="R347:T347"/>
    <mergeCell ref="K449:L449"/>
    <mergeCell ref="AB338:AD338"/>
    <mergeCell ref="G351:I351"/>
    <mergeCell ref="C374:F374"/>
    <mergeCell ref="C401:F401"/>
    <mergeCell ref="R288:T288"/>
    <mergeCell ref="R349:T349"/>
    <mergeCell ref="R324:T324"/>
    <mergeCell ref="O279:Q279"/>
    <mergeCell ref="AB340:AD340"/>
    <mergeCell ref="C403:F403"/>
    <mergeCell ref="G346:I346"/>
    <mergeCell ref="AB333:AD333"/>
    <mergeCell ref="O281:Q281"/>
    <mergeCell ref="W417:AA417"/>
    <mergeCell ref="G348:I348"/>
    <mergeCell ref="W419:AA419"/>
    <mergeCell ref="R375:T375"/>
    <mergeCell ref="W418:AA418"/>
    <mergeCell ref="E157:E158"/>
    <mergeCell ref="R377:T377"/>
    <mergeCell ref="C421:F421"/>
    <mergeCell ref="O332:Q332"/>
    <mergeCell ref="R370:T370"/>
    <mergeCell ref="AB392:AD392"/>
    <mergeCell ref="AB367:AD367"/>
    <mergeCell ref="C306:F306"/>
    <mergeCell ref="R362:T362"/>
    <mergeCell ref="O361:Q361"/>
    <mergeCell ref="G276:I276"/>
    <mergeCell ref="C416:F416"/>
    <mergeCell ref="AB394:AD394"/>
    <mergeCell ref="C335:F335"/>
    <mergeCell ref="W322:AA322"/>
    <mergeCell ref="W347:AA347"/>
    <mergeCell ref="G278:I278"/>
    <mergeCell ref="U368:V368"/>
    <mergeCell ref="W288:AA288"/>
    <mergeCell ref="C447:F447"/>
    <mergeCell ref="W349:AA349"/>
    <mergeCell ref="M321:N321"/>
    <mergeCell ref="W342:AA342"/>
    <mergeCell ref="M323:N323"/>
    <mergeCell ref="R388:T388"/>
    <mergeCell ref="M279:N279"/>
    <mergeCell ref="W344:AA344"/>
    <mergeCell ref="O351:Q351"/>
    <mergeCell ref="R390:T390"/>
    <mergeCell ref="C317:F317"/>
    <mergeCell ref="M281:N281"/>
    <mergeCell ref="O345:Q345"/>
    <mergeCell ref="G419:I419"/>
    <mergeCell ref="AB405:AD405"/>
    <mergeCell ref="W375:AA375"/>
    <mergeCell ref="G418:I418"/>
    <mergeCell ref="C319:F319"/>
    <mergeCell ref="O380:Q380"/>
    <mergeCell ref="K277:L277"/>
    <mergeCell ref="AB293:AD293"/>
    <mergeCell ref="G306:I306"/>
    <mergeCell ref="W368:AA368"/>
    <mergeCell ref="O346:Q346"/>
    <mergeCell ref="AB407:AD407"/>
    <mergeCell ref="G420:I420"/>
    <mergeCell ref="M305:N305"/>
    <mergeCell ref="M341:N341"/>
    <mergeCell ref="G291:I291"/>
    <mergeCell ref="W370:AA370"/>
    <mergeCell ref="M307:N307"/>
    <mergeCell ref="W362:AA362"/>
    <mergeCell ref="U294:V294"/>
    <mergeCell ref="R289:T289"/>
    <mergeCell ref="R318:T318"/>
    <mergeCell ref="R320:T320"/>
    <mergeCell ref="O275:Q275"/>
    <mergeCell ref="R314:T314"/>
    <mergeCell ref="AB433:AD433"/>
    <mergeCell ref="C399:F399"/>
    <mergeCell ref="R286:T286"/>
    <mergeCell ref="R444:T444"/>
    <mergeCell ref="G342:I342"/>
    <mergeCell ref="G317:I317"/>
    <mergeCell ref="O277:Q277"/>
    <mergeCell ref="K419:L419"/>
    <mergeCell ref="AB435:AD435"/>
    <mergeCell ref="W388:AA388"/>
    <mergeCell ref="O276:Q276"/>
    <mergeCell ref="R315:T315"/>
    <mergeCell ref="G344:I344"/>
    <mergeCell ref="G319:I319"/>
    <mergeCell ref="W390:AA390"/>
    <mergeCell ref="W383:AA383"/>
    <mergeCell ref="R373:T373"/>
    <mergeCell ref="O303:Q303"/>
    <mergeCell ref="W410:AA410"/>
    <mergeCell ref="C389:F389"/>
    <mergeCell ref="K347:L347"/>
    <mergeCell ref="AB357:AD357"/>
    <mergeCell ref="G370:I370"/>
    <mergeCell ref="R333:T333"/>
    <mergeCell ref="R455:T455"/>
    <mergeCell ref="O288:Q288"/>
    <mergeCell ref="W441:AA441"/>
    <mergeCell ref="D157:D158"/>
    <mergeCell ref="C418:F418"/>
    <mergeCell ref="O304:Q304"/>
    <mergeCell ref="C412:F412"/>
    <mergeCell ref="AB365:AD365"/>
    <mergeCell ref="O298:Q298"/>
    <mergeCell ref="W318:AA318"/>
    <mergeCell ref="G355:I355"/>
    <mergeCell ref="W312:AA312"/>
    <mergeCell ref="K342:L342"/>
    <mergeCell ref="U333:V333"/>
    <mergeCell ref="C443:F443"/>
    <mergeCell ref="M407:N407"/>
    <mergeCell ref="W314:AA314"/>
    <mergeCell ref="W436:AA436"/>
    <mergeCell ref="K344:L344"/>
    <mergeCell ref="AB360:AD360"/>
    <mergeCell ref="U366:V366"/>
    <mergeCell ref="U341:V341"/>
    <mergeCell ref="W313:AA313"/>
    <mergeCell ref="W444:AA444"/>
    <mergeCell ref="R384:T384"/>
    <mergeCell ref="L13:M13"/>
    <mergeCell ref="G388:I388"/>
    <mergeCell ref="M408:N408"/>
    <mergeCell ref="C438:F438"/>
    <mergeCell ref="M402:N402"/>
    <mergeCell ref="R386:T386"/>
    <mergeCell ref="L15:M15"/>
    <mergeCell ref="C446:F446"/>
    <mergeCell ref="M410:N410"/>
    <mergeCell ref="C440:F440"/>
    <mergeCell ref="AB376:AD376"/>
    <mergeCell ref="G389:I389"/>
    <mergeCell ref="G383:I383"/>
    <mergeCell ref="U392:V392"/>
    <mergeCell ref="K326:L326"/>
    <mergeCell ref="R387:T387"/>
    <mergeCell ref="W454:AA454"/>
    <mergeCell ref="O342:Q342"/>
    <mergeCell ref="K362:L362"/>
    <mergeCell ref="G385:I385"/>
    <mergeCell ref="M301:N301"/>
    <mergeCell ref="M337:N337"/>
    <mergeCell ref="U394:V394"/>
    <mergeCell ref="W366:AA366"/>
    <mergeCell ref="M309:N309"/>
    <mergeCell ref="M303:N303"/>
    <mergeCell ref="M330:N330"/>
    <mergeCell ref="W455:AA455"/>
    <mergeCell ref="U387:V387"/>
    <mergeCell ref="W326:AA326"/>
    <mergeCell ref="M332:N332"/>
    <mergeCell ref="R397:T397"/>
    <mergeCell ref="C430:F430"/>
    <mergeCell ref="M304:N304"/>
    <mergeCell ref="O368:Q368"/>
    <mergeCell ref="AB429:AD429"/>
    <mergeCell ref="L53:M53"/>
    <mergeCell ref="L28:M28"/>
    <mergeCell ref="H260:K260"/>
    <mergeCell ref="G313:I313"/>
    <mergeCell ref="AB431:AD431"/>
    <mergeCell ref="W384:AA384"/>
    <mergeCell ref="K292:L292"/>
    <mergeCell ref="G315:I315"/>
    <mergeCell ref="U405:V405"/>
    <mergeCell ref="H257:I257"/>
    <mergeCell ref="W386:AA386"/>
    <mergeCell ref="M350:N350"/>
    <mergeCell ref="U407:V407"/>
    <mergeCell ref="W379:AA379"/>
    <mergeCell ref="K287:L287"/>
    <mergeCell ref="M352:N352"/>
    <mergeCell ref="W381:AA381"/>
    <mergeCell ref="O388:Q388"/>
    <mergeCell ref="K289:L289"/>
    <mergeCell ref="M345:N345"/>
    <mergeCell ref="R451:T451"/>
    <mergeCell ref="O328:Q328"/>
    <mergeCell ref="AB442:AD442"/>
    <mergeCell ref="G455:I455"/>
    <mergeCell ref="AB302:AD302"/>
    <mergeCell ref="O417:Q417"/>
    <mergeCell ref="O294:Q294"/>
    <mergeCell ref="M376:N376"/>
    <mergeCell ref="R453:T453"/>
    <mergeCell ref="G326:I326"/>
    <mergeCell ref="O383:Q383"/>
    <mergeCell ref="K313:L313"/>
    <mergeCell ref="O419:Q419"/>
    <mergeCell ref="C385:F385"/>
    <mergeCell ref="W397:AA397"/>
    <mergeCell ref="M378:N378"/>
    <mergeCell ref="K315:L315"/>
    <mergeCell ref="U337:V337"/>
    <mergeCell ref="M371:N371"/>
    <mergeCell ref="U331:V331"/>
    <mergeCell ref="C354:F354"/>
    <mergeCell ref="O318:Q318"/>
    <mergeCell ref="O312:Q312"/>
    <mergeCell ref="U332:V332"/>
    <mergeCell ref="M406:N406"/>
    <mergeCell ref="C436:F436"/>
    <mergeCell ref="G379:I379"/>
    <mergeCell ref="O314:Q314"/>
    <mergeCell ref="C444:F444"/>
    <mergeCell ref="O313:Q313"/>
    <mergeCell ref="L6:M6"/>
    <mergeCell ref="R352:T352"/>
    <mergeCell ref="G387:I387"/>
    <mergeCell ref="G381:I381"/>
    <mergeCell ref="K360:L360"/>
    <mergeCell ref="M422:N422"/>
    <mergeCell ref="W451:AA451"/>
    <mergeCell ref="M432:N432"/>
    <mergeCell ref="K353:L353"/>
    <mergeCell ref="U350:V350"/>
    <mergeCell ref="W453:AA453"/>
    <mergeCell ref="M417:N417"/>
    <mergeCell ref="O369:Q369"/>
    <mergeCell ref="L24:M24"/>
    <mergeCell ref="L18:M18"/>
    <mergeCell ref="C455:F455"/>
    <mergeCell ref="M419:N419"/>
    <mergeCell ref="C449:F449"/>
    <mergeCell ref="L26:M26"/>
    <mergeCell ref="U401:V401"/>
    <mergeCell ref="U376:V376"/>
    <mergeCell ref="G444:I444"/>
    <mergeCell ref="K387:L387"/>
    <mergeCell ref="K381:L381"/>
    <mergeCell ref="M443:N443"/>
    <mergeCell ref="U403:V403"/>
    <mergeCell ref="U378:V378"/>
    <mergeCell ref="M445:N445"/>
    <mergeCell ref="C297:F297"/>
    <mergeCell ref="W352:AA352"/>
    <mergeCell ref="R423:T423"/>
    <mergeCell ref="C299:F299"/>
    <mergeCell ref="K397:L397"/>
    <mergeCell ref="G426:I426"/>
    <mergeCell ref="AB273:AD273"/>
    <mergeCell ref="O413:Q413"/>
    <mergeCell ref="L37:M37"/>
    <mergeCell ref="C292:F292"/>
    <mergeCell ref="U429:V429"/>
    <mergeCell ref="R424:T424"/>
    <mergeCell ref="O415:Q415"/>
    <mergeCell ref="U300:V300"/>
    <mergeCell ref="U431:V431"/>
    <mergeCell ref="U414:V414"/>
    <mergeCell ref="K311:L311"/>
    <mergeCell ref="H266:I266"/>
    <mergeCell ref="M367:N367"/>
    <mergeCell ref="U424:V424"/>
    <mergeCell ref="K425:L425"/>
    <mergeCell ref="K400:L400"/>
    <mergeCell ref="O410:Q410"/>
    <mergeCell ref="U301:V301"/>
    <mergeCell ref="M375:N375"/>
    <mergeCell ref="M369:N369"/>
    <mergeCell ref="R294:T294"/>
    <mergeCell ref="O441:Q441"/>
    <mergeCell ref="AB284:AD284"/>
    <mergeCell ref="O434:Q434"/>
    <mergeCell ref="AB286:AD286"/>
    <mergeCell ref="O426:Q426"/>
    <mergeCell ref="K451:L451"/>
    <mergeCell ref="K329:L329"/>
    <mergeCell ref="G352:I352"/>
    <mergeCell ref="U442:V442"/>
    <mergeCell ref="O436:Q436"/>
    <mergeCell ref="K295:L295"/>
    <mergeCell ref="K322:L322"/>
    <mergeCell ref="K453:L453"/>
    <mergeCell ref="M359:N359"/>
    <mergeCell ref="K324:L324"/>
    <mergeCell ref="U443:V443"/>
    <mergeCell ref="C363:F363"/>
    <mergeCell ref="M388:N388"/>
    <mergeCell ref="R313:T313"/>
    <mergeCell ref="R279:T279"/>
    <mergeCell ref="AB339:AD339"/>
    <mergeCell ref="O454:Q454"/>
    <mergeCell ref="W292:AA292"/>
    <mergeCell ref="R281:T281"/>
    <mergeCell ref="U372:V372"/>
    <mergeCell ref="W294:AA294"/>
    <mergeCell ref="K377:L377"/>
    <mergeCell ref="M439:N439"/>
    <mergeCell ref="W287:AA287"/>
    <mergeCell ref="U374:V374"/>
    <mergeCell ref="M441:N441"/>
    <mergeCell ref="W289:AA289"/>
    <mergeCell ref="R366:T366"/>
    <mergeCell ref="U369:V369"/>
    <mergeCell ref="AB350:AD350"/>
    <mergeCell ref="O384:Q384"/>
    <mergeCell ref="R361:T361"/>
    <mergeCell ref="AB358:AD358"/>
    <mergeCell ref="O350:Q350"/>
    <mergeCell ref="G424:I424"/>
    <mergeCell ref="C290:F290"/>
    <mergeCell ref="M283:N283"/>
    <mergeCell ref="O379:Q379"/>
    <mergeCell ref="G453:I453"/>
    <mergeCell ref="K396:L396"/>
    <mergeCell ref="U456:V456"/>
    <mergeCell ref="K390:L390"/>
    <mergeCell ref="C321:F321"/>
    <mergeCell ref="C404:F404"/>
    <mergeCell ref="M454:N454"/>
    <mergeCell ref="AB280:AD280"/>
    <mergeCell ref="C316:F316"/>
    <mergeCell ref="AB411:AD411"/>
    <mergeCell ref="K423:L423"/>
    <mergeCell ref="AB282:AD282"/>
    <mergeCell ref="O432:Q432"/>
    <mergeCell ref="K414:L414"/>
    <mergeCell ref="AB406:AD406"/>
    <mergeCell ref="R405:T405"/>
    <mergeCell ref="G290:I290"/>
    <mergeCell ref="U439:V439"/>
    <mergeCell ref="H250:I250"/>
    <mergeCell ref="W361:AA361"/>
    <mergeCell ref="K409:L409"/>
    <mergeCell ref="C334:F334"/>
    <mergeCell ref="AB308:AD308"/>
    <mergeCell ref="U441:V441"/>
    <mergeCell ref="R309:T309"/>
    <mergeCell ref="M297:N297"/>
    <mergeCell ref="AB422:AD422"/>
    <mergeCell ref="C336:F336"/>
    <mergeCell ref="R275:T275"/>
    <mergeCell ref="AB335:AD335"/>
    <mergeCell ref="O450:Q450"/>
    <mergeCell ref="AB310:AD310"/>
    <mergeCell ref="C329:F329"/>
    <mergeCell ref="C365:F365"/>
    <mergeCell ref="R304:T304"/>
    <mergeCell ref="O452:Q452"/>
    <mergeCell ref="C157:C158"/>
    <mergeCell ref="C331:F331"/>
    <mergeCell ref="C362:F362"/>
    <mergeCell ref="R301:T301"/>
    <mergeCell ref="W285:AA285"/>
    <mergeCell ref="O292:Q292"/>
    <mergeCell ref="R330:T330"/>
    <mergeCell ref="R332:T332"/>
    <mergeCell ref="AB354:AD354"/>
    <mergeCell ref="O287:Q287"/>
    <mergeCell ref="AB348:AD348"/>
    <mergeCell ref="G361:I361"/>
    <mergeCell ref="O289:Q289"/>
    <mergeCell ref="K359:L359"/>
    <mergeCell ref="AB349:AD349"/>
    <mergeCell ref="C400:F400"/>
    <mergeCell ref="AB380:AD380"/>
    <mergeCell ref="W304:AA304"/>
    <mergeCell ref="M285:N285"/>
    <mergeCell ref="R350:T350"/>
    <mergeCell ref="C429:F429"/>
    <mergeCell ref="R343:T343"/>
    <mergeCell ref="W329:AA329"/>
    <mergeCell ref="C437:F437"/>
    <mergeCell ref="AB375:AD375"/>
    <mergeCell ref="R345:T345"/>
    <mergeCell ref="W331:AA331"/>
    <mergeCell ref="AB377:AD377"/>
    <mergeCell ref="W330:AA330"/>
    <mergeCell ref="W332:AA332"/>
    <mergeCell ref="D192:D193"/>
    <mergeCell ref="R403:T403"/>
    <mergeCell ref="C305:F305"/>
    <mergeCell ref="O333:Q333"/>
    <mergeCell ref="AB393:AD393"/>
    <mergeCell ref="G400:I400"/>
    <mergeCell ref="AB306:AD306"/>
    <mergeCell ref="R398:T398"/>
    <mergeCell ref="C300:F300"/>
    <mergeCell ref="AB395:AD395"/>
    <mergeCell ref="G402:I402"/>
    <mergeCell ref="C361:F361"/>
    <mergeCell ref="U280:V280"/>
    <mergeCell ref="G304:I304"/>
    <mergeCell ref="C327:F327"/>
    <mergeCell ref="O416:Q416"/>
    <mergeCell ref="U282:V282"/>
    <mergeCell ref="K433:L433"/>
    <mergeCell ref="W343:AA343"/>
    <mergeCell ref="U275:V275"/>
    <mergeCell ref="M349:N349"/>
    <mergeCell ref="R414:T414"/>
    <mergeCell ref="AB446:AD446"/>
    <mergeCell ref="K435:L435"/>
    <mergeCell ref="W345:AA345"/>
    <mergeCell ref="U277:V277"/>
    <mergeCell ref="C387:F387"/>
    <mergeCell ref="R416:T416"/>
    <mergeCell ref="AB317:AD317"/>
    <mergeCell ref="G330:I330"/>
    <mergeCell ref="AB448:AD448"/>
    <mergeCell ref="C353:F353"/>
    <mergeCell ref="R328:T328"/>
    <mergeCell ref="O283:Q283"/>
    <mergeCell ref="AB319:AD319"/>
    <mergeCell ref="G332:I332"/>
    <mergeCell ref="U422:V422"/>
    <mergeCell ref="R417:T417"/>
    <mergeCell ref="C382:F382"/>
    <mergeCell ref="K275:L275"/>
    <mergeCell ref="AB318:AD318"/>
    <mergeCell ref="O285:Q285"/>
    <mergeCell ref="W396:AA396"/>
    <mergeCell ref="R442:T442"/>
    <mergeCell ref="K304:L304"/>
    <mergeCell ref="M333:N333"/>
    <mergeCell ref="G327:I327"/>
    <mergeCell ref="U295:V295"/>
    <mergeCell ref="W398:AA398"/>
    <mergeCell ref="K306:L306"/>
    <mergeCell ref="M368:N368"/>
    <mergeCell ref="C371:F371"/>
    <mergeCell ref="R346:T346"/>
    <mergeCell ref="M334:N334"/>
    <mergeCell ref="O311:Q311"/>
    <mergeCell ref="C192:C193"/>
    <mergeCell ref="G343:I343"/>
    <mergeCell ref="C402:F402"/>
    <mergeCell ref="W414:AA414"/>
    <mergeCell ref="R341:T341"/>
    <mergeCell ref="G345:I345"/>
    <mergeCell ref="AB373:AD373"/>
    <mergeCell ref="K288:L288"/>
    <mergeCell ref="W416:AA416"/>
    <mergeCell ref="W295:AA295"/>
    <mergeCell ref="U347:V347"/>
    <mergeCell ref="W409:AA409"/>
    <mergeCell ref="W328:AA328"/>
    <mergeCell ref="O329:Q329"/>
    <mergeCell ref="U349:V349"/>
    <mergeCell ref="R367:T367"/>
    <mergeCell ref="AB389:AD389"/>
    <mergeCell ref="F157:J157"/>
    <mergeCell ref="M294:N294"/>
    <mergeCell ref="R359:T359"/>
    <mergeCell ref="R394:T394"/>
    <mergeCell ref="O330:Q330"/>
    <mergeCell ref="R369:T369"/>
    <mergeCell ref="C296:F296"/>
    <mergeCell ref="O324:Q324"/>
    <mergeCell ref="AB391:AD391"/>
    <mergeCell ref="AB385:AD385"/>
    <mergeCell ref="G398:I398"/>
    <mergeCell ref="O360:Q360"/>
    <mergeCell ref="G275:I275"/>
    <mergeCell ref="C298:F298"/>
    <mergeCell ref="G427:I427"/>
    <mergeCell ref="C456:F456"/>
    <mergeCell ref="AB386:AD386"/>
    <mergeCell ref="G399:I399"/>
    <mergeCell ref="U367:V367"/>
    <mergeCell ref="M293:N293"/>
    <mergeCell ref="M320:N320"/>
    <mergeCell ref="M286:N286"/>
    <mergeCell ref="W341:AA341"/>
    <mergeCell ref="U273:V273"/>
    <mergeCell ref="L41:M41"/>
    <mergeCell ref="R293:T293"/>
    <mergeCell ref="AB412:AD412"/>
    <mergeCell ref="R413:T413"/>
    <mergeCell ref="R407:T407"/>
    <mergeCell ref="O343:Q343"/>
    <mergeCell ref="L36:M36"/>
    <mergeCell ref="G417:I417"/>
  </mergeCells>
  <conditionalFormatting sqref="K4:K31 N4:N31 N37:N57">
    <cfRule type="cellIs" priority="7" operator="lessThan" dxfId="8">
      <formula>0</formula>
    </cfRule>
  </conditionalFormatting>
  <conditionalFormatting sqref="B159:I190">
    <cfRule type="expression" priority="6" dxfId="12">
      <formula>MOD(ROW(),2)=0</formula>
    </cfRule>
  </conditionalFormatting>
  <conditionalFormatting sqref="B194:I216">
    <cfRule type="expression" priority="5" dxfId="12">
      <formula>MOD(ROW(),2)=0</formula>
    </cfRule>
  </conditionalFormatting>
  <conditionalFormatting sqref="D4:N5 D6:L6 D7:N7 D8:L8 D9:K31 D37:N51 D52:L52 D53:N57 L9:M11 L12 L13:M13 L14 L15:M16 L17:L18 L19:M19 L20 L21:M22 L23 L24:M26 L27 L28:M29 L30 L31:M31 N6 N8:N31 N52">
    <cfRule type="expression" priority="4" dxfId="11">
      <formula>MOD(ROW(),2)=0</formula>
    </cfRule>
  </conditionalFormatting>
  <conditionalFormatting sqref="K37:K57">
    <cfRule type="cellIs" priority="1" operator="lessThan" dxfId="8">
      <formula>0</formula>
    </cfRule>
    <cfRule type="cellIs" priority="3" operator="lessThan" dxfId="8">
      <formula>0</formula>
    </cfRule>
  </conditionalFormatting>
  <conditionalFormatting sqref="K4:K30">
    <cfRule type="cellIs" priority="2" operator="lessThan" dxfId="8">
      <formula>0</formula>
    </cfRule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E977"/>
  <sheetViews>
    <sheetView showGridLines="0" zoomScale="85" zoomScaleNormal="85" workbookViewId="0">
      <selection activeCell="E57" sqref="E57"/>
    </sheetView>
  </sheetViews>
  <sheetFormatPr baseColWidth="10" defaultRowHeight="12.75"/>
  <cols>
    <col width="11.42578125" customWidth="1" style="232" min="1" max="2"/>
    <col width="12.140625" bestFit="1" customWidth="1" style="232" min="3" max="3"/>
    <col width="36.42578125" bestFit="1" customWidth="1" style="232" min="4" max="4"/>
    <col width="11.42578125" customWidth="1" style="232" min="5" max="5"/>
    <col width="26.85546875" customWidth="1" style="232" min="6" max="6"/>
    <col width="11.85546875" customWidth="1" style="232" min="7" max="7"/>
    <col width="11.42578125" customWidth="1" style="232" min="8" max="9"/>
    <col width="13.7109375" bestFit="1" customWidth="1" style="232" min="10" max="10"/>
    <col width="12" bestFit="1" customWidth="1" style="232" min="11" max="11"/>
    <col width="23.140625" customWidth="1" style="232" min="12" max="12"/>
    <col width="11.42578125" customWidth="1" style="232" min="13" max="16384"/>
  </cols>
  <sheetData>
    <row r="1" ht="13.5" customHeight="1" s="95" thickBot="1"/>
    <row r="2" ht="13.5" customHeight="1" s="95" thickBot="1">
      <c r="B2" s="4" t="n"/>
      <c r="C2" s="9" t="n"/>
      <c r="D2" s="126" t="inlineStr">
        <is>
          <t>PRODUCTOS</t>
        </is>
      </c>
      <c r="E2" s="128" t="inlineStr">
        <is>
          <t>+</t>
        </is>
      </c>
      <c r="F2" s="128" t="inlineStr">
        <is>
          <t>+</t>
        </is>
      </c>
      <c r="G2" s="128" t="inlineStr">
        <is>
          <t>(-)</t>
        </is>
      </c>
      <c r="H2" s="128" t="inlineStr">
        <is>
          <t>(-)</t>
        </is>
      </c>
      <c r="I2" s="128" t="inlineStr">
        <is>
          <t>=</t>
        </is>
      </c>
      <c r="J2" s="128" t="inlineStr">
        <is>
          <t>=</t>
        </is>
      </c>
      <c r="K2" s="128" t="inlineStr">
        <is>
          <t>=</t>
        </is>
      </c>
      <c r="L2" s="296" t="inlineStr">
        <is>
          <t>$</t>
        </is>
      </c>
      <c r="M2" s="297" t="n"/>
      <c r="N2" s="34" t="inlineStr">
        <is>
          <t>$</t>
        </is>
      </c>
      <c r="O2" s="4" t="n"/>
      <c r="P2" s="4" t="n"/>
      <c r="Q2" s="4" t="n"/>
    </row>
    <row r="3" ht="13.5" customHeight="1" s="95" thickBot="1">
      <c r="B3" s="4" t="n"/>
      <c r="C3" s="33" t="n"/>
      <c r="D3" s="298" t="n"/>
      <c r="E3" s="129" t="inlineStr">
        <is>
          <t>Stock Inicial</t>
        </is>
      </c>
      <c r="F3" s="129" t="inlineStr">
        <is>
          <t>Entregas</t>
        </is>
      </c>
      <c r="G3" s="129" t="inlineStr">
        <is>
          <t>Ventas</t>
        </is>
      </c>
      <c r="H3" s="129" t="inlineStr">
        <is>
          <t>Mermas</t>
        </is>
      </c>
      <c r="I3" s="129" t="inlineStr">
        <is>
          <t>Stock Real</t>
        </is>
      </c>
      <c r="J3" s="129" t="inlineStr">
        <is>
          <t>Stock Informado</t>
        </is>
      </c>
      <c r="K3" s="129" t="inlineStr">
        <is>
          <t>Diferencias</t>
        </is>
      </c>
      <c r="L3" s="129" t="inlineStr">
        <is>
          <t>Precio</t>
        </is>
      </c>
      <c r="M3" s="297" t="n"/>
      <c r="N3" s="109" t="inlineStr">
        <is>
          <t>Descuento</t>
        </is>
      </c>
      <c r="O3" s="4" t="n"/>
      <c r="P3" s="4" t="n"/>
      <c r="Q3" s="4" t="n"/>
    </row>
    <row r="4">
      <c r="B4" s="4" t="n"/>
      <c r="C4" s="9" t="n"/>
      <c r="D4" s="103" t="inlineStr">
        <is>
          <t>Atún Steak</t>
        </is>
      </c>
      <c r="E4" s="243" t="n"/>
      <c r="F4" s="104">
        <f>E221</f>
        <v/>
      </c>
      <c r="G4" s="104">
        <f>IFERROR(SUMPRODUCT(($F$66:$F$153="Atún Steak")*$E$66:$E$153*$G$66:$G$153),"Error")</f>
        <v/>
      </c>
      <c r="H4" s="104">
        <f>SUM(F159:J159)</f>
        <v/>
      </c>
      <c r="I4" s="104">
        <f>E4+F4-G4-H4</f>
        <v/>
      </c>
      <c r="J4" s="104">
        <f>E159</f>
        <v/>
      </c>
      <c r="K4" s="105">
        <f>J4-I4</f>
        <v/>
      </c>
      <c r="L4" s="299">
        <f>+'MERMAS S1'!D5</f>
        <v/>
      </c>
      <c r="M4" s="300" t="n"/>
      <c r="N4" s="106">
        <f>IF(K4&lt;0,K4*L4,0)</f>
        <v/>
      </c>
      <c r="O4" s="4" t="n"/>
      <c r="P4" s="4" t="n"/>
      <c r="Q4" s="4" t="n"/>
    </row>
    <row r="5">
      <c r="B5" s="4" t="n"/>
      <c r="C5" s="9" t="n"/>
      <c r="D5" s="49" t="inlineStr">
        <is>
          <t>Atún Trozos</t>
        </is>
      </c>
      <c r="E5" s="244" t="n"/>
      <c r="F5" s="86">
        <f>E222</f>
        <v/>
      </c>
      <c r="G5" s="86">
        <f>IFERROR(SUMPRODUCT(($F$66:$F$153="Atún Trozos")*$E$66:$E$153*$G$66:$G$153),"Error")</f>
        <v/>
      </c>
      <c r="H5" s="86">
        <f>SUM(F160:I160)+SUM(F190:I190)</f>
        <v/>
      </c>
      <c r="I5" s="86">
        <f>E5+F5-G5-H5</f>
        <v/>
      </c>
      <c r="J5" s="86">
        <f>E160+E190</f>
        <v/>
      </c>
      <c r="K5" s="87">
        <f>J5-I5</f>
        <v/>
      </c>
      <c r="L5" s="121">
        <f>+'MERMAS S1'!D6</f>
        <v/>
      </c>
      <c r="M5" s="301" t="n"/>
      <c r="N5" s="36">
        <f>IF(K5&lt;0,K5*L5,0)</f>
        <v/>
      </c>
      <c r="O5" s="4" t="n"/>
      <c r="P5" s="4" t="n"/>
      <c r="Q5" s="4" t="n"/>
    </row>
    <row r="6">
      <c r="B6" s="4" t="n"/>
      <c r="C6" s="9" t="n"/>
      <c r="D6" s="49" t="inlineStr">
        <is>
          <t>Almejas Julianas</t>
        </is>
      </c>
      <c r="E6" s="244" t="n"/>
      <c r="F6" s="86">
        <f>E254</f>
        <v/>
      </c>
      <c r="G6" s="86">
        <f>K254</f>
        <v/>
      </c>
      <c r="H6" s="86">
        <f>SUM(F161:I161)+J254</f>
        <v/>
      </c>
      <c r="I6" s="86">
        <f>E6+F6-G6-H6</f>
        <v/>
      </c>
      <c r="J6" s="86">
        <f>E161</f>
        <v/>
      </c>
      <c r="K6" s="87">
        <f>J6-I6</f>
        <v/>
      </c>
      <c r="L6" s="121">
        <f>+'MERMAS S1'!D7</f>
        <v/>
      </c>
      <c r="M6" s="301" t="n"/>
      <c r="N6" s="36">
        <f>IF(K6&lt;0,K6*L6,0)</f>
        <v/>
      </c>
      <c r="O6" s="4" t="n"/>
      <c r="P6" s="4" t="n"/>
      <c r="Q6" s="4" t="n"/>
    </row>
    <row r="7">
      <c r="A7" s="302" t="n"/>
      <c r="B7" s="4" t="n"/>
      <c r="C7" s="9" t="n"/>
      <c r="D7" s="50" t="inlineStr">
        <is>
          <t>Carpaccio de res</t>
        </is>
      </c>
      <c r="E7" s="244" t="n"/>
      <c r="F7" s="86">
        <f>E223</f>
        <v/>
      </c>
      <c r="G7" s="86">
        <f>IFERROR(SUMPRODUCT(($F$66:$F$153="Carpaccio de res")*$E$66:$E$153*$G$66:$G$153),"Error")</f>
        <v/>
      </c>
      <c r="H7" s="86">
        <f>SUM(F162:I162)</f>
        <v/>
      </c>
      <c r="I7" s="86">
        <f>E7+F7-G7-H7</f>
        <v/>
      </c>
      <c r="J7" s="86">
        <f>E162</f>
        <v/>
      </c>
      <c r="K7" s="87">
        <f>J7-I7</f>
        <v/>
      </c>
      <c r="L7" s="121">
        <f>+'MERMAS S1'!D8</f>
        <v/>
      </c>
      <c r="M7" s="301" t="n"/>
      <c r="N7" s="36">
        <f>IF(K7&lt;0,K7*L7,0)</f>
        <v/>
      </c>
      <c r="O7" s="4" t="n"/>
      <c r="P7" s="4" t="n"/>
      <c r="Q7" s="4" t="n"/>
    </row>
    <row r="8">
      <c r="A8" s="302" t="n"/>
      <c r="B8" s="4" t="n"/>
      <c r="C8" s="9" t="n"/>
      <c r="D8" s="50" t="inlineStr">
        <is>
          <t>Chupe</t>
        </is>
      </c>
      <c r="E8" s="244" t="n"/>
      <c r="F8" s="86">
        <f>H258</f>
        <v/>
      </c>
      <c r="G8" s="86">
        <f>E90</f>
        <v/>
      </c>
      <c r="H8" s="86">
        <f>SUM(F165:I165)</f>
        <v/>
      </c>
      <c r="I8" s="86">
        <f>E8+F8-G8-H8</f>
        <v/>
      </c>
      <c r="J8" s="86">
        <f>E165</f>
        <v/>
      </c>
      <c r="K8" s="87">
        <f>J8-I8</f>
        <v/>
      </c>
      <c r="L8" s="121">
        <f>+'MERMAS S1'!D9</f>
        <v/>
      </c>
      <c r="M8" s="301" t="n"/>
      <c r="N8" s="36">
        <f>IF(K8&lt;0,K8*L8,0)</f>
        <v/>
      </c>
      <c r="O8" s="4" t="n"/>
      <c r="P8" s="4" t="n"/>
      <c r="Q8" s="4" t="n"/>
    </row>
    <row r="9">
      <c r="A9" s="302" t="n"/>
      <c r="B9" s="4" t="n"/>
      <c r="C9" s="9" t="n"/>
      <c r="D9" s="50" t="inlineStr">
        <is>
          <t>Congrio</t>
        </is>
      </c>
      <c r="E9" s="244" t="n"/>
      <c r="F9" s="86">
        <f>E252</f>
        <v/>
      </c>
      <c r="G9" s="86">
        <f>IFERROR(SUMPRODUCT(($F$66:$F$153="Congrio")*$E$66:$E$153*$G$66:$G$153),"Error")</f>
        <v/>
      </c>
      <c r="H9" s="86">
        <f>J252+SUM(F164:I164)</f>
        <v/>
      </c>
      <c r="I9" s="86">
        <f>E9+F9-G9-H9</f>
        <v/>
      </c>
      <c r="J9" s="86">
        <f>E164</f>
        <v/>
      </c>
      <c r="K9" s="87">
        <f>J9-I9</f>
        <v/>
      </c>
      <c r="L9" s="121">
        <f>+'MERMAS S1'!D10</f>
        <v/>
      </c>
      <c r="M9" s="301" t="n"/>
      <c r="N9" s="36">
        <f>IF(K9&lt;0,K9*L9,0)</f>
        <v/>
      </c>
      <c r="O9" s="4" t="n"/>
      <c r="P9" s="4" t="n"/>
      <c r="Q9" s="4" t="n"/>
    </row>
    <row r="10">
      <c r="A10" s="302" t="n"/>
      <c r="B10" s="4" t="n"/>
      <c r="C10" s="9" t="n"/>
      <c r="D10" s="50" t="inlineStr">
        <is>
          <t>Filete despunte</t>
        </is>
      </c>
      <c r="E10" s="244" t="n"/>
      <c r="F10" s="86">
        <f>E255</f>
        <v/>
      </c>
      <c r="G10" s="86">
        <f>K255+K256</f>
        <v/>
      </c>
      <c r="H10" s="86">
        <f>SUM(J255:J256)+SUM(F167:I167)</f>
        <v/>
      </c>
      <c r="I10" s="86">
        <f>E10+F10-G10-H10</f>
        <v/>
      </c>
      <c r="J10" s="86">
        <f>E167</f>
        <v/>
      </c>
      <c r="K10" s="87">
        <f>J10-I10</f>
        <v/>
      </c>
      <c r="L10" s="121">
        <f>+'MERMAS S1'!D11</f>
        <v/>
      </c>
      <c r="M10" s="301" t="n"/>
      <c r="N10" s="36">
        <f>IF(K10&lt;0,K10*L10,0)</f>
        <v/>
      </c>
      <c r="O10" s="4" t="n"/>
      <c r="P10" s="4" t="n"/>
      <c r="Q10" s="4" t="n"/>
    </row>
    <row r="11">
      <c r="A11" s="302" t="n"/>
      <c r="B11" s="4" t="n"/>
      <c r="C11" s="9" t="n"/>
      <c r="D11" s="50" t="inlineStr">
        <is>
          <t>Filete para churrasco</t>
        </is>
      </c>
      <c r="E11" s="244" t="n"/>
      <c r="F11" s="86">
        <f>E226</f>
        <v/>
      </c>
      <c r="G11" s="86">
        <f>IFERROR(SUMPRODUCT(($F$66:$F$153="Filete para churrasco")*$E$66:$E$153*$G$66:$G$153),"Error")</f>
        <v/>
      </c>
      <c r="H11" s="86">
        <f>SUM(F168:I168)</f>
        <v/>
      </c>
      <c r="I11" s="86">
        <f>E11+F11-G11-H11</f>
        <v/>
      </c>
      <c r="J11" s="86">
        <f>E168</f>
        <v/>
      </c>
      <c r="K11" s="87">
        <f>J11-I11</f>
        <v/>
      </c>
      <c r="L11" s="121">
        <f>+'MERMAS S1'!D12</f>
        <v/>
      </c>
      <c r="M11" s="301" t="n"/>
      <c r="N11" s="36">
        <f>IF(K11&lt;0,K11*L11,0)</f>
        <v/>
      </c>
      <c r="O11" s="4" t="n"/>
      <c r="P11" s="4" t="n"/>
      <c r="Q11" s="4" t="n"/>
    </row>
    <row r="12">
      <c r="B12" s="4" t="n"/>
      <c r="C12" s="9" t="n"/>
      <c r="D12" s="50" t="inlineStr">
        <is>
          <t>Filete para crudo</t>
        </is>
      </c>
      <c r="E12" s="244" t="n"/>
      <c r="F12" s="86">
        <f>E227</f>
        <v/>
      </c>
      <c r="G12" s="86">
        <f>IFERROR(SUMPRODUCT(($F$66:$F$153="Filete para crudo")*$E$66:$E$153*$G$66:$G$153),"Error")</f>
        <v/>
      </c>
      <c r="H12" s="86">
        <f>SUM(F169:I169)+SUM(F189:I189)</f>
        <v/>
      </c>
      <c r="I12" s="86">
        <f>E12+F12-G12-H12</f>
        <v/>
      </c>
      <c r="J12" s="86">
        <f>E169
+IFERROR(INDEX($E$159:$E$215,MATCH("Tartar de Res",$D$159:$D$215,0)),0)</f>
        <v/>
      </c>
      <c r="K12" s="87">
        <f>J12-I12</f>
        <v/>
      </c>
      <c r="L12" s="121">
        <f>+'MERMAS S1'!D13</f>
        <v/>
      </c>
      <c r="M12" s="301" t="n"/>
      <c r="N12" s="36">
        <f>IF(K12&lt;0,K12*L12,0)</f>
        <v/>
      </c>
      <c r="O12" s="4" t="n"/>
      <c r="P12" s="4" t="n"/>
      <c r="Q12" s="4" t="n"/>
    </row>
    <row r="13" ht="14.25" customHeight="1" s="95">
      <c r="B13" s="4" t="n"/>
      <c r="C13" s="9" t="n"/>
      <c r="D13" s="50" t="inlineStr">
        <is>
          <t>Filete Salteado</t>
        </is>
      </c>
      <c r="E13" s="244" t="n"/>
      <c r="F13" s="86">
        <f>E228</f>
        <v/>
      </c>
      <c r="G13" s="86">
        <f>IFERROR(SUMPRODUCT(($F$66:$F$153=D13)*$E$66:$E$153*$G$66:$G$153),"Error")</f>
        <v/>
      </c>
      <c r="H13" s="86">
        <f>SUM(F170:I170)</f>
        <v/>
      </c>
      <c r="I13" s="86">
        <f>E13+F13-G13-H13</f>
        <v/>
      </c>
      <c r="J13" s="86">
        <f>E170</f>
        <v/>
      </c>
      <c r="K13" s="87">
        <f>J13-I13</f>
        <v/>
      </c>
      <c r="L13" s="121">
        <f>+'MERMAS S1'!D14</f>
        <v/>
      </c>
      <c r="M13" s="301" t="n"/>
      <c r="N13" s="36">
        <f>IF(K13&lt;0,K13*L13,0)</f>
        <v/>
      </c>
      <c r="O13" s="4" t="n"/>
      <c r="P13" s="4" t="n"/>
      <c r="Q13" s="4" t="n"/>
    </row>
    <row r="14">
      <c r="B14" s="4" t="n"/>
      <c r="C14" s="9" t="n"/>
      <c r="D14" s="50" t="inlineStr">
        <is>
          <t>Ganso</t>
        </is>
      </c>
      <c r="E14" s="244" t="n"/>
      <c r="F14" s="86">
        <f>E229</f>
        <v/>
      </c>
      <c r="G14" s="86">
        <f>IFERROR(SUMPRODUCT(($F$66:$F$153=D14)*$E$66:$E$153*$G$66:$G$153),"Error")</f>
        <v/>
      </c>
      <c r="H14" s="86">
        <f>SUM(F171:I171)+SUM(F180:I180)</f>
        <v/>
      </c>
      <c r="I14" s="86">
        <f>E14+F14-G14-H14</f>
        <v/>
      </c>
      <c r="J14" s="86">
        <f>E171
+IFERROR(INDEX($E$159:$E$215,MATCH("Paila de Carne",$D$159:$D$215,0)),0)</f>
        <v/>
      </c>
      <c r="K14" s="87">
        <f>J14-I14</f>
        <v/>
      </c>
      <c r="L14" s="121">
        <f>+'MERMAS S1'!D15</f>
        <v/>
      </c>
      <c r="M14" s="301" t="n"/>
      <c r="N14" s="36">
        <f>IF(K14&lt;0,K14*L14,0)</f>
        <v/>
      </c>
      <c r="O14" s="4" t="n"/>
      <c r="P14" s="4" t="n"/>
      <c r="Q14" s="4" t="n"/>
    </row>
    <row r="15">
      <c r="B15" s="4" t="n"/>
      <c r="C15" s="9" t="n"/>
      <c r="D15" s="50" t="inlineStr">
        <is>
          <t>Hamburguesas</t>
        </is>
      </c>
      <c r="E15" s="244" t="n"/>
      <c r="F15" s="86">
        <f>E231</f>
        <v/>
      </c>
      <c r="G15" s="86">
        <f>IFERROR(SUMPRODUCT(($F$66:$F$153=D15)*$E$66:$E$153*$G$66:$G$153),"Error")</f>
        <v/>
      </c>
      <c r="H15" s="86">
        <f>SUM(F172:I172)</f>
        <v/>
      </c>
      <c r="I15" s="86">
        <f>E15+F15-G15-H15</f>
        <v/>
      </c>
      <c r="J15" s="86">
        <f>E172</f>
        <v/>
      </c>
      <c r="K15" s="87">
        <f>J15-I15</f>
        <v/>
      </c>
      <c r="L15" s="121">
        <f>+'MERMAS S1'!D16</f>
        <v/>
      </c>
      <c r="M15" s="301" t="n"/>
      <c r="N15" s="36">
        <f>IF(K15&lt;0,K15*L15,0)</f>
        <v/>
      </c>
      <c r="O15" s="4" t="n"/>
      <c r="P15" s="4" t="n"/>
      <c r="Q15" s="4" t="n"/>
    </row>
    <row r="16">
      <c r="B16" s="4" t="n"/>
      <c r="C16" s="9" t="n"/>
      <c r="D16" s="50" t="inlineStr">
        <is>
          <t>Jamón serrano</t>
        </is>
      </c>
      <c r="E16" s="244" t="n"/>
      <c r="F16" s="86">
        <f>E232</f>
        <v/>
      </c>
      <c r="G16" s="86">
        <f>IFERROR(SUMPRODUCT(($F$66:$F$153=D16)*$E$66:$E$153*$G$66:$G$153),"Error")</f>
        <v/>
      </c>
      <c r="H16" s="86">
        <f>SUM(F174:I174)</f>
        <v/>
      </c>
      <c r="I16" s="86">
        <f>E16+F16-G16-H16</f>
        <v/>
      </c>
      <c r="J16" s="86">
        <f>E174</f>
        <v/>
      </c>
      <c r="K16" s="87">
        <f>J16-I16</f>
        <v/>
      </c>
      <c r="L16" s="121">
        <f>+'MERMAS S1'!D17</f>
        <v/>
      </c>
      <c r="M16" s="301" t="n"/>
      <c r="N16" s="36">
        <f>IF(K16&lt;0,K16*L16,0)</f>
        <v/>
      </c>
      <c r="O16" s="4" t="n"/>
      <c r="P16" s="4" t="n"/>
      <c r="Q16" s="4" t="n"/>
    </row>
    <row r="17">
      <c r="B17" s="4" t="n"/>
      <c r="C17" s="9" t="n"/>
      <c r="D17" s="50" t="inlineStr">
        <is>
          <t>Langostinos</t>
        </is>
      </c>
      <c r="E17" s="244" t="n"/>
      <c r="F17" s="86">
        <f>H248</f>
        <v/>
      </c>
      <c r="G17" s="86">
        <f>IFERROR(SUMPRODUCT(($F$66:$F$153=D17)*$E$66:$E$153*$G$66:$G$153),"Error")</f>
        <v/>
      </c>
      <c r="H17" s="86">
        <f>SUM(F173:I173)</f>
        <v/>
      </c>
      <c r="I17" s="86">
        <f>E17+F17-G17-H17</f>
        <v/>
      </c>
      <c r="J17" s="86">
        <f>E173</f>
        <v/>
      </c>
      <c r="K17" s="87">
        <f>J17-I17</f>
        <v/>
      </c>
      <c r="L17" s="121">
        <f>+'MERMAS S1'!D18</f>
        <v/>
      </c>
      <c r="M17" s="301" t="n"/>
      <c r="N17" s="36">
        <f>IF(K17&lt;0,K17*L17,0)</f>
        <v/>
      </c>
      <c r="O17" s="4" t="n"/>
      <c r="P17" s="4" t="n"/>
      <c r="Q17" s="4" t="n"/>
    </row>
    <row r="18">
      <c r="B18" s="4" t="n"/>
      <c r="C18" s="9" t="n"/>
      <c r="D18" s="50" t="inlineStr">
        <is>
          <t>Lasagna de Berenjenas</t>
        </is>
      </c>
      <c r="E18" s="244" t="n"/>
      <c r="F18" s="86">
        <f>H257</f>
        <v/>
      </c>
      <c r="G18" s="86">
        <f>E120</f>
        <v/>
      </c>
      <c r="H18" s="86">
        <f>SUM(F175:I175)</f>
        <v/>
      </c>
      <c r="I18" s="86">
        <f>E18+F18-G18-H18</f>
        <v/>
      </c>
      <c r="J18" s="86">
        <f>E175</f>
        <v/>
      </c>
      <c r="K18" s="87">
        <f>J18-I18</f>
        <v/>
      </c>
      <c r="L18" s="121">
        <f>+'MERMAS S1'!D19</f>
        <v/>
      </c>
      <c r="M18" s="301" t="n"/>
      <c r="N18" s="36">
        <f>IF(K18&lt;0,K18*L18,0)</f>
        <v/>
      </c>
      <c r="O18" s="4" t="n"/>
      <c r="P18" s="4" t="n"/>
      <c r="Q18" s="4" t="n"/>
    </row>
    <row r="19">
      <c r="B19" s="4" t="n"/>
      <c r="C19" s="9" t="n"/>
      <c r="D19" s="50" t="inlineStr">
        <is>
          <t>Locos</t>
        </is>
      </c>
      <c r="E19" s="244" t="n"/>
      <c r="F19" s="86">
        <f>E249</f>
        <v/>
      </c>
      <c r="G19" s="86">
        <f>IFERROR(SUMPRODUCT(($F$66:$F$153=D19)*$E$66:$E$153*$G$66:$G$153),"Error")</f>
        <v/>
      </c>
      <c r="H19" s="86">
        <f>SUM(F177:I177)+J249</f>
        <v/>
      </c>
      <c r="I19" s="86">
        <f>E19+F19-G19-H19</f>
        <v/>
      </c>
      <c r="J19" s="86">
        <f>E177</f>
        <v/>
      </c>
      <c r="K19" s="87">
        <f>J19-I19</f>
        <v/>
      </c>
      <c r="L19" s="121">
        <f>+'MERMAS S1'!D20</f>
        <v/>
      </c>
      <c r="M19" s="301" t="n"/>
      <c r="N19" s="36">
        <f>IF(K19&lt;0,K19*L19,0)</f>
        <v/>
      </c>
      <c r="O19" s="4" t="n"/>
      <c r="P19" s="4" t="n"/>
      <c r="Q19" s="4" t="n"/>
    </row>
    <row r="20">
      <c r="B20" s="4" t="n"/>
      <c r="C20" s="9" t="n"/>
      <c r="D20" s="50" t="inlineStr">
        <is>
          <t>Lomo liso</t>
        </is>
      </c>
      <c r="E20" s="244" t="n"/>
      <c r="F20" s="86">
        <f>E233</f>
        <v/>
      </c>
      <c r="G20" s="86">
        <f>IFERROR(SUMPRODUCT(($F$66:$F$153=D20)*$E$66:$E$153*$G$66:$G$153),"Error")</f>
        <v/>
      </c>
      <c r="H20" s="86">
        <f>SUM(F176:I176)</f>
        <v/>
      </c>
      <c r="I20" s="86">
        <f>E20+F20-G20-H20</f>
        <v/>
      </c>
      <c r="J20" s="86">
        <f>E176</f>
        <v/>
      </c>
      <c r="K20" s="87">
        <f>J20-I20</f>
        <v/>
      </c>
      <c r="L20" s="121">
        <f>+'MERMAS S1'!D21</f>
        <v/>
      </c>
      <c r="M20" s="301" t="n"/>
      <c r="N20" s="36">
        <f>IF(K20&lt;0,K20*L20,0)</f>
        <v/>
      </c>
      <c r="O20" s="4" t="n"/>
      <c r="P20" s="4" t="n"/>
      <c r="Q20" s="4" t="n"/>
    </row>
    <row r="21">
      <c r="B21" s="4" t="n"/>
      <c r="C21" s="9" t="n"/>
      <c r="D21" s="50" t="inlineStr">
        <is>
          <t>Mejillones</t>
        </is>
      </c>
      <c r="E21" s="244" t="n"/>
      <c r="F21" s="86">
        <f>E253</f>
        <v/>
      </c>
      <c r="G21" s="86">
        <f>K253</f>
        <v/>
      </c>
      <c r="H21" s="86">
        <f>J253+SUM(F178:I178)</f>
        <v/>
      </c>
      <c r="I21" s="86">
        <f>E21+F21-G21-H21</f>
        <v/>
      </c>
      <c r="J21" s="86">
        <f>E178</f>
        <v/>
      </c>
      <c r="K21" s="87">
        <f>J21-I21</f>
        <v/>
      </c>
      <c r="L21" s="121">
        <f>+'MERMAS S1'!D22</f>
        <v/>
      </c>
      <c r="M21" s="301" t="n"/>
      <c r="N21" s="36">
        <f>IF(K21&lt;0,K21*L21,0)</f>
        <v/>
      </c>
      <c r="O21" s="4" t="n"/>
      <c r="P21" s="4" t="n"/>
      <c r="Q21" s="4" t="n"/>
    </row>
    <row r="22">
      <c r="B22" s="4" t="n"/>
      <c r="C22" s="9" t="n"/>
      <c r="D22" s="50" t="inlineStr">
        <is>
          <t>Merluza</t>
        </is>
      </c>
      <c r="E22" s="244" t="n"/>
      <c r="F22" s="86">
        <f>E250</f>
        <v/>
      </c>
      <c r="G22" s="86">
        <f>IFERROR(SUMPRODUCT(($F$66:$F$153=D22)*$E$66:$E$153*$G$66:$G$153),"Error")</f>
        <v/>
      </c>
      <c r="H22" s="86">
        <f>SUM(F179:I179)+J250</f>
        <v/>
      </c>
      <c r="I22" s="86">
        <f>E22+F22-G22-H22</f>
        <v/>
      </c>
      <c r="J22" s="86">
        <f>E179</f>
        <v/>
      </c>
      <c r="K22" s="87">
        <f>J22-I22</f>
        <v/>
      </c>
      <c r="L22" s="121">
        <f>+'MERMAS S1'!D23</f>
        <v/>
      </c>
      <c r="M22" s="301" t="n"/>
      <c r="N22" s="36">
        <f>IF(K22&lt;0,K22*L22,0)</f>
        <v/>
      </c>
      <c r="O22" s="4" t="n"/>
      <c r="P22" s="4" t="n"/>
      <c r="Q22" s="4" t="n"/>
    </row>
    <row r="23">
      <c r="B23" s="4" t="n"/>
      <c r="C23" s="30" t="n"/>
      <c r="D23" s="50" t="inlineStr">
        <is>
          <t>Plateada</t>
        </is>
      </c>
      <c r="E23" s="244" t="n"/>
      <c r="F23" s="86">
        <f>E234</f>
        <v/>
      </c>
      <c r="G23" s="86">
        <f>IFERROR(SUMPRODUCT(($F$66:$F$153=D23)*$E$66:$E$153*$G$66:$G$153),"Error")</f>
        <v/>
      </c>
      <c r="H23" s="86">
        <f>SUM(F181:I181)</f>
        <v/>
      </c>
      <c r="I23" s="86">
        <f>E23+F23-G23-H23</f>
        <v/>
      </c>
      <c r="J23" s="86">
        <f>E181</f>
        <v/>
      </c>
      <c r="K23" s="87">
        <f>J23-I23</f>
        <v/>
      </c>
      <c r="L23" s="121">
        <f>+'MERMAS S1'!D24</f>
        <v/>
      </c>
      <c r="M23" s="301" t="n"/>
      <c r="N23" s="36">
        <f>IF(K23&lt;0,K23*L23,0)</f>
        <v/>
      </c>
      <c r="O23" s="4" t="n"/>
      <c r="P23" s="4" t="n"/>
      <c r="Q23" s="4" t="n"/>
    </row>
    <row r="24">
      <c r="B24" s="4" t="n"/>
      <c r="C24" s="30" t="n"/>
      <c r="D24" s="50" t="inlineStr">
        <is>
          <t>Pulpo</t>
        </is>
      </c>
      <c r="E24" s="244" t="n"/>
      <c r="F24" s="86">
        <f>E235</f>
        <v/>
      </c>
      <c r="G24" s="86">
        <f>IFERROR(SUMPRODUCT(($F$66:$F$153=D24)*$E$66:$E$153*$G$66:$G$153),"Error")</f>
        <v/>
      </c>
      <c r="H24" s="86">
        <f>SUM(F182:I182)</f>
        <v/>
      </c>
      <c r="I24" s="86">
        <f>E24+F24-G24-H24</f>
        <v/>
      </c>
      <c r="J24" s="86">
        <f>E182</f>
        <v/>
      </c>
      <c r="K24" s="87">
        <f>J24-I24</f>
        <v/>
      </c>
      <c r="L24" s="121">
        <f>+'MERMAS S1'!D25</f>
        <v/>
      </c>
      <c r="M24" s="301" t="n"/>
      <c r="N24" s="36">
        <f>IF(K24&lt;0,K24*L24,0)</f>
        <v/>
      </c>
      <c r="O24" s="4" t="n"/>
      <c r="P24" s="4" t="n"/>
      <c r="Q24" s="4" t="n"/>
    </row>
    <row r="25">
      <c r="B25" s="4" t="n"/>
      <c r="C25" s="30" t="n"/>
      <c r="D25" s="50" t="inlineStr">
        <is>
          <t>Ragout Lasagna</t>
        </is>
      </c>
      <c r="E25" s="244" t="n"/>
      <c r="F25" s="86">
        <f>H255</f>
        <v/>
      </c>
      <c r="G25" s="86">
        <f>E257</f>
        <v/>
      </c>
      <c r="H25" s="86">
        <f>SUM(F183:I183)+J257</f>
        <v/>
      </c>
      <c r="I25" s="86">
        <f>E25+F25-G25-H25</f>
        <v/>
      </c>
      <c r="J25" s="86">
        <f>E183</f>
        <v/>
      </c>
      <c r="K25" s="87">
        <f>J25-I25</f>
        <v/>
      </c>
      <c r="L25" s="121">
        <f>+'MERMAS S1'!D26</f>
        <v/>
      </c>
      <c r="M25" s="301" t="n"/>
      <c r="N25" s="36">
        <f>IF(K25&lt;0,K25*L25,0)</f>
        <v/>
      </c>
      <c r="O25" s="4" t="n"/>
      <c r="P25" s="4" t="n"/>
      <c r="Q25" s="4" t="n"/>
    </row>
    <row r="26">
      <c r="B26" s="4" t="n"/>
      <c r="C26" s="30" t="n"/>
      <c r="D26" s="50" t="inlineStr">
        <is>
          <t>Ragout Rigatoni</t>
        </is>
      </c>
      <c r="E26" s="244" t="n"/>
      <c r="F26" s="86">
        <f>H256</f>
        <v/>
      </c>
      <c r="G26" s="86">
        <f>E133</f>
        <v/>
      </c>
      <c r="H26" s="86">
        <f>SUM(F184:I184)</f>
        <v/>
      </c>
      <c r="I26" s="86">
        <f>E26+F26-G26-H26</f>
        <v/>
      </c>
      <c r="J26" s="86">
        <f>E184</f>
        <v/>
      </c>
      <c r="K26" s="87">
        <f>J26-I26</f>
        <v/>
      </c>
      <c r="L26" s="121">
        <f>+'MERMAS S1'!D27</f>
        <v/>
      </c>
      <c r="M26" s="301" t="n"/>
      <c r="N26" s="36">
        <f>IF(K26&lt;0,K26*L26,0)</f>
        <v/>
      </c>
      <c r="O26" s="4" t="n"/>
      <c r="P26" s="4" t="n"/>
      <c r="Q26" s="4" t="n"/>
    </row>
    <row r="27">
      <c r="B27" s="4" t="n"/>
      <c r="C27" s="30" t="n"/>
      <c r="D27" s="50" t="inlineStr">
        <is>
          <t>Reineta</t>
        </is>
      </c>
      <c r="E27" s="244" t="n"/>
      <c r="F27" s="86">
        <f>E251</f>
        <v/>
      </c>
      <c r="G27" s="86">
        <f>IFERROR(SUMPRODUCT(($F$66:$F$153=D27)*$E$66:$E$153*$G$66:$G$153),"Error")</f>
        <v/>
      </c>
      <c r="H27" s="86">
        <f>SUM(F163:I163)+J251</f>
        <v/>
      </c>
      <c r="I27" s="86">
        <f>E27+F27-G27-H27</f>
        <v/>
      </c>
      <c r="J27" s="86">
        <f>E163</f>
        <v/>
      </c>
      <c r="K27" s="87">
        <f>J27-I27</f>
        <v/>
      </c>
      <c r="L27" s="121">
        <f>+'MERMAS S1'!D28</f>
        <v/>
      </c>
      <c r="M27" s="301" t="n"/>
      <c r="N27" s="36">
        <f>IF(K27&lt;0,K27*L27,0)</f>
        <v/>
      </c>
      <c r="O27" s="4" t="n"/>
      <c r="P27" s="4" t="n"/>
      <c r="Q27" s="4" t="n"/>
    </row>
    <row r="28">
      <c r="B28" s="4" t="n"/>
      <c r="C28" s="30" t="n"/>
      <c r="D28" s="50" t="inlineStr">
        <is>
          <t>Salmón ahumado en frío</t>
        </is>
      </c>
      <c r="E28" s="244" t="n"/>
      <c r="F28" s="86">
        <f>E258</f>
        <v/>
      </c>
      <c r="G28" s="86">
        <f>K258</f>
        <v/>
      </c>
      <c r="H28" s="86">
        <f>J258</f>
        <v/>
      </c>
      <c r="I28" s="86">
        <f>E28+F28-G28-H28</f>
        <v/>
      </c>
      <c r="J28" s="86">
        <f>E185</f>
        <v/>
      </c>
      <c r="K28" s="87">
        <f>J28-I28</f>
        <v/>
      </c>
      <c r="L28" s="121">
        <f>+'MERMAS S1'!D29</f>
        <v/>
      </c>
      <c r="M28" s="301" t="n"/>
      <c r="N28" s="36">
        <f>IF(K28&lt;0,K28*L28,0)</f>
        <v/>
      </c>
      <c r="O28" s="4" t="n"/>
      <c r="P28" s="4" t="n"/>
      <c r="Q28" s="4" t="n"/>
    </row>
    <row r="29">
      <c r="B29" s="4" t="n"/>
      <c r="C29" s="30" t="n"/>
      <c r="D29" s="50" t="inlineStr">
        <is>
          <t>Salmón ahumado en Caliente</t>
        </is>
      </c>
      <c r="E29" s="244" t="n"/>
      <c r="F29" s="86">
        <f>E237</f>
        <v/>
      </c>
      <c r="G29" s="86">
        <f>IFERROR(SUMPRODUCT(($F$66:$F$153=D29)*$E$66:$E$153*$G$66:$G$153),"Error")</f>
        <v/>
      </c>
      <c r="H29" s="86">
        <f>SUM(F186:I186)</f>
        <v/>
      </c>
      <c r="I29" s="86">
        <f>E29+F29-G29-H29</f>
        <v/>
      </c>
      <c r="J29" s="86">
        <f>E186</f>
        <v/>
      </c>
      <c r="K29" s="87">
        <f>J29-I29</f>
        <v/>
      </c>
      <c r="L29" s="121">
        <f>+'MERMAS S1'!D30</f>
        <v/>
      </c>
      <c r="M29" s="301" t="n"/>
      <c r="N29" s="36">
        <f>IF(K29&lt;0,K29*L29,0)</f>
        <v/>
      </c>
      <c r="O29" s="4" t="n"/>
      <c r="P29" s="4" t="n"/>
      <c r="Q29" s="4" t="n"/>
    </row>
    <row r="30">
      <c r="B30" s="4" t="n"/>
      <c r="C30" s="30" t="n"/>
      <c r="D30" s="50" t="inlineStr">
        <is>
          <t>Salmón cancato</t>
        </is>
      </c>
      <c r="E30" s="244" t="n"/>
      <c r="F30" s="86">
        <f>E238</f>
        <v/>
      </c>
      <c r="G30" s="86">
        <f>IFERROR(SUMPRODUCT(($F$66:$F$153=D30)*$E$66:$E$153*$G$66:$G$153),"Error")</f>
        <v/>
      </c>
      <c r="H30" s="86">
        <f>SUM(F187:I187)</f>
        <v/>
      </c>
      <c r="I30" s="86">
        <f>E30+F30-G30-H30</f>
        <v/>
      </c>
      <c r="J30" s="86">
        <f>E187</f>
        <v/>
      </c>
      <c r="K30" s="87">
        <f>J30-I30</f>
        <v/>
      </c>
      <c r="L30" s="121">
        <f>+'MERMAS S1'!D31</f>
        <v/>
      </c>
      <c r="M30" s="301" t="n"/>
      <c r="N30" s="36">
        <f>IF(K30&lt;0,K30*L30,0)</f>
        <v/>
      </c>
      <c r="O30" s="4" t="n"/>
      <c r="P30" s="4" t="n"/>
      <c r="Q30" s="4" t="n"/>
    </row>
    <row r="31" ht="13.5" customHeight="1" s="95" thickBot="1">
      <c r="B31" s="4" t="n"/>
      <c r="C31" s="30" t="n"/>
      <c r="D31" s="51" t="inlineStr">
        <is>
          <t>Salmón fresco premium</t>
        </is>
      </c>
      <c r="E31" s="245" t="n"/>
      <c r="F31" s="107">
        <f>E239</f>
        <v/>
      </c>
      <c r="G31" s="107">
        <f>IFERROR(SUMPRODUCT(($F$66:$F$153=D31)*$E$66:$E$153*$G$66:$G$153),"Error")</f>
        <v/>
      </c>
      <c r="H31" s="107">
        <f>SUM(F188:I188)</f>
        <v/>
      </c>
      <c r="I31" s="107">
        <f>E31+F31-G31-H31</f>
        <v/>
      </c>
      <c r="J31" s="107">
        <f>E188</f>
        <v/>
      </c>
      <c r="K31" s="108">
        <f>J31-I31</f>
        <v/>
      </c>
      <c r="L31" s="131">
        <f>+'MERMAS S1'!D32</f>
        <v/>
      </c>
      <c r="M31" s="303" t="n"/>
      <c r="N31" s="110">
        <f>IF(K31&lt;0,K31*L31,0)</f>
        <v/>
      </c>
      <c r="O31" s="4" t="n"/>
      <c r="P31" s="4" t="n"/>
      <c r="Q31" s="4" t="n"/>
    </row>
    <row r="32" ht="13.5" customHeight="1" s="95" thickBot="1">
      <c r="B32" s="5" t="n"/>
      <c r="C32" s="6" t="n"/>
      <c r="D32" s="7" t="n"/>
      <c r="E32" s="6" t="n"/>
      <c r="F32" s="6" t="n"/>
      <c r="G32" s="6" t="n"/>
      <c r="H32" s="6" t="n"/>
      <c r="I32" s="8" t="n"/>
      <c r="J32" s="8" t="n"/>
      <c r="K32" s="8" t="n"/>
      <c r="L32" s="9" t="n"/>
      <c r="M32" s="4" t="n"/>
      <c r="N32" s="4" t="n"/>
      <c r="O32" s="4" t="n"/>
      <c r="P32" s="4" t="n"/>
      <c r="Q32" s="4" t="n"/>
    </row>
    <row r="33" ht="13.5" customHeight="1" s="95" thickBot="1">
      <c r="B33" s="5" t="n"/>
      <c r="C33" s="6" t="n"/>
      <c r="D33" s="7" t="n"/>
      <c r="E33" s="6" t="n"/>
      <c r="F33" s="6" t="n"/>
      <c r="G33" s="6" t="n"/>
      <c r="H33" s="10" t="n"/>
      <c r="I33" s="304" t="inlineStr">
        <is>
          <t>DIFERENCIAS PROMEDIO</t>
        </is>
      </c>
      <c r="J33" s="305" t="n"/>
      <c r="K33" s="11">
        <f>SUM(K7:K31)</f>
        <v/>
      </c>
      <c r="L33" s="4" t="n"/>
      <c r="M33" s="12" t="inlineStr">
        <is>
          <t>DCTO. TOTAL</t>
        </is>
      </c>
      <c r="N33" s="13">
        <f>SUM(N7:N31)</f>
        <v/>
      </c>
      <c r="O33" s="4" t="n"/>
      <c r="P33" s="4" t="n"/>
      <c r="Q33" s="4" t="n"/>
    </row>
    <row r="34" ht="13.5" customHeight="1" s="95" thickBot="1">
      <c r="B34" s="5" t="n"/>
      <c r="C34" s="6" t="n"/>
      <c r="D34" s="5" t="n"/>
      <c r="E34" s="6" t="n"/>
      <c r="F34" s="6" t="n"/>
      <c r="G34" s="6" t="n"/>
      <c r="H34" s="6" t="n"/>
      <c r="I34" s="14" t="n"/>
      <c r="J34" s="14" t="n"/>
      <c r="K34" s="14" t="n"/>
      <c r="L34" s="4" t="n"/>
      <c r="M34" s="4" t="n"/>
      <c r="N34" s="4" t="n"/>
      <c r="O34" s="4" t="n"/>
      <c r="P34" s="4" t="n"/>
      <c r="Q34" s="4" t="n"/>
    </row>
    <row r="35" ht="13.5" customHeight="1" s="95" thickBot="1">
      <c r="B35" s="4" t="n"/>
      <c r="C35" s="6" t="n"/>
      <c r="D35" s="37" t="n"/>
      <c r="E35" s="128" t="n"/>
      <c r="F35" s="128" t="inlineStr">
        <is>
          <t>+</t>
        </is>
      </c>
      <c r="G35" s="128" t="inlineStr">
        <is>
          <t>(-)</t>
        </is>
      </c>
      <c r="H35" s="128" t="inlineStr">
        <is>
          <t>(-)</t>
        </is>
      </c>
      <c r="I35" s="128" t="inlineStr">
        <is>
          <t>=</t>
        </is>
      </c>
      <c r="J35" s="128" t="inlineStr">
        <is>
          <t>=</t>
        </is>
      </c>
      <c r="K35" s="128" t="inlineStr">
        <is>
          <t>=</t>
        </is>
      </c>
      <c r="L35" s="296" t="inlineStr">
        <is>
          <t>$</t>
        </is>
      </c>
      <c r="M35" s="297" t="n"/>
      <c r="N35" s="34" t="inlineStr">
        <is>
          <t>$</t>
        </is>
      </c>
      <c r="O35" s="4" t="n"/>
      <c r="P35" s="4" t="n"/>
      <c r="Q35" s="4" t="n"/>
    </row>
    <row r="36" ht="13.5" customHeight="1" s="95" thickBot="1">
      <c r="B36" s="4" t="n"/>
      <c r="C36" s="33" t="n"/>
      <c r="D36" s="162" t="inlineStr">
        <is>
          <t>PRODUCTOS</t>
        </is>
      </c>
      <c r="E36" s="164" t="n"/>
      <c r="F36" s="164" t="inlineStr">
        <is>
          <t>Entregas</t>
        </is>
      </c>
      <c r="G36" s="164" t="inlineStr">
        <is>
          <t>Ventas</t>
        </is>
      </c>
      <c r="H36" s="164" t="inlineStr">
        <is>
          <t>Mermas</t>
        </is>
      </c>
      <c r="I36" s="164" t="inlineStr">
        <is>
          <t>Stock Real</t>
        </is>
      </c>
      <c r="J36" s="164" t="inlineStr">
        <is>
          <t>Stock Informado</t>
        </is>
      </c>
      <c r="K36" s="164" t="inlineStr">
        <is>
          <t>Diferencias</t>
        </is>
      </c>
      <c r="L36" s="164" t="inlineStr">
        <is>
          <t>Precio</t>
        </is>
      </c>
      <c r="M36" s="306" t="n"/>
      <c r="N36" s="165" t="inlineStr">
        <is>
          <t>Descuento</t>
        </is>
      </c>
      <c r="O36" s="4" t="n"/>
      <c r="P36" s="4" t="n"/>
      <c r="Q36" s="4" t="n"/>
    </row>
    <row r="37">
      <c r="B37" s="4" t="n"/>
      <c r="C37" s="30" t="n"/>
      <c r="D37" s="113" t="inlineStr">
        <is>
          <t>Brownie Nutella</t>
        </is>
      </c>
      <c r="E37" s="244" t="n"/>
      <c r="F37" s="86">
        <f>E264</f>
        <v/>
      </c>
      <c r="G37" s="86">
        <f>IFERROR(SUMPRODUCT(($F$66:$F$153=D37)*$E$66:$E$153*$G$66:$G$153),"Error")</f>
        <v/>
      </c>
      <c r="H37" s="86">
        <f>SUM(F194:I194)</f>
        <v/>
      </c>
      <c r="I37" s="86">
        <f>E37+F37-G37-H37</f>
        <v/>
      </c>
      <c r="J37" s="204">
        <f>E194</f>
        <v/>
      </c>
      <c r="K37" s="114">
        <f>J37-I37</f>
        <v/>
      </c>
      <c r="L37" s="125">
        <f>+'MERMAS S1'!D33</f>
        <v/>
      </c>
      <c r="M37" s="307" t="n"/>
      <c r="N37" s="115">
        <f>IF(K37&lt;0,K37*L37,0)</f>
        <v/>
      </c>
      <c r="O37" s="4" t="n"/>
      <c r="P37" s="4" t="n"/>
      <c r="Q37" s="4" t="n"/>
    </row>
    <row r="38">
      <c r="B38" s="4" t="n"/>
      <c r="C38" s="30" t="n"/>
      <c r="D38" s="69" t="inlineStr">
        <is>
          <t>Brownie Vegano</t>
        </is>
      </c>
      <c r="E38" s="244" t="n"/>
      <c r="F38" s="77">
        <f>E265</f>
        <v/>
      </c>
      <c r="G38" s="77">
        <f>IFERROR(SUMPRODUCT(($F$66:$F$153=D38)*$E$66:$E$153*$G$66:$G$153),"Error")</f>
        <v/>
      </c>
      <c r="H38" s="77">
        <f>SUM(F195:I195)</f>
        <v/>
      </c>
      <c r="I38" s="77">
        <f>E38+F38-G38-H38</f>
        <v/>
      </c>
      <c r="J38" s="205">
        <f>E195</f>
        <v/>
      </c>
      <c r="K38" s="88">
        <f>J38-I38</f>
        <v/>
      </c>
      <c r="L38" s="121">
        <f>+'MERMAS S1'!D34</f>
        <v/>
      </c>
      <c r="M38" s="301" t="n"/>
      <c r="N38" s="36">
        <f>IF(K38&lt;0,K38*L38,0)</f>
        <v/>
      </c>
      <c r="O38" s="4" t="n"/>
      <c r="P38" s="4" t="n"/>
      <c r="Q38" s="4" t="n"/>
    </row>
    <row r="39">
      <c r="B39" s="4" t="n"/>
      <c r="C39" s="9" t="n"/>
      <c r="D39" s="69" t="inlineStr">
        <is>
          <t>Cheesecake de Berries</t>
        </is>
      </c>
      <c r="E39" s="244" t="n"/>
      <c r="F39" s="77">
        <f>E262</f>
        <v/>
      </c>
      <c r="G39" s="77">
        <f>IFERROR(SUMPRODUCT(($F$66:$F$153="Cheesecake Berries")*$E$66:$E$153*$G$66:$G$153),"Error")</f>
        <v/>
      </c>
      <c r="H39" s="77">
        <f>SUM(F196:I196)</f>
        <v/>
      </c>
      <c r="I39" s="77">
        <f>E39+F39-G39-H39</f>
        <v/>
      </c>
      <c r="J39" s="205">
        <f>E196</f>
        <v/>
      </c>
      <c r="K39" s="88">
        <f>J39-I39</f>
        <v/>
      </c>
      <c r="L39" s="121">
        <f>+'MERMAS S1'!D35</f>
        <v/>
      </c>
      <c r="M39" s="301" t="n"/>
      <c r="N39" s="36">
        <f>IF(K39&lt;0,K39*L39,0)</f>
        <v/>
      </c>
      <c r="O39" s="4" t="n"/>
      <c r="P39" s="4" t="n"/>
      <c r="Q39" s="4" t="n"/>
    </row>
    <row r="40">
      <c r="B40" s="4" t="n"/>
      <c r="C40" s="30" t="n"/>
      <c r="D40" s="50" t="inlineStr">
        <is>
          <t>Cheesecake de Limón</t>
        </is>
      </c>
      <c r="E40" s="244" t="n"/>
      <c r="F40" s="77">
        <f>E263</f>
        <v/>
      </c>
      <c r="G40" s="77">
        <f>IFERROR(SUMPRODUCT(($F$66:$F$153=D40)*$E$66:$E$153*$G$66:$G$153),"Error")</f>
        <v/>
      </c>
      <c r="H40" s="77">
        <f>SUM(F197:H197)</f>
        <v/>
      </c>
      <c r="I40" s="77">
        <f>E40+F40-G40-H40</f>
        <v/>
      </c>
      <c r="J40" s="205">
        <f>E197</f>
        <v/>
      </c>
      <c r="K40" s="88">
        <f>J40-I40</f>
        <v/>
      </c>
      <c r="L40" s="121">
        <f>+'MERMAS S1'!D36</f>
        <v/>
      </c>
      <c r="M40" s="301" t="n"/>
      <c r="N40" s="36">
        <f>IF(K40&lt;0,K40*L40,0)</f>
        <v/>
      </c>
      <c r="O40" s="4" t="n"/>
      <c r="P40" s="4" t="n"/>
      <c r="Q40" s="4" t="n"/>
    </row>
    <row r="41">
      <c r="B41" s="4" t="n"/>
      <c r="C41" s="30" t="n"/>
      <c r="D41" s="50" t="inlineStr">
        <is>
          <t>Chocolate Blanco</t>
        </is>
      </c>
      <c r="E41" s="244" t="n"/>
      <c r="F41" s="77">
        <f>H262</f>
        <v/>
      </c>
      <c r="G41" s="77">
        <f>J262</f>
        <v/>
      </c>
      <c r="H41" s="77">
        <f>SUM(F198:I198)</f>
        <v/>
      </c>
      <c r="I41" s="77">
        <f>E41+F41-G41-H41</f>
        <v/>
      </c>
      <c r="J41" s="205">
        <f>E198</f>
        <v/>
      </c>
      <c r="K41" s="88">
        <f>J41-I41</f>
        <v/>
      </c>
      <c r="L41" s="121">
        <f>+'MERMAS S1'!D37</f>
        <v/>
      </c>
      <c r="M41" s="301" t="n"/>
      <c r="N41" s="36">
        <f>IF(K41&lt;0,K41*L41,0)</f>
        <v/>
      </c>
      <c r="O41" s="4" t="n"/>
      <c r="P41" s="4" t="n"/>
      <c r="Q41" s="4" t="n"/>
    </row>
    <row r="42">
      <c r="B42" s="4" t="n"/>
      <c r="C42" s="30" t="n"/>
      <c r="D42" s="50" t="inlineStr">
        <is>
          <t>Chocolate Leche</t>
        </is>
      </c>
      <c r="E42" s="244" t="n"/>
      <c r="F42" s="77">
        <f>H263</f>
        <v/>
      </c>
      <c r="G42" s="77">
        <f>J263</f>
        <v/>
      </c>
      <c r="H42" s="77">
        <f>SUM(F199:I199)</f>
        <v/>
      </c>
      <c r="I42" s="77">
        <f>E42+F42-G42-H42</f>
        <v/>
      </c>
      <c r="J42" s="205">
        <f>E199</f>
        <v/>
      </c>
      <c r="K42" s="88">
        <f>J42-I42</f>
        <v/>
      </c>
      <c r="L42" s="121">
        <f>+'MERMAS S1'!D38</f>
        <v/>
      </c>
      <c r="M42" s="301" t="n"/>
      <c r="N42" s="36">
        <f>IF(K42&lt;0,K42*L42,0)</f>
        <v/>
      </c>
      <c r="O42" s="4" t="n"/>
      <c r="P42" s="4" t="n"/>
      <c r="Q42" s="4" t="n"/>
    </row>
    <row r="43">
      <c r="B43" s="4" t="n"/>
      <c r="C43" s="30" t="n"/>
      <c r="D43" s="50" t="inlineStr">
        <is>
          <t>Chocolate Negro</t>
        </is>
      </c>
      <c r="E43" s="244" t="n"/>
      <c r="F43" s="77">
        <f>H264</f>
        <v/>
      </c>
      <c r="G43" s="77">
        <f>J264</f>
        <v/>
      </c>
      <c r="H43" s="77">
        <f>SUM(F200:I200)</f>
        <v/>
      </c>
      <c r="I43" s="77">
        <f>E43+F43-G43-H43</f>
        <v/>
      </c>
      <c r="J43" s="205">
        <f>E200</f>
        <v/>
      </c>
      <c r="K43" s="88">
        <f>J43-I43</f>
        <v/>
      </c>
      <c r="L43" s="121">
        <f>+'MERMAS S1'!D39</f>
        <v/>
      </c>
      <c r="M43" s="301" t="n"/>
      <c r="N43" s="36">
        <f>IF(K43&lt;0,K43*L43,0)</f>
        <v/>
      </c>
      <c r="O43" s="4" t="n"/>
      <c r="P43" s="4" t="n"/>
      <c r="Q43" s="4" t="n"/>
    </row>
    <row r="44">
      <c r="B44" s="4" t="n"/>
      <c r="C44" s="30" t="n"/>
      <c r="D44" s="50" t="inlineStr">
        <is>
          <t>Chocolate Neucober Cobertura</t>
        </is>
      </c>
      <c r="E44" s="244" t="n"/>
      <c r="F44" s="77">
        <f>H265</f>
        <v/>
      </c>
      <c r="G44" s="77">
        <f>J265</f>
        <v/>
      </c>
      <c r="H44" s="77">
        <f>SUM(F201:I201)</f>
        <v/>
      </c>
      <c r="I44" s="77">
        <f>E44+F44-G44-H44</f>
        <v/>
      </c>
      <c r="J44" s="205">
        <f>E201</f>
        <v/>
      </c>
      <c r="K44" s="88">
        <f>J44-I44</f>
        <v/>
      </c>
      <c r="L44" s="121">
        <f>+'MERMAS S1'!D40</f>
        <v/>
      </c>
      <c r="M44" s="301" t="n"/>
      <c r="N44" s="36">
        <f>IF(K44&lt;0,K44*L44,0)</f>
        <v/>
      </c>
      <c r="O44" s="4" t="n"/>
      <c r="P44" s="4" t="n"/>
      <c r="Q44" s="4" t="n"/>
    </row>
    <row r="45">
      <c r="B45" s="4" t="n"/>
      <c r="C45" s="30" t="n"/>
      <c r="D45" s="50" t="inlineStr">
        <is>
          <t>Chocolate Sicao Cobertura</t>
        </is>
      </c>
      <c r="E45" s="244" t="n"/>
      <c r="F45" s="77">
        <f>H266</f>
        <v/>
      </c>
      <c r="G45" s="77">
        <f>J266</f>
        <v/>
      </c>
      <c r="H45" s="77">
        <f>SUM(F202:I202)</f>
        <v/>
      </c>
      <c r="I45" s="77">
        <f>E45+F45-G45-H45</f>
        <v/>
      </c>
      <c r="J45" s="205">
        <f>E202</f>
        <v/>
      </c>
      <c r="K45" s="88">
        <f>J45-I45</f>
        <v/>
      </c>
      <c r="L45" s="121">
        <f>+'MERMAS S1'!D41</f>
        <v/>
      </c>
      <c r="M45" s="301" t="n"/>
      <c r="N45" s="36">
        <f>IF(K45&lt;0,K45*L45,0)</f>
        <v/>
      </c>
      <c r="O45" s="4" t="n"/>
      <c r="P45" s="4" t="n"/>
      <c r="Q45" s="4" t="n"/>
    </row>
    <row r="46">
      <c r="B46" s="4" t="n"/>
      <c r="C46" s="30" t="n"/>
      <c r="D46" s="50" t="inlineStr">
        <is>
          <t>Discos de Chocolate</t>
        </is>
      </c>
      <c r="E46" s="244" t="n"/>
      <c r="F46" s="77">
        <f>E268</f>
        <v/>
      </c>
      <c r="G46" s="77">
        <f>E91</f>
        <v/>
      </c>
      <c r="H46" s="77">
        <f>SUM(F203:I203)</f>
        <v/>
      </c>
      <c r="I46" s="77">
        <f>E46+F46-G46-H46</f>
        <v/>
      </c>
      <c r="J46" s="205">
        <f>E203</f>
        <v/>
      </c>
      <c r="K46" s="88">
        <f>J46-I46</f>
        <v/>
      </c>
      <c r="L46" s="121">
        <f>+'MERMAS S1'!D42</f>
        <v/>
      </c>
      <c r="M46" s="301" t="n"/>
      <c r="N46" s="36">
        <f>IF(K46&lt;0,K46*L46,0)</f>
        <v/>
      </c>
      <c r="O46" s="4" t="n"/>
      <c r="P46" s="4" t="n"/>
      <c r="Q46" s="4" t="n"/>
    </row>
    <row r="47">
      <c r="B47" s="4" t="n"/>
      <c r="C47" s="30" t="n"/>
      <c r="D47" s="50" t="inlineStr">
        <is>
          <t>Empanada Mechada</t>
        </is>
      </c>
      <c r="E47" s="244" t="n"/>
      <c r="F47" s="77">
        <f>E225</f>
        <v/>
      </c>
      <c r="G47" s="77">
        <f>IFERROR(SUMPRODUCT(($F$66:$F$153=D47)*$E$66:$E$153*$G$66:$G$153),"Error")</f>
        <v/>
      </c>
      <c r="H47" s="77">
        <f>(SUM(F204:I204)*4)+SUM(F205:I205)</f>
        <v/>
      </c>
      <c r="I47" s="77">
        <f>E47+F47-G47-H47</f>
        <v/>
      </c>
      <c r="J47" s="205">
        <f>(E204*4)+E205</f>
        <v/>
      </c>
      <c r="K47" s="88">
        <f>J47-I47</f>
        <v/>
      </c>
      <c r="L47" s="121">
        <f>+'MERMAS S1'!D43</f>
        <v/>
      </c>
      <c r="M47" s="301" t="n"/>
      <c r="N47" s="36">
        <f>IF(K47&lt;0,K47*L47,0)</f>
        <v/>
      </c>
      <c r="O47" s="4" t="n"/>
      <c r="P47" s="4" t="n"/>
      <c r="Q47" s="4" t="n"/>
    </row>
    <row r="48">
      <c r="B48" s="4" t="n"/>
      <c r="C48" s="30" t="n"/>
      <c r="D48" s="50" t="inlineStr">
        <is>
          <t>Empanada Pulpo</t>
        </is>
      </c>
      <c r="E48" s="244" t="n"/>
      <c r="F48" s="77">
        <f>H247</f>
        <v/>
      </c>
      <c r="G48" s="77">
        <f>IFERROR(SUMPRODUCT(($F$66:$F$153=D48)*$E$66:$E$153*$G$66:$G$153),"Error")</f>
        <v/>
      </c>
      <c r="H48" s="77">
        <f>(SUM(F206:I206)*4)+SUM(F207:I207)</f>
        <v/>
      </c>
      <c r="I48" s="77">
        <f>E48+F48-G48-H48</f>
        <v/>
      </c>
      <c r="J48" s="205">
        <f>(E206*4)+E207</f>
        <v/>
      </c>
      <c r="K48" s="88">
        <f>J48-I48</f>
        <v/>
      </c>
      <c r="L48" s="121">
        <f>+'MERMAS S1'!D44</f>
        <v/>
      </c>
      <c r="M48" s="301" t="n"/>
      <c r="N48" s="36">
        <f>IF(K48&lt;0,K48*L48,0)</f>
        <v/>
      </c>
      <c r="O48" s="4" t="n"/>
      <c r="P48" s="4" t="n"/>
      <c r="Q48" s="4" t="n"/>
    </row>
    <row r="49">
      <c r="B49" s="4" t="n"/>
      <c r="C49" s="30" t="n"/>
      <c r="D49" s="50" t="inlineStr">
        <is>
          <t>Flan de Caluga</t>
        </is>
      </c>
      <c r="E49" s="244" t="n"/>
      <c r="F49" s="77">
        <f>E266</f>
        <v/>
      </c>
      <c r="G49" s="77">
        <f>IFERROR(SUMPRODUCT(($F$66:$F$153=D49)*$E$66:$E$153*$G$66:$G$153),"Error")</f>
        <v/>
      </c>
      <c r="H49" s="77">
        <f>SUM(F208:I208)</f>
        <v/>
      </c>
      <c r="I49" s="77">
        <f>E49+F49-G49-H49</f>
        <v/>
      </c>
      <c r="J49" s="205">
        <f>E208</f>
        <v/>
      </c>
      <c r="K49" s="88">
        <f>J49-I49</f>
        <v/>
      </c>
      <c r="L49" s="121">
        <f>+'MERMAS S1'!D45</f>
        <v/>
      </c>
      <c r="M49" s="301" t="n"/>
      <c r="N49" s="36">
        <f>IF(K49&lt;0,K49*L49,0)</f>
        <v/>
      </c>
      <c r="O49" s="4" t="n"/>
      <c r="P49" s="4" t="n"/>
      <c r="Q49" s="4" t="n"/>
    </row>
    <row r="50">
      <c r="B50" s="4" t="n"/>
      <c r="C50" s="30" t="n"/>
      <c r="D50" s="69" t="inlineStr">
        <is>
          <t>Granola salada</t>
        </is>
      </c>
      <c r="E50" s="244" t="n"/>
      <c r="F50" s="77">
        <f>IF(
SUMPRODUCT(--ISNUMBER(SEARCH(D50,$D$221:$D$242)))
+
SUMPRODUCT(--ISNUMBER(SEARCH(D50,$D$262:$D$267)))=0,
"Error",
SUMPRODUCT((ISNUMBER(SEARCH(D50,$D$221:$D$242)))*$E$221:$E$242)
+
SUMPRODUCT((ISNUMBER(SEARCH(D50,$D$262:$D$267)))*$E$262:$E$267)
)</f>
        <v/>
      </c>
      <c r="G50" s="77">
        <f>IFERROR(SUMPRODUCT(($F$66:$F$153=D50)*$E$66:$E$153*$G$66:$G$153),"Error")</f>
        <v/>
      </c>
      <c r="H50" s="77">
        <f>SUM(F209:I209)</f>
        <v/>
      </c>
      <c r="I50" s="77">
        <f>E50+F50-G50-H50</f>
        <v/>
      </c>
      <c r="J50" s="205">
        <f>E209</f>
        <v/>
      </c>
      <c r="K50" s="88">
        <f>J50-I50</f>
        <v/>
      </c>
      <c r="L50" s="121">
        <f>+'MERMAS S1'!D46</f>
        <v/>
      </c>
      <c r="M50" s="301" t="n"/>
      <c r="N50" s="36">
        <f>IF(K50&lt;0,K50*L50,0)</f>
        <v/>
      </c>
      <c r="O50" s="4" t="n"/>
      <c r="P50" s="4" t="n"/>
      <c r="Q50" s="4" t="n"/>
    </row>
    <row r="51">
      <c r="B51" s="4" t="n"/>
      <c r="C51" s="30" t="n"/>
      <c r="D51" s="69" t="inlineStr">
        <is>
          <t>Mix Conchas</t>
        </is>
      </c>
      <c r="E51" s="244" t="n"/>
      <c r="F51" s="77">
        <f>H253</f>
        <v/>
      </c>
      <c r="G51" s="77">
        <f>IFERROR(SUMPRODUCT(($F$66:$F$153=D51)*$E$66:$E$153*$G$66:$G$153),"Error")</f>
        <v/>
      </c>
      <c r="H51" s="77">
        <f>SUM(F210:I210)</f>
        <v/>
      </c>
      <c r="I51" s="77">
        <f>E51+F51-G51-H51</f>
        <v/>
      </c>
      <c r="J51" s="205">
        <f>E210</f>
        <v/>
      </c>
      <c r="K51" s="88">
        <f>J51-I51</f>
        <v/>
      </c>
      <c r="L51" s="121">
        <f>+'MERMAS S1'!D47</f>
        <v/>
      </c>
      <c r="M51" s="301" t="n"/>
      <c r="N51" s="36">
        <f>IF(K51&lt;0,K51*L51,0)</f>
        <v/>
      </c>
      <c r="O51" s="4" t="n"/>
      <c r="P51" s="4" t="n"/>
      <c r="Q51" s="4" t="n"/>
    </row>
    <row r="52">
      <c r="B52" s="4" t="n"/>
      <c r="C52" s="30" t="n"/>
      <c r="D52" s="69" t="inlineStr">
        <is>
          <t>Nutella</t>
        </is>
      </c>
      <c r="E52" s="244" t="n"/>
      <c r="F52" s="77">
        <f>H267</f>
        <v/>
      </c>
      <c r="G52" s="77">
        <f>J267</f>
        <v/>
      </c>
      <c r="H52" s="77">
        <f>SUM(F211:I211)</f>
        <v/>
      </c>
      <c r="I52" s="77">
        <f>E52+F52-G52-H52</f>
        <v/>
      </c>
      <c r="J52" s="205">
        <f>E211</f>
        <v/>
      </c>
      <c r="K52" s="88">
        <f>J52-I52</f>
        <v/>
      </c>
      <c r="L52" s="121">
        <f>+'MERMAS S1'!D48</f>
        <v/>
      </c>
      <c r="M52" s="301" t="n"/>
      <c r="N52" s="36">
        <f>IF(K52&lt;0,K52*L52,0)</f>
        <v/>
      </c>
      <c r="O52" s="4" t="n"/>
      <c r="P52" s="4" t="n"/>
      <c r="Q52" s="4" t="n"/>
    </row>
    <row r="53">
      <c r="B53" s="4" t="n"/>
      <c r="C53" s="30" t="n"/>
      <c r="D53" s="50" t="inlineStr">
        <is>
          <t>Queso Mozzarella</t>
        </is>
      </c>
      <c r="E53" s="244" t="n"/>
      <c r="F53" s="77">
        <f>E236</f>
        <v/>
      </c>
      <c r="G53" s="77">
        <f>IFERROR(SUMPRODUCT(($F$66:$F$153=D53)*$E$66:$E$153*$G$66:$G$153),"Error")</f>
        <v/>
      </c>
      <c r="H53" s="77">
        <f>SUM(F212:I212)</f>
        <v/>
      </c>
      <c r="I53" s="77">
        <f>E53+F53-G53-H53</f>
        <v/>
      </c>
      <c r="J53" s="205">
        <f>E212</f>
        <v/>
      </c>
      <c r="K53" s="88">
        <f>J53-I53</f>
        <v/>
      </c>
      <c r="L53" s="121">
        <f>+'MERMAS S1'!D49</f>
        <v/>
      </c>
      <c r="M53" s="301" t="n"/>
      <c r="N53" s="36">
        <f>IF(K53&lt;0,K53*L53,0)</f>
        <v/>
      </c>
      <c r="O53" s="4" t="n"/>
      <c r="P53" s="4" t="n"/>
      <c r="Q53" s="4" t="n"/>
    </row>
    <row r="54">
      <c r="B54" s="4" t="n"/>
      <c r="C54" s="30" t="n"/>
      <c r="D54" s="50" t="inlineStr">
        <is>
          <t>Sorrentinos carne mechada</t>
        </is>
      </c>
      <c r="E54" s="244" t="n"/>
      <c r="F54" s="77">
        <f>E240</f>
        <v/>
      </c>
      <c r="G54" s="77">
        <f>IFERROR(SUMPRODUCT(($F$66:$F$153=D54)*$E$66:$E$153*$G$66:$G$153),"Error")</f>
        <v/>
      </c>
      <c r="H54" s="77">
        <f>SUM(F213:I213)</f>
        <v/>
      </c>
      <c r="I54" s="77">
        <f>E54+F54-G54-H54</f>
        <v/>
      </c>
      <c r="J54" s="205">
        <f>E213</f>
        <v/>
      </c>
      <c r="K54" s="88">
        <f>J54-I54</f>
        <v/>
      </c>
      <c r="L54" s="121">
        <f>+'MERMAS S1'!D50</f>
        <v/>
      </c>
      <c r="M54" s="301" t="n"/>
      <c r="N54" s="36">
        <f>IF(K54&lt;0,K54*L54,0)</f>
        <v/>
      </c>
      <c r="O54" s="4" t="n"/>
      <c r="P54" s="4" t="n"/>
      <c r="Q54" s="4" t="n"/>
    </row>
    <row r="55">
      <c r="B55" s="4" t="n"/>
      <c r="C55" s="30" t="n"/>
      <c r="D55" s="50" t="inlineStr">
        <is>
          <t>Sorrentinos pulpo y salmón</t>
        </is>
      </c>
      <c r="E55" s="244" t="n"/>
      <c r="F55" s="77">
        <f>E241</f>
        <v/>
      </c>
      <c r="G55" s="77">
        <f>IFERROR(SUMPRODUCT(($F$66:$F$153=D55)*$E$66:$E$153*$G$66:$G$153),"Error")</f>
        <v/>
      </c>
      <c r="H55" s="77">
        <f>SUM(F214:I214)</f>
        <v/>
      </c>
      <c r="I55" s="77">
        <f>E55+F55-G55-H55</f>
        <v/>
      </c>
      <c r="J55" s="205">
        <f>E214</f>
        <v/>
      </c>
      <c r="K55" s="88">
        <f>J55-I55</f>
        <v/>
      </c>
      <c r="L55" s="121">
        <f>+'MERMAS S1'!D51</f>
        <v/>
      </c>
      <c r="M55" s="301" t="n"/>
      <c r="N55" s="36">
        <f>IF(K55&lt;0,K55*L55,0)</f>
        <v/>
      </c>
      <c r="O55" s="4" t="n"/>
      <c r="P55" s="4" t="n"/>
      <c r="Q55" s="4" t="n"/>
    </row>
    <row r="56">
      <c r="B56" s="4" t="n"/>
      <c r="C56" s="30" t="n"/>
      <c r="D56" s="50" t="inlineStr">
        <is>
          <t>Sorrentinos zapallo</t>
        </is>
      </c>
      <c r="E56" s="244" t="n"/>
      <c r="F56" s="77">
        <f>E242</f>
        <v/>
      </c>
      <c r="G56" s="77">
        <f>IFERROR(SUMPRODUCT(($F$66:$F$153=D56)*$E$66:$E$153*$G$66:$G$153),"Error")</f>
        <v/>
      </c>
      <c r="H56" s="77">
        <f>SUM(F215:I215)</f>
        <v/>
      </c>
      <c r="I56" s="77">
        <f>E56+F56-G56-H56</f>
        <v/>
      </c>
      <c r="J56" s="205">
        <f>E215</f>
        <v/>
      </c>
      <c r="K56" s="88">
        <f>J56-I56</f>
        <v/>
      </c>
      <c r="L56" s="121">
        <f>+'MERMAS S1'!D52</f>
        <v/>
      </c>
      <c r="M56" s="301" t="n"/>
      <c r="N56" s="36">
        <f>IF(K56&lt;0,K56*L56,0)</f>
        <v/>
      </c>
      <c r="O56" s="4" t="n"/>
      <c r="P56" s="4" t="n"/>
      <c r="Q56" s="4" t="n"/>
    </row>
    <row r="57" ht="13.5" customHeight="1" s="95" thickBot="1">
      <c r="B57" s="4" t="n"/>
      <c r="C57" s="30" t="n"/>
      <c r="D57" s="89" t="inlineStr">
        <is>
          <t>Volcán de Chocolate</t>
        </is>
      </c>
      <c r="E57" s="245" t="n"/>
      <c r="F57" s="166">
        <f>E267</f>
        <v/>
      </c>
      <c r="G57" s="166">
        <f>IFERROR(SUMPRODUCT(($F$66:$F$153=D57)*$E$66:$E$153*$G$66:$G$153),"Error")</f>
        <v/>
      </c>
      <c r="H57" s="166">
        <f>SUM(F216:I216)</f>
        <v/>
      </c>
      <c r="I57" s="166">
        <f>E57+F57-G57-H57</f>
        <v/>
      </c>
      <c r="J57" s="206">
        <f>E216</f>
        <v/>
      </c>
      <c r="K57" s="167">
        <f>J57-I57</f>
        <v/>
      </c>
      <c r="L57" s="131">
        <f>+'MERMAS S1'!D53</f>
        <v/>
      </c>
      <c r="M57" s="303" t="n"/>
      <c r="N57" s="110">
        <f>IF(K57&lt;0,K57*L57,0)</f>
        <v/>
      </c>
      <c r="O57" s="4" t="n"/>
      <c r="P57" s="4" t="n"/>
      <c r="Q57" s="4" t="n"/>
    </row>
    <row r="58" ht="13.5" customHeight="1" s="95" thickBot="1">
      <c r="B58" s="4" t="n"/>
      <c r="C58" s="4" t="n"/>
      <c r="D58" s="16" t="n"/>
      <c r="E58" s="9" t="n"/>
      <c r="F58" s="9" t="n"/>
      <c r="G58" s="9" t="n"/>
      <c r="H58" s="9" t="n"/>
      <c r="I58" s="8" t="n"/>
      <c r="J58" s="8" t="n"/>
      <c r="K58" s="8" t="n"/>
      <c r="L58" s="9" t="n"/>
      <c r="M58" s="4" t="n"/>
      <c r="N58" s="4" t="n"/>
      <c r="O58" s="4" t="n"/>
      <c r="P58" s="4" t="n"/>
      <c r="Q58" s="4" t="n"/>
    </row>
    <row r="59" ht="13.5" customHeight="1" s="95" thickBot="1">
      <c r="B59" s="4" t="n"/>
      <c r="C59" s="4" t="n"/>
      <c r="D59" s="16" t="n"/>
      <c r="E59" s="9" t="n"/>
      <c r="F59" s="9" t="n"/>
      <c r="G59" s="9" t="n"/>
      <c r="H59" s="17" t="n"/>
      <c r="I59" s="304" t="inlineStr">
        <is>
          <t>DIFERENCIAS PROMEDIO</t>
        </is>
      </c>
      <c r="J59" s="305" t="n"/>
      <c r="K59" s="11">
        <f>SUM(K37:K57)</f>
        <v/>
      </c>
      <c r="L59" s="4" t="n"/>
      <c r="M59" s="12" t="inlineStr">
        <is>
          <t>DCTO. TOTAL</t>
        </is>
      </c>
      <c r="N59" s="13">
        <f>SUM(N37:N57)</f>
        <v/>
      </c>
      <c r="O59" s="4" t="n"/>
      <c r="P59" s="4" t="n"/>
      <c r="Q59" s="4" t="n"/>
    </row>
    <row r="60"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</row>
    <row r="61"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</row>
    <row r="62"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</row>
    <row r="63" ht="13.5" customHeight="1" s="95" thickBot="1"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</row>
    <row r="64">
      <c r="B64" s="4" t="n"/>
      <c r="C64" s="197" t="inlineStr">
        <is>
          <t>VENTAS</t>
        </is>
      </c>
      <c r="D64" s="308" t="n"/>
      <c r="E64" s="308" t="n"/>
      <c r="F64" s="308" t="n"/>
      <c r="G64" s="308" t="n"/>
      <c r="H64" s="300" t="n"/>
      <c r="I64" s="55" t="n"/>
      <c r="J64" s="55" t="n"/>
      <c r="K64" s="55" t="n"/>
      <c r="L64" s="55" t="n"/>
      <c r="M64" s="55" t="n"/>
      <c r="N64" s="55" t="n"/>
      <c r="O64" s="4" t="n"/>
      <c r="P64" s="4" t="n"/>
      <c r="Q64" s="4" t="n"/>
    </row>
    <row r="65">
      <c r="B65" s="4" t="n"/>
      <c r="C65" s="200" t="inlineStr">
        <is>
          <t>Código</t>
        </is>
      </c>
      <c r="D65" s="196" t="inlineStr">
        <is>
          <t>Ítem</t>
        </is>
      </c>
      <c r="E65" s="196" t="inlineStr">
        <is>
          <t xml:space="preserve">Vendido </t>
        </is>
      </c>
      <c r="F65" s="196" t="inlineStr">
        <is>
          <t>Producto</t>
        </is>
      </c>
      <c r="G65" s="196" t="inlineStr">
        <is>
          <t>Cantidad</t>
        </is>
      </c>
      <c r="H65" s="201" t="inlineStr">
        <is>
          <t>Medida</t>
        </is>
      </c>
      <c r="I65" s="56" t="n"/>
      <c r="J65" s="56" t="n"/>
      <c r="K65" s="56" t="n"/>
      <c r="L65" s="56" t="n"/>
      <c r="M65" s="56" t="n"/>
      <c r="N65" s="56" t="n"/>
      <c r="O65" s="4" t="n"/>
      <c r="P65" s="4" t="n"/>
      <c r="Q65" s="4" t="n"/>
    </row>
    <row r="66">
      <c r="B66" s="4" t="n"/>
      <c r="C66" s="96" t="inlineStr">
        <is>
          <t>VECARAGR013</t>
        </is>
      </c>
      <c r="D66" s="18" t="inlineStr">
        <is>
          <t>Age Salmon Ahumado</t>
        </is>
      </c>
      <c r="E66" s="207">
        <f>IFERROR(
IF(
INDEX($K$272:$K$977,MATCH(C66,$B$272:$B$977,0))&lt;&gt;0,
INDEX($K$272:$K$977,MATCH(C66,$B$272:$B$977,0)),
INDEX($L$272:$L$977,MATCH(C66,$B$272:$B$977,0))
),
0)</f>
        <v/>
      </c>
      <c r="F66" s="1" t="inlineStr">
        <is>
          <t>Salmón ahumado en Caliente</t>
        </is>
      </c>
      <c r="G66" s="52" t="n">
        <v>0.12</v>
      </c>
      <c r="H66" s="81" t="inlineStr">
        <is>
          <t>Kg</t>
        </is>
      </c>
      <c r="I66" s="79" t="n"/>
      <c r="J66" s="78" t="n"/>
      <c r="K66" s="79" t="n"/>
      <c r="L66" s="80" t="n"/>
      <c r="M66" s="80" t="n"/>
      <c r="N66" s="80" t="n"/>
      <c r="O66" s="4" t="n"/>
      <c r="P66" s="4" t="n"/>
      <c r="Q66" s="4" t="n"/>
    </row>
    <row r="67">
      <c r="B67" s="4" t="n"/>
      <c r="C67" s="96" t="inlineStr">
        <is>
          <t>VECARAGR007</t>
        </is>
      </c>
      <c r="D67" s="18" t="inlineStr">
        <is>
          <t>Agr. Jamon Crudo</t>
        </is>
      </c>
      <c r="E67" s="207">
        <f>IFERROR(
IF(
INDEX($K$272:$K$977,MATCH(C67,$B$272:$B$977,0))&lt;&gt;0,
INDEX($K$272:$K$977,MATCH(C67,$B$272:$B$977,0)),
INDEX($L$272:$L$977,MATCH(C67,$B$272:$B$977,0))
),
0)</f>
        <v/>
      </c>
      <c r="F67" s="1" t="inlineStr">
        <is>
          <t>Jamón serrano</t>
        </is>
      </c>
      <c r="G67" s="52" t="n">
        <v>0.03</v>
      </c>
      <c r="H67" s="81" t="inlineStr">
        <is>
          <t>Kg</t>
        </is>
      </c>
      <c r="I67" s="79" t="n"/>
      <c r="J67" s="78" t="n"/>
      <c r="K67" s="79" t="n"/>
      <c r="L67" s="80" t="n"/>
      <c r="M67" s="80" t="n"/>
      <c r="N67" s="80" t="n"/>
      <c r="O67" s="4" t="n"/>
      <c r="P67" s="4" t="n"/>
      <c r="Q67" s="4" t="n"/>
    </row>
    <row r="68">
      <c r="B68" s="4" t="n"/>
      <c r="C68" s="96" t="inlineStr">
        <is>
          <t>VECARENT001</t>
        </is>
      </c>
      <c r="D68" s="18" t="inlineStr">
        <is>
          <t>Atún Apanado</t>
        </is>
      </c>
      <c r="E68" s="207">
        <f>IFERROR(
IF(
INDEX($K$272:$K$977,MATCH(C68,$B$272:$B$977,0))&lt;&gt;0,
INDEX($K$272:$K$977,MATCH(C68,$B$272:$B$977,0)),
INDEX($L$272:$L$977,MATCH(C68,$B$272:$B$977,0))
),
0)</f>
        <v/>
      </c>
      <c r="F68" s="1" t="inlineStr">
        <is>
          <t>Atún Steak</t>
        </is>
      </c>
      <c r="G68" s="52" t="n">
        <v>0.18</v>
      </c>
      <c r="H68" s="81" t="inlineStr">
        <is>
          <t>Kg</t>
        </is>
      </c>
      <c r="I68" s="79" t="n"/>
      <c r="J68" s="78" t="n"/>
      <c r="K68" s="79" t="n"/>
      <c r="L68" s="80" t="n"/>
      <c r="M68" s="80" t="n"/>
      <c r="N68" s="80" t="n"/>
      <c r="O68" s="20" t="n"/>
      <c r="P68" s="4" t="n"/>
      <c r="Q68" s="4" t="n"/>
    </row>
    <row r="69">
      <c r="B69" s="4" t="n"/>
      <c r="C69" s="96" t="inlineStr">
        <is>
          <t>VECARFJT001</t>
        </is>
      </c>
      <c r="D69" s="18" t="inlineStr">
        <is>
          <t>Atún Sellado JT</t>
        </is>
      </c>
      <c r="E69" s="207">
        <f>IFERROR(
IF(
INDEX($K$272:$K$977,MATCH(C69,$B$272:$B$977,0))&lt;&gt;0,
INDEX($K$272:$K$977,MATCH(C69,$B$272:$B$977,0)),
INDEX($L$272:$L$977,MATCH(C69,$B$272:$B$977,0))
),
0)</f>
        <v/>
      </c>
      <c r="F69" s="1" t="inlineStr">
        <is>
          <t>Atún Steak</t>
        </is>
      </c>
      <c r="G69" s="52" t="n">
        <v>0.18</v>
      </c>
      <c r="H69" s="81" t="inlineStr">
        <is>
          <t>Kg</t>
        </is>
      </c>
      <c r="I69" s="79" t="n"/>
      <c r="J69" s="78" t="n"/>
      <c r="K69" s="79" t="n"/>
      <c r="L69" s="80" t="n"/>
      <c r="M69" s="80" t="n"/>
      <c r="N69" s="80" t="n"/>
      <c r="O69" s="20" t="n"/>
      <c r="P69" s="4" t="n"/>
      <c r="Q69" s="4" t="n"/>
    </row>
    <row r="70">
      <c r="B70" s="4" t="n"/>
      <c r="C70" s="96" t="inlineStr">
        <is>
          <t>VECARFON002</t>
        </is>
      </c>
      <c r="D70" s="18" t="inlineStr">
        <is>
          <t>Atún Risotto</t>
        </is>
      </c>
      <c r="E70" s="207">
        <f>IFERROR(
IF(
INDEX($K$272:$K$977,MATCH(C70,$B$272:$B$977,0))&lt;&gt;0,
INDEX($K$272:$K$977,MATCH(C70,$B$272:$B$977,0)),
INDEX($L$272:$L$977,MATCH(C70,$B$272:$B$977,0))
),
0)</f>
        <v/>
      </c>
      <c r="F70" s="1" t="inlineStr">
        <is>
          <t>Atún Steak</t>
        </is>
      </c>
      <c r="G70" s="52" t="n">
        <v>0.18</v>
      </c>
      <c r="H70" s="81" t="inlineStr">
        <is>
          <t>Kg</t>
        </is>
      </c>
      <c r="I70" s="79" t="n"/>
      <c r="J70" s="78" t="n"/>
      <c r="K70" s="79" t="n"/>
      <c r="L70" s="80" t="n"/>
      <c r="M70" s="80" t="n"/>
      <c r="N70" s="80" t="n"/>
      <c r="O70" s="20" t="n"/>
      <c r="P70" s="4" t="n"/>
      <c r="Q70" s="4" t="n"/>
    </row>
    <row r="71">
      <c r="B71" s="4" t="n"/>
      <c r="C71" s="96" t="inlineStr">
        <is>
          <t>VECARFUB001</t>
        </is>
      </c>
      <c r="D71" s="18" t="inlineStr">
        <is>
          <t>Atún Risotto PY</t>
        </is>
      </c>
      <c r="E71" s="207">
        <f>IFERROR(
IF(
INDEX($K$272:$K$977,MATCH(C71,$B$272:$B$977,0))&lt;&gt;0,
INDEX($K$272:$K$977,MATCH(C71,$B$272:$B$977,0)),
INDEX($L$272:$L$977,MATCH(C71,$B$272:$B$977,0))
),
0)</f>
        <v/>
      </c>
      <c r="F71" s="1" t="inlineStr">
        <is>
          <t>Atún Steak</t>
        </is>
      </c>
      <c r="G71" s="52" t="n">
        <v>0.18</v>
      </c>
      <c r="H71" s="81" t="inlineStr">
        <is>
          <t>Kg</t>
        </is>
      </c>
      <c r="I71" s="79" t="n"/>
      <c r="J71" s="78" t="n"/>
      <c r="K71" s="79" t="n"/>
      <c r="L71" s="80" t="n"/>
      <c r="M71" s="80" t="n"/>
      <c r="N71" s="80" t="n"/>
      <c r="O71" s="20" t="n"/>
      <c r="P71" s="4" t="n"/>
      <c r="Q71" s="4" t="n"/>
    </row>
    <row r="72">
      <c r="B72" s="4" t="n"/>
      <c r="C72" s="96" t="inlineStr">
        <is>
          <t>VECARENT034</t>
        </is>
      </c>
      <c r="D72" s="18" t="inlineStr">
        <is>
          <t>Brocheta Langostino</t>
        </is>
      </c>
      <c r="E72" s="207">
        <f>IFERROR(
IF(
INDEX($K$272:$K$977,MATCH(C72,$B$272:$B$977,0))&lt;&gt;0,
INDEX($K$272:$K$977,MATCH(C72,$B$272:$B$977,0)),
INDEX($L$272:$L$977,MATCH(C72,$B$272:$B$977,0))
),
0)</f>
        <v/>
      </c>
      <c r="F72" s="1" t="inlineStr">
        <is>
          <t>Langostinos</t>
        </is>
      </c>
      <c r="G72" s="52" t="n">
        <v>1</v>
      </c>
      <c r="H72" s="81" t="inlineStr">
        <is>
          <t>Und</t>
        </is>
      </c>
      <c r="I72" s="79" t="n"/>
      <c r="J72" s="78" t="n"/>
      <c r="K72" s="79" t="n"/>
      <c r="L72" s="80" t="n"/>
      <c r="M72" s="80" t="n"/>
      <c r="N72" s="80" t="n"/>
      <c r="O72" s="20" t="n"/>
      <c r="P72" s="4" t="n"/>
      <c r="Q72" s="4" t="n"/>
    </row>
    <row r="73">
      <c r="B73" s="4" t="n"/>
      <c r="C73" s="96" t="inlineStr">
        <is>
          <t>VECARPOS013</t>
        </is>
      </c>
      <c r="D73" s="18" t="inlineStr">
        <is>
          <t>Brownie Choc Vegano</t>
        </is>
      </c>
      <c r="E73" s="207">
        <f>IFERROR(
IF(
INDEX($K$272:$K$977,MATCH(C73,$B$272:$B$977,0))&lt;&gt;0,
INDEX($K$272:$K$977,MATCH(C73,$B$272:$B$977,0)),
INDEX($L$272:$L$977,MATCH(C73,$B$272:$B$977,0))
),
0)</f>
        <v/>
      </c>
      <c r="F73" s="18" t="inlineStr">
        <is>
          <t>Brownie Vegano</t>
        </is>
      </c>
      <c r="G73" s="52" t="n">
        <v>1</v>
      </c>
      <c r="H73" s="81" t="inlineStr">
        <is>
          <t>Kg</t>
        </is>
      </c>
      <c r="I73" s="79" t="n"/>
      <c r="J73" s="78" t="n"/>
      <c r="K73" s="79" t="n"/>
      <c r="L73" s="80" t="n"/>
      <c r="M73" s="80" t="n"/>
      <c r="N73" s="80" t="n"/>
      <c r="O73" s="20" t="n"/>
      <c r="P73" s="4" t="n"/>
      <c r="Q73" s="4" t="n"/>
    </row>
    <row r="74">
      <c r="B74" s="4" t="n"/>
      <c r="C74" s="96" t="inlineStr">
        <is>
          <t>VECARPOS024</t>
        </is>
      </c>
      <c r="D74" s="18" t="inlineStr">
        <is>
          <t>Brownie Nutella</t>
        </is>
      </c>
      <c r="E74" s="207">
        <f>IFERROR(
IF(
INDEX($K$272:$K$977,MATCH(C74,$B$272:$B$977,0))&lt;&gt;0,
INDEX($K$272:$K$977,MATCH(C74,$B$272:$B$977,0)),
INDEX($L$272:$L$977,MATCH(C74,$B$272:$B$977,0))
),
0)</f>
        <v/>
      </c>
      <c r="F74" s="18" t="inlineStr">
        <is>
          <t>Brownie Nutella</t>
        </is>
      </c>
      <c r="G74" s="52" t="n">
        <v>1</v>
      </c>
      <c r="H74" s="81" t="inlineStr">
        <is>
          <t>Kg</t>
        </is>
      </c>
      <c r="I74" s="79" t="n"/>
      <c r="J74" s="78" t="n"/>
      <c r="K74" s="79" t="n"/>
      <c r="L74" s="80" t="n"/>
      <c r="M74" s="80" t="n"/>
      <c r="N74" s="80" t="n"/>
      <c r="O74" s="4" t="n"/>
      <c r="P74" s="4" t="n"/>
      <c r="Q74" s="4" t="n"/>
    </row>
    <row r="75">
      <c r="B75" s="4" t="n"/>
      <c r="C75" s="96" t="inlineStr">
        <is>
          <t>VECARPUB012</t>
        </is>
      </c>
      <c r="D75" s="18" t="inlineStr">
        <is>
          <t>Brownie Nutella  PY</t>
        </is>
      </c>
      <c r="E75" s="207">
        <f>IFERROR(
IF(
INDEX($K$272:$K$977,MATCH(C75,$B$272:$B$977,0))&lt;&gt;0,
INDEX($K$272:$K$977,MATCH(C75,$B$272:$B$977,0)),
INDEX($L$272:$L$977,MATCH(C75,$B$272:$B$977,0))
),
0)</f>
        <v/>
      </c>
      <c r="F75" s="18" t="inlineStr">
        <is>
          <t>Brownie Nutella</t>
        </is>
      </c>
      <c r="G75" s="52" t="n">
        <v>1</v>
      </c>
      <c r="H75" s="81" t="inlineStr">
        <is>
          <t>Kg</t>
        </is>
      </c>
      <c r="I75" s="79" t="n"/>
      <c r="J75" s="78" t="n"/>
      <c r="K75" s="79" t="n"/>
      <c r="L75" s="80" t="n"/>
      <c r="M75" s="80" t="n"/>
      <c r="N75" s="80" t="n"/>
      <c r="O75" s="4" t="n"/>
      <c r="P75" s="4" t="n"/>
      <c r="Q75" s="4" t="n"/>
    </row>
    <row r="76">
      <c r="B76" s="4" t="n"/>
      <c r="C76" s="96" t="inlineStr">
        <is>
          <t>VECARPJT005</t>
        </is>
      </c>
      <c r="D76" s="18" t="inlineStr">
        <is>
          <t>Brownie Vegano JT</t>
        </is>
      </c>
      <c r="E76" s="207">
        <f>IFERROR(
IF(
INDEX($K$272:$K$977,MATCH(C76,$B$272:$B$977,0))&lt;&gt;0,
INDEX($K$272:$K$977,MATCH(C76,$B$272:$B$977,0)),
INDEX($L$272:$L$977,MATCH(C76,$B$272:$B$977,0))
),
0)</f>
        <v/>
      </c>
      <c r="F76" s="18" t="inlineStr">
        <is>
          <t>Brownie Vegano</t>
        </is>
      </c>
      <c r="G76" s="52" t="n">
        <v>1</v>
      </c>
      <c r="H76" s="81" t="inlineStr">
        <is>
          <t>Kg</t>
        </is>
      </c>
      <c r="I76" s="79" t="n"/>
      <c r="J76" s="78" t="n"/>
      <c r="K76" s="79" t="n"/>
      <c r="L76" s="80" t="n"/>
      <c r="M76" s="80" t="n"/>
      <c r="N76" s="80" t="n"/>
      <c r="O76" s="4" t="n"/>
      <c r="P76" s="4" t="n"/>
      <c r="Q76" s="4" t="n"/>
    </row>
    <row r="77">
      <c r="B77" s="4" t="n"/>
      <c r="C77" s="96" t="inlineStr">
        <is>
          <t>VECARPUB005</t>
        </is>
      </c>
      <c r="D77" s="18" t="inlineStr">
        <is>
          <t>Brownie Vegano PY</t>
        </is>
      </c>
      <c r="E77" s="207">
        <f>IFERROR(
IF(
INDEX($K$272:$K$977,MATCH(C77,$B$272:$B$977,0))&lt;&gt;0,
INDEX($K$272:$K$977,MATCH(C77,$B$272:$B$977,0)),
INDEX($L$272:$L$977,MATCH(C77,$B$272:$B$977,0))
),
0)</f>
        <v/>
      </c>
      <c r="F77" s="18" t="inlineStr">
        <is>
          <t>Brownie Vegano</t>
        </is>
      </c>
      <c r="G77" s="52" t="n">
        <v>1</v>
      </c>
      <c r="H77" s="81" t="inlineStr">
        <is>
          <t>Kg</t>
        </is>
      </c>
      <c r="I77" s="79" t="n"/>
      <c r="J77" s="78" t="n"/>
      <c r="K77" s="79" t="n"/>
      <c r="L77" s="80" t="n"/>
      <c r="M77" s="80" t="n"/>
      <c r="N77" s="80" t="n"/>
      <c r="O77" s="20" t="n"/>
      <c r="P77" s="4" t="n"/>
      <c r="Q77" s="4" t="n"/>
    </row>
    <row r="78">
      <c r="B78" s="4" t="n"/>
      <c r="C78" s="96" t="inlineStr">
        <is>
          <t>VECARFON067</t>
        </is>
      </c>
      <c r="D78" s="18" t="inlineStr">
        <is>
          <t>Carne Desmechada con Ñoquis</t>
        </is>
      </c>
      <c r="E78" s="207">
        <f>IFERROR(
IF(
INDEX($K$272:$K$977,MATCH(C78,$B$272:$B$977,0))&lt;&gt;0,
INDEX($K$272:$K$977,MATCH(C78,$B$272:$B$977,0)),
INDEX($L$272:$L$977,MATCH(C78,$B$272:$B$977,0))
),
0)</f>
        <v/>
      </c>
      <c r="F78" s="18" t="inlineStr">
        <is>
          <t>Ganso</t>
        </is>
      </c>
      <c r="G78" s="52" t="n">
        <v>0.12</v>
      </c>
      <c r="H78" s="81" t="inlineStr">
        <is>
          <t>Kg</t>
        </is>
      </c>
      <c r="I78" s="79" t="n"/>
      <c r="J78" s="78" t="n"/>
      <c r="K78" s="79" t="n"/>
      <c r="L78" s="80" t="n"/>
      <c r="M78" s="80" t="n"/>
      <c r="N78" s="80" t="n"/>
      <c r="O78" s="20" t="n"/>
      <c r="P78" s="4" t="n"/>
      <c r="Q78" s="4" t="n"/>
    </row>
    <row r="79">
      <c r="B79" s="4" t="n"/>
      <c r="C79" s="96" t="inlineStr">
        <is>
          <t>VECARAUB013</t>
        </is>
      </c>
      <c r="D79" s="18" t="inlineStr">
        <is>
          <t>Carpaccio de Res Margó PY</t>
        </is>
      </c>
      <c r="E79" s="207">
        <f>IFERROR(
IF(
INDEX($K$272:$K$977,MATCH(C79,$B$272:$B$977,0))&lt;&gt;0,
INDEX($K$272:$K$977,MATCH(C79,$B$272:$B$977,0)),
INDEX($L$272:$L$977,MATCH(C79,$B$272:$B$977,0))
),
0)</f>
        <v/>
      </c>
      <c r="F79" s="1" t="inlineStr">
        <is>
          <t>Carpaccio de res</t>
        </is>
      </c>
      <c r="G79" s="52" t="n">
        <v>0.12</v>
      </c>
      <c r="H79" s="81" t="inlineStr">
        <is>
          <t>Kg</t>
        </is>
      </c>
      <c r="I79" s="79" t="n"/>
      <c r="J79" s="78" t="n"/>
      <c r="K79" s="79" t="n"/>
      <c r="L79" s="80" t="n"/>
      <c r="M79" s="80" t="n"/>
      <c r="N79" s="80" t="n"/>
      <c r="O79" s="20" t="n"/>
      <c r="P79" s="4" t="n"/>
      <c r="Q79" s="4" t="n"/>
    </row>
    <row r="80">
      <c r="B80" s="4" t="n"/>
      <c r="C80" s="96" t="inlineStr">
        <is>
          <t>VECARENT002</t>
        </is>
      </c>
      <c r="D80" s="18" t="inlineStr">
        <is>
          <t>Carpaccio Filete Res</t>
        </is>
      </c>
      <c r="E80" s="207">
        <f>IFERROR(
IF(
INDEX($K$272:$K$977,MATCH(C80,$B$272:$B$977,0))&lt;&gt;0,
INDEX($K$272:$K$977,MATCH(C80,$B$272:$B$977,0)),
INDEX($L$272:$L$977,MATCH(C80,$B$272:$B$977,0))
),
0)</f>
        <v/>
      </c>
      <c r="F80" s="1" t="inlineStr">
        <is>
          <t>Carpaccio de res</t>
        </is>
      </c>
      <c r="G80" s="52" t="n">
        <v>0.12</v>
      </c>
      <c r="H80" s="81" t="inlineStr">
        <is>
          <t>Kg</t>
        </is>
      </c>
      <c r="I80" s="79" t="n"/>
      <c r="J80" s="78" t="n"/>
      <c r="K80" s="79" t="n"/>
      <c r="L80" s="80" t="n"/>
      <c r="M80" s="80" t="n"/>
      <c r="N80" s="80" t="n"/>
      <c r="O80" s="20" t="n"/>
      <c r="P80" s="4" t="n"/>
      <c r="Q80" s="4" t="n"/>
    </row>
    <row r="81">
      <c r="B81" s="4" t="n"/>
      <c r="C81" s="96" t="inlineStr">
        <is>
          <t>VECARFON004</t>
        </is>
      </c>
      <c r="D81" s="18" t="inlineStr">
        <is>
          <t>Caldillo de Congrio</t>
        </is>
      </c>
      <c r="E81" s="207">
        <f>IFERROR(
IF(
INDEX($K$272:$K$977,MATCH(C81,$B$272:$B$977,0))&lt;&gt;0,
INDEX($K$272:$K$977,MATCH(C81,$B$272:$B$977,0)),
INDEX($L$272:$L$977,MATCH(C81,$B$272:$B$977,0))
),
0)</f>
        <v/>
      </c>
      <c r="F81" s="1" t="inlineStr">
        <is>
          <t>Congrio</t>
        </is>
      </c>
      <c r="G81" s="52" t="n">
        <v>0.15</v>
      </c>
      <c r="H81" s="81" t="inlineStr">
        <is>
          <t>Kg</t>
        </is>
      </c>
      <c r="I81" s="79" t="n"/>
      <c r="J81" s="78" t="n"/>
      <c r="K81" s="79" t="n"/>
      <c r="L81" s="80" t="n"/>
      <c r="M81" s="80" t="n"/>
      <c r="N81" s="80" t="n"/>
      <c r="O81" s="20" t="n"/>
      <c r="P81" s="4" t="n"/>
      <c r="Q81" s="4" t="n"/>
    </row>
    <row r="82">
      <c r="B82" s="4" t="n"/>
      <c r="C82" s="96" t="inlineStr">
        <is>
          <t>VECARFON004</t>
        </is>
      </c>
      <c r="D82" s="18" t="inlineStr">
        <is>
          <t>Caldillo de Congrio</t>
        </is>
      </c>
      <c r="E82" s="207">
        <f>IFERROR(
IF(
INDEX($K$272:$K$977,MATCH(C82,$B$272:$B$977,0))&lt;&gt;0,
INDEX($K$272:$K$977,MATCH(C82,$B$272:$B$977,0)),
INDEX($L$272:$L$977,MATCH(C82,$B$272:$B$977,0))
),
0)</f>
        <v/>
      </c>
      <c r="F82" s="1" t="inlineStr">
        <is>
          <t>Mix Conchas</t>
        </is>
      </c>
      <c r="G82" s="52" t="n">
        <v>1</v>
      </c>
      <c r="H82" s="81" t="inlineStr">
        <is>
          <t>Porción</t>
        </is>
      </c>
      <c r="I82" s="79" t="n"/>
      <c r="J82" s="78" t="n"/>
      <c r="K82" s="79" t="n"/>
      <c r="L82" s="80" t="n"/>
      <c r="M82" s="80" t="n"/>
      <c r="N82" s="80" t="n"/>
      <c r="O82" s="20" t="n"/>
      <c r="P82" s="4" t="n"/>
      <c r="Q82" s="4" t="n"/>
    </row>
    <row r="83">
      <c r="B83" s="4" t="n"/>
      <c r="C83" s="97" t="inlineStr">
        <is>
          <t>VECARENT003</t>
        </is>
      </c>
      <c r="D83" s="18" t="inlineStr">
        <is>
          <t>Ceviche Margo</t>
        </is>
      </c>
      <c r="E83" s="207">
        <f>IFERROR(
IF(
INDEX($K$272:$K$977,MATCH(C83,$B$272:$B$977,0))&lt;&gt;0,
INDEX($K$272:$K$977,MATCH(C83,$B$272:$B$977,0)),
INDEX($L$272:$L$977,MATCH(C83,$B$272:$B$977,0))
),
0)</f>
        <v/>
      </c>
      <c r="F83" s="1" t="inlineStr">
        <is>
          <t>Reineta</t>
        </is>
      </c>
      <c r="G83" s="52" t="n">
        <v>0.1</v>
      </c>
      <c r="H83" s="81" t="inlineStr">
        <is>
          <t>Kg</t>
        </is>
      </c>
      <c r="I83" s="79" t="n"/>
      <c r="J83" s="78" t="n"/>
      <c r="K83" s="79" t="n"/>
      <c r="L83" s="80" t="n"/>
      <c r="M83" s="80" t="n"/>
      <c r="N83" s="80" t="n"/>
      <c r="O83" s="20" t="n"/>
      <c r="P83" s="4" t="n"/>
      <c r="Q83" s="4" t="n"/>
    </row>
    <row r="84">
      <c r="B84" s="4" t="n"/>
      <c r="C84" s="96" t="inlineStr">
        <is>
          <t>VECARPOS015</t>
        </is>
      </c>
      <c r="D84" s="122" t="inlineStr">
        <is>
          <t>Cheesecake Berries</t>
        </is>
      </c>
      <c r="E84" s="207">
        <f>IFERROR(
IF(
INDEX($K$272:$K$977,MATCH(C84,$B$272:$B$977,0))&lt;&gt;0,
INDEX($K$272:$K$977,MATCH(C84,$B$272:$B$977,0)),
INDEX($L$272:$L$977,MATCH(C84,$B$272:$B$977,0))
),
0)</f>
        <v/>
      </c>
      <c r="F84" s="1" t="inlineStr">
        <is>
          <t>Cheesecake Berries</t>
        </is>
      </c>
      <c r="G84" s="52" t="n">
        <v>1</v>
      </c>
      <c r="H84" s="81" t="inlineStr">
        <is>
          <t>Kg</t>
        </is>
      </c>
      <c r="I84" s="79" t="n"/>
      <c r="J84" s="78" t="n"/>
      <c r="K84" s="79" t="n"/>
      <c r="L84" s="80" t="n"/>
      <c r="M84" s="80" t="n"/>
      <c r="N84" s="80" t="n"/>
      <c r="O84" s="20" t="n"/>
      <c r="P84" s="4" t="n"/>
      <c r="Q84" s="4" t="n"/>
    </row>
    <row r="85">
      <c r="B85" s="4" t="n"/>
      <c r="C85" s="96" t="inlineStr">
        <is>
          <t>VECARPUB006</t>
        </is>
      </c>
      <c r="D85" s="122" t="inlineStr">
        <is>
          <t>Cheesecake Berries PY</t>
        </is>
      </c>
      <c r="E85" s="207">
        <f>IFERROR(
IF(
INDEX($K$272:$K$977,MATCH(C85,$B$272:$B$977,0))&lt;&gt;0,
INDEX($K$272:$K$977,MATCH(C85,$B$272:$B$977,0)),
INDEX($L$272:$L$977,MATCH(C85,$B$272:$B$977,0))
),
0)</f>
        <v/>
      </c>
      <c r="F85" s="1" t="inlineStr">
        <is>
          <t>Cheesecake Berries</t>
        </is>
      </c>
      <c r="G85" s="52" t="n">
        <v>1</v>
      </c>
      <c r="H85" s="81" t="inlineStr">
        <is>
          <t>Kg</t>
        </is>
      </c>
      <c r="I85" s="79" t="n"/>
      <c r="J85" s="78" t="n"/>
      <c r="K85" s="79" t="n"/>
      <c r="L85" s="80" t="n"/>
      <c r="M85" s="80" t="n"/>
      <c r="N85" s="80" t="n"/>
      <c r="O85" s="20" t="n"/>
      <c r="P85" s="4" t="n"/>
      <c r="Q85" s="4" t="n"/>
    </row>
    <row r="86">
      <c r="B86" s="4" t="n"/>
      <c r="C86" s="96" t="inlineStr">
        <is>
          <t>VECARPJT006</t>
        </is>
      </c>
      <c r="D86" s="122" t="inlineStr">
        <is>
          <t>Cheesecake Berries JT</t>
        </is>
      </c>
      <c r="E86" s="207">
        <f>IFERROR(
IF(
INDEX($K$272:$K$977,MATCH(C86,$B$272:$B$977,0))&lt;&gt;0,
INDEX($K$272:$K$977,MATCH(C86,$B$272:$B$977,0)),
INDEX($L$272:$L$977,MATCH(C86,$B$272:$B$977,0))
),
0)</f>
        <v/>
      </c>
      <c r="F86" s="1" t="inlineStr">
        <is>
          <t>Cheesecake Berries</t>
        </is>
      </c>
      <c r="G86" s="52" t="n">
        <v>1</v>
      </c>
      <c r="H86" s="81" t="inlineStr">
        <is>
          <t>Kg</t>
        </is>
      </c>
      <c r="I86" s="79" t="n"/>
      <c r="J86" s="78" t="n"/>
      <c r="K86" s="79" t="n"/>
      <c r="L86" s="80" t="n"/>
      <c r="M86" s="80" t="n"/>
      <c r="N86" s="80" t="n"/>
      <c r="O86" s="20" t="n"/>
      <c r="P86" s="4" t="n"/>
      <c r="Q86" s="4" t="n"/>
    </row>
    <row r="87" ht="15" customHeight="1" s="95">
      <c r="B87" s="4" t="n"/>
      <c r="C87" s="96" t="inlineStr">
        <is>
          <t>VECARPOS003</t>
        </is>
      </c>
      <c r="D87" s="18" t="inlineStr">
        <is>
          <t>Cheesecake Limón</t>
        </is>
      </c>
      <c r="E87" s="207">
        <f>IFERROR(
IF(
INDEX($K$272:$K$977,MATCH(C87,$B$272:$B$977,0))&lt;&gt;0,
INDEX($K$272:$K$977,MATCH(C87,$B$272:$B$977,0)),
INDEX($L$272:$L$977,MATCH(C87,$B$272:$B$977,0))
),
0)</f>
        <v/>
      </c>
      <c r="F87" s="1" t="inlineStr">
        <is>
          <t>Cheesecake de Limón</t>
        </is>
      </c>
      <c r="G87" s="52" t="n">
        <v>1</v>
      </c>
      <c r="H87" s="81" t="inlineStr">
        <is>
          <t>Kg</t>
        </is>
      </c>
      <c r="I87" s="79" t="n"/>
      <c r="J87" s="78" t="n"/>
      <c r="K87" s="79" t="n"/>
      <c r="L87" s="80" t="n"/>
      <c r="M87" s="80" t="n"/>
      <c r="N87" s="80" t="n"/>
      <c r="O87" s="20" t="n"/>
      <c r="P87" s="4" t="n"/>
      <c r="Q87" s="4" t="n"/>
    </row>
    <row r="88" ht="15" customHeight="1" s="95">
      <c r="B88" s="4" t="n"/>
      <c r="C88" s="96" t="inlineStr">
        <is>
          <t>VECARPJT011</t>
        </is>
      </c>
      <c r="D88" s="18" t="inlineStr">
        <is>
          <t>Cheesecake Limón JT</t>
        </is>
      </c>
      <c r="E88" s="207">
        <f>IFERROR(
IF(
INDEX($K$272:$K$977,MATCH(C88,$B$272:$B$977,0))&lt;&gt;0,
INDEX($K$272:$K$977,MATCH(C88,$B$272:$B$977,0)),
INDEX($L$272:$L$977,MATCH(C88,$B$272:$B$977,0))
),
0)</f>
        <v/>
      </c>
      <c r="F88" s="1" t="inlineStr">
        <is>
          <t>Cheesecake de Limón</t>
        </is>
      </c>
      <c r="G88" s="52" t="n">
        <v>1</v>
      </c>
      <c r="H88" s="81" t="inlineStr">
        <is>
          <t>Kg</t>
        </is>
      </c>
      <c r="I88" s="79" t="n"/>
      <c r="J88" s="78" t="n"/>
      <c r="K88" s="79" t="n"/>
      <c r="L88" s="80" t="n"/>
      <c r="M88" s="80" t="n"/>
      <c r="N88" s="80" t="n"/>
      <c r="O88" s="20" t="n"/>
      <c r="P88" s="4" t="n"/>
      <c r="Q88" s="4" t="n"/>
    </row>
    <row r="89">
      <c r="B89" s="4" t="n"/>
      <c r="C89" s="96" t="inlineStr">
        <is>
          <t>VECARPUB011</t>
        </is>
      </c>
      <c r="D89" s="18" t="inlineStr">
        <is>
          <t>Cheesecake Limón PY</t>
        </is>
      </c>
      <c r="E89" s="207">
        <f>IFERROR(
IF(
INDEX($K$272:$K$977,MATCH(C89,$B$272:$B$977,0))&lt;&gt;0,
INDEX($K$272:$K$977,MATCH(C89,$B$272:$B$977,0)),
INDEX($L$272:$L$977,MATCH(C89,$B$272:$B$977,0))
),
0)</f>
        <v/>
      </c>
      <c r="F89" s="1" t="inlineStr">
        <is>
          <t>Cheesecake de Limón</t>
        </is>
      </c>
      <c r="G89" s="52" t="n">
        <v>1</v>
      </c>
      <c r="H89" s="81" t="inlineStr">
        <is>
          <t>Kg</t>
        </is>
      </c>
      <c r="I89" s="79" t="n"/>
      <c r="J89" s="78" t="n"/>
      <c r="K89" s="79" t="n"/>
      <c r="L89" s="80" t="n"/>
      <c r="M89" s="80" t="n"/>
      <c r="N89" s="80" t="n"/>
      <c r="O89" s="20" t="n"/>
      <c r="P89" s="4" t="n"/>
      <c r="Q89" s="4" t="n"/>
    </row>
    <row r="90">
      <c r="B90" s="4" t="n"/>
      <c r="C90" s="96" t="inlineStr">
        <is>
          <t>VECARFON061</t>
        </is>
      </c>
      <c r="D90" s="18" t="inlineStr">
        <is>
          <t>Chupe de salmón ahumado</t>
        </is>
      </c>
      <c r="E90" s="207">
        <f>IFERROR(
IF(
INDEX($K$272:$K$977,MATCH(C90,$B$272:$B$977,0))&lt;&gt;0,
INDEX($K$272:$K$977,MATCH(C90,$B$272:$B$977,0)),
INDEX($L$272:$L$977,MATCH(C90,$B$272:$B$977,0))
),
0)</f>
        <v/>
      </c>
      <c r="F90" s="1" t="inlineStr">
        <is>
          <t>Chupe</t>
        </is>
      </c>
      <c r="G90" s="52" t="n">
        <v>1</v>
      </c>
      <c r="H90" s="81" t="inlineStr">
        <is>
          <t>Porción</t>
        </is>
      </c>
      <c r="I90" s="79" t="n"/>
      <c r="J90" s="78" t="n"/>
      <c r="K90" s="79" t="n"/>
      <c r="L90" s="80" t="n"/>
      <c r="M90" s="80" t="n"/>
      <c r="N90" s="80" t="n"/>
      <c r="O90" s="20" t="n"/>
      <c r="P90" s="4" t="n"/>
      <c r="Q90" s="4" t="n"/>
    </row>
    <row r="91">
      <c r="B91" s="4" t="n"/>
      <c r="C91" s="96" t="inlineStr">
        <is>
          <t>VECARPOS006</t>
        </is>
      </c>
      <c r="D91" s="18" t="inlineStr">
        <is>
          <t>Discos de Chocolate</t>
        </is>
      </c>
      <c r="E91" s="207">
        <f>IFERROR(
IF(
INDEX($K$272:$K$977,MATCH(C91,$B$272:$B$977,0))&lt;&gt;0,
INDEX($K$272:$K$977,MATCH(C91,$B$272:$B$977,0)),
INDEX($L$272:$L$977,MATCH(C91,$B$272:$B$977,0))
),
0)</f>
        <v/>
      </c>
      <c r="F91" s="18" t="inlineStr">
        <is>
          <t>Discos de Chocolate</t>
        </is>
      </c>
      <c r="G91" s="52" t="n">
        <v>3</v>
      </c>
      <c r="H91" s="81" t="inlineStr">
        <is>
          <t>Und</t>
        </is>
      </c>
      <c r="I91" s="79" t="n"/>
      <c r="J91" s="78" t="n"/>
      <c r="K91" s="79" t="n"/>
      <c r="L91" s="80" t="n"/>
      <c r="M91" s="80" t="n"/>
      <c r="N91" s="80" t="n"/>
      <c r="O91" s="20" t="n"/>
      <c r="P91" s="4" t="n"/>
      <c r="Q91" s="4" t="n"/>
    </row>
    <row r="92">
      <c r="B92" s="4" t="n"/>
      <c r="C92" s="96" t="inlineStr">
        <is>
          <t>VECARENT004</t>
        </is>
      </c>
      <c r="D92" s="18" t="inlineStr">
        <is>
          <t>Emp Frita Mechada</t>
        </is>
      </c>
      <c r="E92" s="207">
        <f>IFERROR(
IF(
INDEX($K$272:$K$977,MATCH(C92,$B$272:$B$977,0))&lt;&gt;0,
INDEX($K$272:$K$977,MATCH(C92,$B$272:$B$977,0)),
INDEX($L$272:$L$977,MATCH(C92,$B$272:$B$977,0))
),
0)</f>
        <v/>
      </c>
      <c r="F92" s="1" t="inlineStr">
        <is>
          <t>Empanada Mechada</t>
        </is>
      </c>
      <c r="G92" s="52" t="n">
        <v>4</v>
      </c>
      <c r="H92" s="81" t="inlineStr">
        <is>
          <t>Und</t>
        </is>
      </c>
      <c r="I92" s="79" t="n"/>
      <c r="J92" s="78" t="n"/>
      <c r="K92" s="79" t="n"/>
      <c r="L92" s="80" t="n"/>
      <c r="M92" s="80" t="n"/>
      <c r="N92" s="80" t="n"/>
      <c r="O92" s="20" t="n"/>
      <c r="P92" s="4" t="n"/>
      <c r="Q92" s="4" t="n"/>
    </row>
    <row r="93">
      <c r="B93" s="4" t="n"/>
      <c r="C93" s="96" t="inlineStr">
        <is>
          <t>VECARAJT001</t>
        </is>
      </c>
      <c r="D93" s="18" t="inlineStr">
        <is>
          <t>Emp Mechada JT</t>
        </is>
      </c>
      <c r="E93" s="207">
        <f>IFERROR(
IF(
INDEX($K$272:$K$977,MATCH(C93,$B$272:$B$977,0))&lt;&gt;0,
INDEX($K$272:$K$977,MATCH(C93,$B$272:$B$977,0)),
INDEX($L$272:$L$977,MATCH(C93,$B$272:$B$977,0))
),
0)</f>
        <v/>
      </c>
      <c r="F93" s="1" t="inlineStr">
        <is>
          <t>Empanada Mechada</t>
        </is>
      </c>
      <c r="G93" s="52" t="n">
        <v>4</v>
      </c>
      <c r="H93" s="81" t="inlineStr">
        <is>
          <t>Und</t>
        </is>
      </c>
      <c r="I93" s="79" t="n"/>
      <c r="J93" s="78" t="n"/>
      <c r="K93" s="79" t="n"/>
      <c r="L93" s="80" t="n"/>
      <c r="M93" s="80" t="n"/>
      <c r="N93" s="80" t="n"/>
      <c r="O93" s="20" t="n"/>
      <c r="P93" s="4" t="n"/>
      <c r="Q93" s="4" t="n"/>
    </row>
    <row r="94">
      <c r="B94" s="4" t="n"/>
      <c r="C94" s="96" t="inlineStr">
        <is>
          <t>VECARAUB001</t>
        </is>
      </c>
      <c r="D94" s="18" t="inlineStr">
        <is>
          <t>Emp Mechada PY</t>
        </is>
      </c>
      <c r="E94" s="207">
        <f>IFERROR(
IF(
INDEX($K$272:$K$977,MATCH(C94,$B$272:$B$977,0))&lt;&gt;0,
INDEX($K$272:$K$977,MATCH(C94,$B$272:$B$977,0)),
INDEX($L$272:$L$977,MATCH(C94,$B$272:$B$977,0))
),
0)</f>
        <v/>
      </c>
      <c r="F94" s="1" t="inlineStr">
        <is>
          <t>Empanada Mechada</t>
        </is>
      </c>
      <c r="G94" s="52" t="n">
        <v>4</v>
      </c>
      <c r="H94" s="81" t="inlineStr">
        <is>
          <t>Und</t>
        </is>
      </c>
      <c r="I94" s="79" t="n"/>
      <c r="J94" s="78" t="n"/>
      <c r="K94" s="79" t="n"/>
      <c r="L94" s="80" t="n"/>
      <c r="M94" s="80" t="n"/>
      <c r="N94" s="80" t="n"/>
      <c r="O94" s="20" t="n"/>
      <c r="P94" s="4" t="n"/>
      <c r="Q94" s="4" t="n"/>
    </row>
    <row r="95">
      <c r="B95" s="4" t="n"/>
      <c r="C95" s="96" t="inlineStr">
        <is>
          <t>VECARENT035</t>
        </is>
      </c>
      <c r="D95" s="18" t="inlineStr">
        <is>
          <t>Emp Pulpo Camarón</t>
        </is>
      </c>
      <c r="E95" s="207">
        <f>IFERROR(
IF(
INDEX($K$272:$K$977,MATCH(C95,$B$272:$B$977,0))&lt;&gt;0,
INDEX($K$272:$K$977,MATCH(C95,$B$272:$B$977,0)),
INDEX($L$272:$L$977,MATCH(C95,$B$272:$B$977,0))
),
0)</f>
        <v/>
      </c>
      <c r="F95" s="1" t="inlineStr">
        <is>
          <t>Empanada Pulpo</t>
        </is>
      </c>
      <c r="G95" s="52" t="n">
        <v>4</v>
      </c>
      <c r="H95" s="81" t="inlineStr">
        <is>
          <t>Und</t>
        </is>
      </c>
      <c r="I95" s="79" t="n"/>
      <c r="J95" s="78" t="n"/>
      <c r="K95" s="79" t="n"/>
      <c r="L95" s="80" t="n"/>
      <c r="M95" s="80" t="n"/>
      <c r="N95" s="80" t="n"/>
      <c r="O95" s="20" t="n"/>
      <c r="P95" s="4" t="n"/>
      <c r="Q95" s="4" t="n"/>
    </row>
    <row r="96">
      <c r="B96" s="4" t="n"/>
      <c r="C96" s="96" t="inlineStr">
        <is>
          <t>VECARENS003</t>
        </is>
      </c>
      <c r="D96" s="18" t="inlineStr">
        <is>
          <t>Ens Atún Mango</t>
        </is>
      </c>
      <c r="E96" s="207">
        <f>IFERROR(
IF(
INDEX($K$272:$K$977,MATCH(C96,$B$272:$B$977,0))&lt;&gt;0,
INDEX($K$272:$K$977,MATCH(C96,$B$272:$B$977,0)),
INDEX($L$272:$L$977,MATCH(C96,$B$272:$B$977,0))
),
0)</f>
        <v/>
      </c>
      <c r="F96" s="1" t="inlineStr">
        <is>
          <t>Atún Steak</t>
        </is>
      </c>
      <c r="G96" s="52" t="n">
        <v>0.18</v>
      </c>
      <c r="H96" s="81" t="inlineStr">
        <is>
          <t>Kg</t>
        </is>
      </c>
      <c r="I96" s="79" t="n"/>
      <c r="J96" s="78" t="n"/>
      <c r="K96" s="79" t="n"/>
      <c r="L96" s="80" t="n"/>
      <c r="M96" s="80" t="n"/>
      <c r="N96" s="80" t="n"/>
      <c r="O96" s="20" t="n"/>
      <c r="P96" s="4" t="n"/>
      <c r="Q96" s="4" t="n"/>
    </row>
    <row r="97">
      <c r="B97" s="4" t="n"/>
      <c r="C97" s="96" t="inlineStr">
        <is>
          <t>VECAREJT001</t>
        </is>
      </c>
      <c r="D97" s="18" t="inlineStr">
        <is>
          <t>Ens Atún Mango JT</t>
        </is>
      </c>
      <c r="E97" s="207">
        <f>IFERROR(
IF(
INDEX($K$272:$K$977,MATCH(C97,$B$272:$B$977,0))&lt;&gt;0,
INDEX($K$272:$K$977,MATCH(C97,$B$272:$B$977,0)),
INDEX($L$272:$L$977,MATCH(C97,$B$272:$B$977,0))
),
0)</f>
        <v/>
      </c>
      <c r="F97" s="1" t="inlineStr">
        <is>
          <t>Atún Steak</t>
        </is>
      </c>
      <c r="G97" s="52" t="n">
        <v>0.18</v>
      </c>
      <c r="H97" s="81" t="inlineStr">
        <is>
          <t>Kg</t>
        </is>
      </c>
      <c r="I97" s="79" t="n"/>
      <c r="J97" s="78" t="n"/>
      <c r="K97" s="79" t="n"/>
      <c r="L97" s="80" t="n"/>
      <c r="M97" s="80" t="n"/>
      <c r="N97" s="80" t="n"/>
      <c r="O97" s="20" t="n"/>
      <c r="P97" s="4" t="n"/>
      <c r="Q97" s="4" t="n"/>
    </row>
    <row r="98">
      <c r="B98" s="4" t="n"/>
      <c r="C98" s="96" t="inlineStr">
        <is>
          <t>VECAREUB001</t>
        </is>
      </c>
      <c r="D98" s="18" t="inlineStr">
        <is>
          <t>Ens Atún Mango PY</t>
        </is>
      </c>
      <c r="E98" s="207">
        <f>IFERROR(
IF(
INDEX($K$272:$K$977,MATCH(C98,$B$272:$B$977,0))&lt;&gt;0,
INDEX($K$272:$K$977,MATCH(C98,$B$272:$B$977,0)),
INDEX($L$272:$L$977,MATCH(C98,$B$272:$B$977,0))
),
0)</f>
        <v/>
      </c>
      <c r="F98" s="1" t="inlineStr">
        <is>
          <t>Atún Steak</t>
        </is>
      </c>
      <c r="G98" s="52" t="n">
        <v>0.18</v>
      </c>
      <c r="H98" s="81" t="inlineStr">
        <is>
          <t>Kg</t>
        </is>
      </c>
      <c r="I98" s="79" t="n"/>
      <c r="J98" s="78" t="n"/>
      <c r="K98" s="79" t="n"/>
      <c r="L98" s="80" t="n"/>
      <c r="M98" s="80" t="n"/>
      <c r="N98" s="80" t="n"/>
      <c r="O98" s="20" t="n"/>
      <c r="P98" s="4" t="n"/>
      <c r="Q98" s="4" t="n"/>
    </row>
    <row r="99">
      <c r="B99" s="4" t="n"/>
      <c r="C99" s="96" t="inlineStr">
        <is>
          <t>VECAREJT004</t>
        </is>
      </c>
      <c r="D99" s="18" t="inlineStr">
        <is>
          <t>Ens Caprese JT</t>
        </is>
      </c>
      <c r="E99" s="207">
        <f>IFERROR(
IF(
INDEX($K$272:$K$977,MATCH(C99,$B$272:$B$977,0))&lt;&gt;0,
INDEX($K$272:$K$977,MATCH(C99,$B$272:$B$977,0)),
INDEX($L$272:$L$977,MATCH(C99,$B$272:$B$977,0))
),
0)</f>
        <v/>
      </c>
      <c r="F99" s="1" t="inlineStr">
        <is>
          <t>Queso Mozzarella</t>
        </is>
      </c>
      <c r="G99" s="52" t="n">
        <v>1</v>
      </c>
      <c r="H99" s="81" t="inlineStr">
        <is>
          <t>Und</t>
        </is>
      </c>
      <c r="I99" s="79" t="n"/>
      <c r="J99" s="78" t="n"/>
      <c r="K99" s="79" t="n"/>
      <c r="L99" s="80" t="n"/>
      <c r="M99" s="80" t="n"/>
      <c r="N99" s="80" t="n"/>
      <c r="O99" s="20" t="n"/>
      <c r="P99" s="4" t="n"/>
      <c r="Q99" s="4" t="n"/>
    </row>
    <row r="100" ht="15" customHeight="1" s="95">
      <c r="B100" s="4" t="n"/>
      <c r="C100" s="96" t="inlineStr">
        <is>
          <t>VECARENS002</t>
        </is>
      </c>
      <c r="D100" s="18" t="inlineStr">
        <is>
          <t>Ens Capresse</t>
        </is>
      </c>
      <c r="E100" s="207">
        <f>IFERROR(
IF(
INDEX($K$272:$K$977,MATCH(C100,$B$272:$B$977,0))&lt;&gt;0,
INDEX($K$272:$K$977,MATCH(C100,$B$272:$B$977,0)),
INDEX($L$272:$L$977,MATCH(C100,$B$272:$B$977,0))
),
0)</f>
        <v/>
      </c>
      <c r="F100" s="1" t="inlineStr">
        <is>
          <t>Queso Mozzarella</t>
        </is>
      </c>
      <c r="G100" s="52" t="n">
        <v>1</v>
      </c>
      <c r="H100" s="81" t="inlineStr">
        <is>
          <t>Und</t>
        </is>
      </c>
      <c r="I100" s="79" t="n"/>
      <c r="J100" s="78" t="n"/>
      <c r="K100" s="79" t="n"/>
      <c r="L100" s="80" t="n"/>
      <c r="M100" s="80" t="n"/>
      <c r="N100" s="80" t="n"/>
      <c r="O100" s="20" t="n"/>
      <c r="P100" s="4" t="n"/>
      <c r="Q100" s="4" t="n"/>
    </row>
    <row r="101" ht="15" customHeight="1" s="95">
      <c r="B101" s="4" t="n"/>
      <c r="C101" s="96" t="inlineStr">
        <is>
          <t>VECARENS023</t>
        </is>
      </c>
      <c r="D101" s="18" t="inlineStr">
        <is>
          <t>Ens Pera Queso Azul</t>
        </is>
      </c>
      <c r="E101" s="207">
        <f>IFERROR(
IF(
INDEX($K$272:$K$977,MATCH(C101,$B$272:$B$977,0))&lt;&gt;0,
INDEX($K$272:$K$977,MATCH(C101,$B$272:$B$977,0)),
INDEX($L$272:$L$977,MATCH(C101,$B$272:$B$977,0))
),
0)</f>
        <v/>
      </c>
      <c r="F101" s="1" t="inlineStr">
        <is>
          <t>Jamón serrano</t>
        </is>
      </c>
      <c r="G101" s="52" t="n">
        <v>0.04</v>
      </c>
      <c r="H101" s="81" t="inlineStr">
        <is>
          <t>Kg</t>
        </is>
      </c>
      <c r="I101" s="79" t="n"/>
      <c r="J101" s="78" t="n"/>
      <c r="K101" s="79" t="n"/>
      <c r="L101" s="80" t="n"/>
      <c r="M101" s="80" t="n"/>
      <c r="N101" s="80" t="n"/>
      <c r="O101" s="20" t="n"/>
      <c r="P101" s="4" t="n"/>
      <c r="Q101" s="4" t="n"/>
    </row>
    <row r="102" ht="15" customHeight="1" s="95">
      <c r="B102" s="4" t="n"/>
      <c r="C102" s="96" t="inlineStr">
        <is>
          <t>VECAREJT016</t>
        </is>
      </c>
      <c r="D102" s="18" t="inlineStr">
        <is>
          <t>Ens Pera Oporto JT</t>
        </is>
      </c>
      <c r="E102" s="207">
        <f>IFERROR(
IF(
INDEX($K$272:$K$977,MATCH(C102,$B$272:$B$977,0))&lt;&gt;0,
INDEX($K$272:$K$977,MATCH(C102,$B$272:$B$977,0)),
INDEX($L$272:$L$977,MATCH(C102,$B$272:$B$977,0))
),
0)</f>
        <v/>
      </c>
      <c r="F102" s="1" t="inlineStr">
        <is>
          <t>Jamón serrano</t>
        </is>
      </c>
      <c r="G102" s="52" t="n">
        <v>0.04</v>
      </c>
      <c r="H102" s="81" t="inlineStr">
        <is>
          <t>Kg</t>
        </is>
      </c>
      <c r="I102" s="79" t="n"/>
      <c r="J102" s="78" t="n"/>
      <c r="K102" s="79" t="n"/>
      <c r="L102" s="80" t="n"/>
      <c r="M102" s="80" t="n"/>
      <c r="N102" s="80" t="n"/>
      <c r="O102" s="20" t="n"/>
      <c r="P102" s="4" t="n"/>
      <c r="Q102" s="4" t="n"/>
    </row>
    <row r="103">
      <c r="B103" s="4" t="n"/>
      <c r="C103" s="96" t="inlineStr">
        <is>
          <t>VECAREUB016</t>
        </is>
      </c>
      <c r="D103" s="18" t="inlineStr">
        <is>
          <t>Ens Peras Oporto  PY</t>
        </is>
      </c>
      <c r="E103" s="207">
        <f>IFERROR(
IF(
INDEX($K$272:$K$977,MATCH(C103,$B$272:$B$977,0))&lt;&gt;0,
INDEX($K$272:$K$977,MATCH(C103,$B$272:$B$977,0)),
INDEX($L$272:$L$977,MATCH(C103,$B$272:$B$977,0))
),
0)</f>
        <v/>
      </c>
      <c r="F103" s="18" t="inlineStr">
        <is>
          <t>Jamón serrano</t>
        </is>
      </c>
      <c r="G103" s="52" t="n">
        <v>0.04</v>
      </c>
      <c r="H103" s="81" t="inlineStr">
        <is>
          <t>Kg</t>
        </is>
      </c>
      <c r="I103" s="79" t="n"/>
      <c r="J103" s="78" t="n"/>
      <c r="K103" s="79" t="n"/>
      <c r="L103" s="80" t="n"/>
      <c r="M103" s="80" t="n"/>
      <c r="N103" s="80" t="n"/>
      <c r="O103" s="20" t="n"/>
      <c r="P103" s="4" t="n"/>
      <c r="Q103" s="4" t="n"/>
    </row>
    <row r="104" ht="15" customHeight="1" s="95">
      <c r="B104" s="4" t="n"/>
      <c r="C104" s="96" t="inlineStr">
        <is>
          <t>VECARENS006</t>
        </is>
      </c>
      <c r="D104" s="18" t="inlineStr">
        <is>
          <t>Ens Salmon Q.Cabra</t>
        </is>
      </c>
      <c r="E104" s="207">
        <f>IFERROR(
IF(
INDEX($K$272:$K$977,MATCH(C104,$B$272:$B$977,0))&lt;&gt;0,
INDEX($K$272:$K$977,MATCH(C104,$B$272:$B$977,0)),
INDEX($L$272:$L$977,MATCH(C104,$B$272:$B$977,0))
),
0)</f>
        <v/>
      </c>
      <c r="F104" s="1" t="inlineStr">
        <is>
          <t>Salmón ahumado en Caliente</t>
        </is>
      </c>
      <c r="G104" s="52" t="n">
        <v>0.12</v>
      </c>
      <c r="H104" s="81" t="inlineStr">
        <is>
          <t>Kg</t>
        </is>
      </c>
      <c r="I104" s="79" t="n"/>
      <c r="J104" s="78" t="n"/>
      <c r="K104" s="79" t="n"/>
      <c r="L104" s="80" t="n"/>
      <c r="M104" s="80" t="n"/>
      <c r="N104" s="80" t="n"/>
      <c r="O104" s="20" t="n"/>
      <c r="P104" s="4" t="n"/>
      <c r="Q104" s="4" t="n"/>
    </row>
    <row r="105" ht="15" customHeight="1" s="95">
      <c r="B105" s="4" t="n"/>
      <c r="C105" s="96" t="inlineStr">
        <is>
          <t>VECAREJT003</t>
        </is>
      </c>
      <c r="D105" s="18" t="inlineStr">
        <is>
          <t>Ens Salmon Q.Cabra JT</t>
        </is>
      </c>
      <c r="E105" s="207">
        <f>IFERROR(
IF(
INDEX($K$272:$K$977,MATCH(C105,$B$272:$B$977,0))&lt;&gt;0,
INDEX($K$272:$K$977,MATCH(C105,$B$272:$B$977,0)),
INDEX($L$272:$L$977,MATCH(C105,$B$272:$B$977,0))
),
0)</f>
        <v/>
      </c>
      <c r="F105" s="1" t="inlineStr">
        <is>
          <t>Salmón ahumado en Caliente</t>
        </is>
      </c>
      <c r="G105" s="52" t="n">
        <v>0.12</v>
      </c>
      <c r="H105" s="81" t="inlineStr">
        <is>
          <t>Kg</t>
        </is>
      </c>
      <c r="I105" s="79" t="n"/>
      <c r="J105" s="78" t="n"/>
      <c r="K105" s="79" t="n"/>
      <c r="L105" s="80" t="n"/>
      <c r="M105" s="80" t="n"/>
      <c r="N105" s="80" t="n"/>
      <c r="O105" s="20" t="n"/>
      <c r="P105" s="4" t="n"/>
      <c r="Q105" s="4" t="n"/>
    </row>
    <row r="106" ht="15" customHeight="1" s="95">
      <c r="B106" s="4" t="n"/>
      <c r="C106" s="96" t="inlineStr">
        <is>
          <t>VECAREUB003</t>
        </is>
      </c>
      <c r="D106" s="18" t="inlineStr">
        <is>
          <t>Ens Salmon Q.Cabra PY</t>
        </is>
      </c>
      <c r="E106" s="207">
        <f>IFERROR(
IF(
INDEX($K$272:$K$977,MATCH(C106,$B$272:$B$977,0))&lt;&gt;0,
INDEX($K$272:$K$977,MATCH(C106,$B$272:$B$977,0)),
INDEX($L$272:$L$977,MATCH(C106,$B$272:$B$977,0))
),
0)</f>
        <v/>
      </c>
      <c r="F106" s="1" t="inlineStr">
        <is>
          <t>Salmón ahumado en Caliente</t>
        </is>
      </c>
      <c r="G106" s="52" t="n">
        <v>0.12</v>
      </c>
      <c r="H106" s="81" t="inlineStr">
        <is>
          <t>Kg</t>
        </is>
      </c>
      <c r="I106" s="79" t="n"/>
      <c r="J106" s="78" t="n"/>
      <c r="K106" s="79" t="n"/>
      <c r="L106" s="80" t="n"/>
      <c r="M106" s="80" t="n"/>
      <c r="N106" s="80" t="n"/>
      <c r="O106" s="20" t="n"/>
      <c r="P106" s="4" t="n"/>
      <c r="Q106" s="4" t="n"/>
    </row>
    <row r="107" ht="15" customHeight="1" s="95">
      <c r="B107" s="4" t="n"/>
      <c r="C107" s="96" t="inlineStr">
        <is>
          <t>VECARENS009</t>
        </is>
      </c>
      <c r="D107" s="18" t="inlineStr">
        <is>
          <t>Ens Verduras Asadas</t>
        </is>
      </c>
      <c r="E107" s="207">
        <f>IFERROR(
IF(
INDEX($K$272:$K$977,MATCH(C107,$B$272:$B$977,0))&lt;&gt;0,
INDEX($K$272:$K$977,MATCH(C107,$B$272:$B$977,0)),
INDEX($L$272:$L$977,MATCH(C107,$B$272:$B$977,0))
),
0)</f>
        <v/>
      </c>
      <c r="F107" s="1" t="inlineStr">
        <is>
          <t>Granola Salada</t>
        </is>
      </c>
      <c r="G107" s="52" t="n">
        <v>0.025</v>
      </c>
      <c r="H107" s="81" t="inlineStr">
        <is>
          <t>Kg</t>
        </is>
      </c>
      <c r="I107" s="79" t="n"/>
      <c r="J107" s="78" t="n"/>
      <c r="K107" s="79" t="n"/>
      <c r="L107" s="80" t="n"/>
      <c r="M107" s="80" t="n"/>
      <c r="N107" s="80" t="n"/>
      <c r="O107" s="20" t="n"/>
      <c r="P107" s="4" t="n"/>
      <c r="Q107" s="4" t="n"/>
    </row>
    <row r="108" ht="15" customHeight="1" s="95">
      <c r="B108" s="4" t="n"/>
      <c r="C108" s="96" t="inlineStr">
        <is>
          <t>VECAREJT015</t>
        </is>
      </c>
      <c r="D108" s="18" t="inlineStr">
        <is>
          <t>Ens Verduras Asadas JT</t>
        </is>
      </c>
      <c r="E108" s="207">
        <f>IFERROR(
IF(
INDEX($K$272:$K$977,MATCH(C108,$B$272:$B$977,0))&lt;&gt;0,
INDEX($K$272:$K$977,MATCH(C108,$B$272:$B$977,0)),
INDEX($L$272:$L$977,MATCH(C108,$B$272:$B$977,0))
),
0)</f>
        <v/>
      </c>
      <c r="F108" s="1" t="inlineStr">
        <is>
          <t>Granola Salada</t>
        </is>
      </c>
      <c r="G108" s="52" t="n">
        <v>0.025</v>
      </c>
      <c r="H108" s="81" t="inlineStr">
        <is>
          <t>Kg</t>
        </is>
      </c>
      <c r="I108" s="79" t="n"/>
      <c r="J108" s="78" t="n"/>
      <c r="K108" s="79" t="n"/>
      <c r="L108" s="80" t="n"/>
      <c r="M108" s="80" t="n"/>
      <c r="N108" s="80" t="n"/>
      <c r="O108" s="20" t="n"/>
      <c r="P108" s="4" t="n"/>
      <c r="Q108" s="4" t="n"/>
    </row>
    <row r="109" ht="15" customHeight="1" s="95">
      <c r="B109" s="4" t="n"/>
      <c r="C109" s="96" t="inlineStr">
        <is>
          <t>VECAREUB015</t>
        </is>
      </c>
      <c r="D109" s="18" t="inlineStr">
        <is>
          <t>Ens Verdura Asada PY</t>
        </is>
      </c>
      <c r="E109" s="207">
        <f>IFERROR(
IF(
INDEX($K$272:$K$977,MATCH(C109,$B$272:$B$977,0))&lt;&gt;0,
INDEX($K$272:$K$977,MATCH(C109,$B$272:$B$977,0)),
INDEX($L$272:$L$977,MATCH(C109,$B$272:$B$977,0))
),
0)</f>
        <v/>
      </c>
      <c r="F109" s="1" t="inlineStr">
        <is>
          <t>Granola Salada</t>
        </is>
      </c>
      <c r="G109" s="52" t="n">
        <v>0.025</v>
      </c>
      <c r="H109" s="81" t="inlineStr">
        <is>
          <t>Kg</t>
        </is>
      </c>
      <c r="I109" s="79" t="n"/>
      <c r="J109" s="78" t="n"/>
      <c r="K109" s="79" t="n"/>
      <c r="L109" s="80" t="n"/>
      <c r="M109" s="80" t="n"/>
      <c r="N109" s="80" t="n"/>
      <c r="O109" s="20" t="n"/>
      <c r="P109" s="4" t="n"/>
      <c r="Q109" s="4" t="n"/>
    </row>
    <row r="110" ht="15" customHeight="1" s="95">
      <c r="B110" s="4" t="n"/>
      <c r="C110" s="96" t="inlineStr">
        <is>
          <t>VECAREUB004</t>
        </is>
      </c>
      <c r="D110" s="18" t="inlineStr">
        <is>
          <t>Ens.Caprese PY</t>
        </is>
      </c>
      <c r="E110" s="207">
        <f>IFERROR(
IF(
INDEX($K$272:$K$977,MATCH(C110,$B$272:$B$977,0))&lt;&gt;0,
INDEX($K$272:$K$977,MATCH(C110,$B$272:$B$977,0)),
INDEX($L$272:$L$977,MATCH(C110,$B$272:$B$977,0))
),
0)</f>
        <v/>
      </c>
      <c r="F110" s="1" t="inlineStr">
        <is>
          <t>Queso Mozzarella</t>
        </is>
      </c>
      <c r="G110" s="52" t="n">
        <v>1</v>
      </c>
      <c r="H110" s="81" t="inlineStr">
        <is>
          <t>Und</t>
        </is>
      </c>
      <c r="I110" s="79" t="n"/>
      <c r="J110" s="78" t="n"/>
      <c r="K110" s="79" t="n"/>
      <c r="L110" s="80" t="n"/>
      <c r="M110" s="80" t="n"/>
      <c r="N110" s="80" t="n"/>
      <c r="O110" s="20" t="n"/>
      <c r="P110" s="4" t="n"/>
      <c r="Q110" s="4" t="n"/>
    </row>
    <row r="111" ht="15" customHeight="1" s="95">
      <c r="B111" s="4" t="n"/>
      <c r="C111" s="96" t="inlineStr">
        <is>
          <t>VECARFUB024</t>
        </is>
      </c>
      <c r="D111" s="18" t="inlineStr">
        <is>
          <t>Fettuccini Salsa Jamón Py</t>
        </is>
      </c>
      <c r="E111" s="207">
        <f>IFERROR(
IF(
INDEX($K$272:$K$977,MATCH(C111,$B$272:$B$977,0))&lt;&gt;0,
INDEX($K$272:$K$977,MATCH(C111,$B$272:$B$977,0)),
INDEX($L$272:$L$977,MATCH(C111,$B$272:$B$977,0))
),
0)</f>
        <v/>
      </c>
      <c r="F111" s="1" t="inlineStr">
        <is>
          <t>Jamón de Pavo</t>
        </is>
      </c>
      <c r="G111" s="52" t="n">
        <v>0.07000000000000001</v>
      </c>
      <c r="H111" s="81" t="inlineStr">
        <is>
          <t>Kg</t>
        </is>
      </c>
      <c r="I111" s="79" t="n"/>
      <c r="J111" s="78" t="n"/>
      <c r="K111" s="79" t="n"/>
      <c r="L111" s="80" t="n"/>
      <c r="M111" s="80" t="n"/>
      <c r="N111" s="80" t="n"/>
      <c r="O111" s="20" t="n"/>
      <c r="P111" s="4" t="n"/>
      <c r="Q111" s="4" t="n"/>
    </row>
    <row r="112" ht="15" customHeight="1" s="95">
      <c r="B112" s="4" t="n"/>
      <c r="C112" s="96" t="inlineStr">
        <is>
          <t>VECARNIN002</t>
        </is>
      </c>
      <c r="D112" s="18" t="inlineStr">
        <is>
          <t>Fetuccini Salsa Jamón</t>
        </is>
      </c>
      <c r="E112" s="207">
        <f>IFERROR(
IF(
INDEX($K$272:$K$977,MATCH(C112,$B$272:$B$977,0))&lt;&gt;0,
INDEX($K$272:$K$977,MATCH(C112,$B$272:$B$977,0)),
INDEX($L$272:$L$977,MATCH(C112,$B$272:$B$977,0))
),
0)</f>
        <v/>
      </c>
      <c r="F112" s="1" t="inlineStr">
        <is>
          <t>Jamón de Pavo</t>
        </is>
      </c>
      <c r="G112" s="52" t="n">
        <v>0.07000000000000001</v>
      </c>
      <c r="H112" s="81" t="inlineStr">
        <is>
          <t>Kg</t>
        </is>
      </c>
      <c r="I112" s="79" t="n"/>
      <c r="J112" s="78" t="n"/>
      <c r="K112" s="79" t="n"/>
      <c r="L112" s="80" t="n"/>
      <c r="M112" s="80" t="n"/>
      <c r="N112" s="80" t="n"/>
      <c r="O112" s="20" t="n"/>
      <c r="P112" s="4" t="n"/>
      <c r="Q112" s="4" t="n"/>
    </row>
    <row r="113" ht="15" customHeight="1" s="95">
      <c r="B113" s="4" t="n"/>
      <c r="C113" s="96" t="inlineStr">
        <is>
          <t>VECARFUB028</t>
        </is>
      </c>
      <c r="D113" s="18" t="inlineStr">
        <is>
          <t>Filete Saltado con Arroz y Papas PY</t>
        </is>
      </c>
      <c r="E113" s="207">
        <f>IFERROR(
IF(
INDEX($K$272:$K$977,MATCH(C113,$B$272:$B$977,0))&lt;&gt;0,
INDEX($K$272:$K$977,MATCH(C113,$B$272:$B$977,0)),
INDEX($L$272:$L$977,MATCH(C113,$B$272:$B$977,0))
),
0)</f>
        <v/>
      </c>
      <c r="F113" s="1" t="inlineStr">
        <is>
          <t>Filete Salteado</t>
        </is>
      </c>
      <c r="G113" s="52" t="n">
        <v>0.16</v>
      </c>
      <c r="H113" s="81" t="inlineStr">
        <is>
          <t>Kg</t>
        </is>
      </c>
      <c r="I113" s="79" t="n"/>
      <c r="J113" s="78" t="n"/>
      <c r="K113" s="79" t="n"/>
      <c r="L113" s="80" t="n"/>
      <c r="M113" s="80" t="n"/>
      <c r="N113" s="80" t="n"/>
      <c r="O113" s="20" t="n"/>
      <c r="P113" s="4" t="n"/>
      <c r="Q113" s="4" t="n"/>
    </row>
    <row r="114" ht="15" customHeight="1" s="95">
      <c r="B114" s="4" t="n"/>
      <c r="C114" s="96" t="inlineStr">
        <is>
          <t>VECARFON010</t>
        </is>
      </c>
      <c r="D114" s="18" t="inlineStr">
        <is>
          <t>Filete Salteado Fritas</t>
        </is>
      </c>
      <c r="E114" s="207">
        <f>IFERROR(
IF(
INDEX($K$272:$K$977,MATCH(C114,$B$272:$B$977,0))&lt;&gt;0,
INDEX($K$272:$K$977,MATCH(C114,$B$272:$B$977,0)),
INDEX($L$272:$L$977,MATCH(C114,$B$272:$B$977,0))
),
0)</f>
        <v/>
      </c>
      <c r="F114" s="1" t="inlineStr">
        <is>
          <t>Filete Salteado</t>
        </is>
      </c>
      <c r="G114" s="52" t="n">
        <v>0.16</v>
      </c>
      <c r="H114" s="81" t="inlineStr">
        <is>
          <t>Kg</t>
        </is>
      </c>
      <c r="I114" s="79" t="n"/>
      <c r="J114" s="78" t="n"/>
      <c r="K114" s="79" t="n"/>
      <c r="L114" s="80" t="n"/>
      <c r="M114" s="80" t="n"/>
      <c r="N114" s="80" t="n"/>
      <c r="O114" s="20" t="n"/>
      <c r="P114" s="4" t="n"/>
      <c r="Q114" s="4" t="n"/>
    </row>
    <row r="115" ht="15" customHeight="1" s="95">
      <c r="B115" s="4" t="n"/>
      <c r="C115" s="96" t="inlineStr">
        <is>
          <t>VECARPUB002</t>
        </is>
      </c>
      <c r="D115" s="18" t="inlineStr">
        <is>
          <t>Flan Caluga  PY</t>
        </is>
      </c>
      <c r="E115" s="207">
        <f>IFERROR(
IF(
INDEX($K$272:$K$977,MATCH(C115,$B$272:$B$977,0))&lt;&gt;0,
INDEX($K$272:$K$977,MATCH(C115,$B$272:$B$977,0)),
INDEX($L$272:$L$977,MATCH(C115,$B$272:$B$977,0))
),
0)</f>
        <v/>
      </c>
      <c r="F115" s="1" t="inlineStr">
        <is>
          <t>Flan de Caluga</t>
        </is>
      </c>
      <c r="G115" s="52" t="n">
        <v>1</v>
      </c>
      <c r="H115" s="81" t="inlineStr">
        <is>
          <t>Kg</t>
        </is>
      </c>
      <c r="I115" s="79" t="n"/>
      <c r="J115" s="78" t="n"/>
      <c r="K115" s="79" t="n"/>
      <c r="L115" s="80" t="n"/>
      <c r="M115" s="80" t="n"/>
      <c r="N115" s="80" t="n"/>
      <c r="O115" s="20" t="n"/>
      <c r="P115" s="4" t="n"/>
      <c r="Q115" s="4" t="n"/>
    </row>
    <row r="116" ht="15" customHeight="1" s="95">
      <c r="B116" s="4" t="n"/>
      <c r="C116" s="96" t="inlineStr">
        <is>
          <t>VECARPJT002</t>
        </is>
      </c>
      <c r="D116" s="18" t="inlineStr">
        <is>
          <t>Flan Caluga JT</t>
        </is>
      </c>
      <c r="E116" s="207">
        <f>IFERROR(
IF(
INDEX($K$272:$K$977,MATCH(C116,$B$272:$B$977,0))&lt;&gt;0,
INDEX($K$272:$K$977,MATCH(C116,$B$272:$B$977,0)),
INDEX($L$272:$L$977,MATCH(C116,$B$272:$B$977,0))
),
0)</f>
        <v/>
      </c>
      <c r="F116" s="1" t="inlineStr">
        <is>
          <t>Flan de Caluga</t>
        </is>
      </c>
      <c r="G116" s="52" t="n">
        <v>1</v>
      </c>
      <c r="H116" s="81" t="inlineStr">
        <is>
          <t>Kg</t>
        </is>
      </c>
      <c r="I116" s="79" t="n"/>
      <c r="J116" s="78" t="n"/>
      <c r="K116" s="79" t="n"/>
      <c r="L116" s="80" t="n"/>
      <c r="M116" s="80" t="n"/>
      <c r="N116" s="80" t="n"/>
      <c r="O116" s="20" t="n"/>
      <c r="P116" s="4" t="n"/>
      <c r="Q116" s="4" t="n"/>
    </row>
    <row r="117" ht="15" customHeight="1" s="95">
      <c r="B117" s="4" t="n"/>
      <c r="C117" s="96" t="inlineStr">
        <is>
          <t>VECARPOS007</t>
        </is>
      </c>
      <c r="D117" s="18" t="inlineStr">
        <is>
          <t>Flan de Caluga</t>
        </is>
      </c>
      <c r="E117" s="207">
        <f>IFERROR(
IF(
INDEX($K$272:$K$977,MATCH(C117,$B$272:$B$977,0))&lt;&gt;0,
INDEX($K$272:$K$977,MATCH(C117,$B$272:$B$977,0)),
INDEX($L$272:$L$977,MATCH(C117,$B$272:$B$977,0))
),
0)</f>
        <v/>
      </c>
      <c r="F117" s="1" t="inlineStr">
        <is>
          <t>Flan de Caluga</t>
        </is>
      </c>
      <c r="G117" s="52" t="n">
        <v>1</v>
      </c>
      <c r="H117" s="81" t="inlineStr">
        <is>
          <t>Kg</t>
        </is>
      </c>
      <c r="I117" s="79" t="n"/>
      <c r="J117" s="78" t="n"/>
      <c r="K117" s="79" t="n"/>
      <c r="L117" s="80" t="n"/>
      <c r="M117" s="80" t="n"/>
      <c r="N117" s="80" t="n"/>
      <c r="O117" s="20" t="n"/>
      <c r="P117" s="4" t="n"/>
      <c r="Q117" s="4" t="n"/>
    </row>
    <row r="118" ht="15" customHeight="1" s="95">
      <c r="B118" s="4" t="n"/>
      <c r="C118" s="96" t="inlineStr">
        <is>
          <t>VECARNIN004</t>
        </is>
      </c>
      <c r="D118" s="18" t="inlineStr">
        <is>
          <t>Hamburguesa Niños</t>
        </is>
      </c>
      <c r="E118" s="207">
        <f>IFERROR(
IF(
INDEX($K$272:$K$977,MATCH(C118,$B$272:$B$977,0))&lt;&gt;0,
INDEX($K$272:$K$977,MATCH(C118,$B$272:$B$977,0)),
INDEX($L$272:$L$977,MATCH(C118,$B$272:$B$977,0))
),
0)</f>
        <v/>
      </c>
      <c r="F118" s="1" t="inlineStr">
        <is>
          <t>Hamburguesas</t>
        </is>
      </c>
      <c r="G118" s="52" t="n">
        <v>0.2</v>
      </c>
      <c r="H118" s="81" t="inlineStr">
        <is>
          <t>Kg</t>
        </is>
      </c>
      <c r="I118" s="79" t="n"/>
      <c r="J118" s="78" t="n"/>
      <c r="K118" s="79" t="n"/>
      <c r="L118" s="80" t="n"/>
      <c r="M118" s="80" t="n"/>
      <c r="N118" s="80" t="n"/>
      <c r="O118" s="20" t="n"/>
      <c r="P118" s="4" t="n"/>
      <c r="Q118" s="4" t="n"/>
    </row>
    <row r="119" ht="15" customHeight="1" s="95">
      <c r="B119" s="4" t="n"/>
      <c r="C119" s="96" t="inlineStr">
        <is>
          <t>VECARFON088</t>
        </is>
      </c>
      <c r="D119" s="18" t="inlineStr">
        <is>
          <t>Hojaldre de Carne Desmechada</t>
        </is>
      </c>
      <c r="E119" s="207">
        <f>IFERROR(
IF(
INDEX($K$272:$K$977,MATCH(C119,$B$272:$B$977,0))&lt;&gt;0,
INDEX($K$272:$K$977,MATCH(C119,$B$272:$B$977,0)),
INDEX($L$272:$L$977,MATCH(C119,$B$272:$B$977,0))
),
0)</f>
        <v/>
      </c>
      <c r="F119" s="1" t="inlineStr">
        <is>
          <t>Ganso</t>
        </is>
      </c>
      <c r="G119" s="52" t="n">
        <v>0.12</v>
      </c>
      <c r="H119" s="81" t="inlineStr">
        <is>
          <t>Kg</t>
        </is>
      </c>
      <c r="I119" s="79" t="n"/>
      <c r="J119" s="78" t="n"/>
      <c r="K119" s="79" t="n"/>
      <c r="L119" s="80" t="n"/>
      <c r="M119" s="80" t="n"/>
      <c r="N119" s="80" t="n"/>
      <c r="O119" s="20" t="n"/>
      <c r="P119" s="4" t="n"/>
      <c r="Q119" s="4" t="n"/>
    </row>
    <row r="120" ht="15" customHeight="1" s="95">
      <c r="B120" s="4" t="n"/>
      <c r="C120" s="96" t="inlineStr">
        <is>
          <t>VECARFON048</t>
        </is>
      </c>
      <c r="D120" s="18" t="inlineStr">
        <is>
          <t>Lasagna Ragout</t>
        </is>
      </c>
      <c r="E120" s="207">
        <f>IFERROR(
IF(
INDEX($K$272:$K$977,MATCH(C120,$B$272:$B$977,0))&lt;&gt;0,
INDEX($K$272:$K$977,MATCH(C120,$B$272:$B$977,0)),
INDEX($L$272:$L$977,MATCH(C120,$B$272:$B$977,0))
),
0)</f>
        <v/>
      </c>
      <c r="F120" s="1" t="inlineStr">
        <is>
          <t>Lasagna de Berenjenas</t>
        </is>
      </c>
      <c r="G120" s="52" t="n">
        <v>1</v>
      </c>
      <c r="H120" s="81" t="inlineStr">
        <is>
          <t>Porción</t>
        </is>
      </c>
      <c r="I120" s="79" t="n"/>
      <c r="J120" s="78" t="n"/>
      <c r="K120" s="79" t="n"/>
      <c r="L120" s="80" t="n"/>
      <c r="M120" s="80" t="n"/>
      <c r="N120" s="80" t="n"/>
      <c r="O120" s="20" t="n"/>
      <c r="P120" s="4" t="n"/>
      <c r="Q120" s="4" t="n"/>
    </row>
    <row r="121" ht="15" customHeight="1" s="95">
      <c r="B121" s="4" t="n"/>
      <c r="C121" s="96" t="inlineStr">
        <is>
          <t>VECARFON066</t>
        </is>
      </c>
      <c r="D121" s="18" t="inlineStr">
        <is>
          <t>Lomo Liso con Risotto Funghi</t>
        </is>
      </c>
      <c r="E121" s="207">
        <f>IFERROR(
IF(
INDEX($K$272:$K$977,MATCH(C121,$B$272:$B$977,0))&lt;&gt;0,
INDEX($K$272:$K$977,MATCH(C121,$B$272:$B$977,0)),
INDEX($L$272:$L$977,MATCH(C121,$B$272:$B$977,0))
),
0)</f>
        <v/>
      </c>
      <c r="F121" s="1" t="inlineStr">
        <is>
          <t>Lomo liso</t>
        </is>
      </c>
      <c r="G121" s="52" t="n">
        <v>0.18</v>
      </c>
      <c r="H121" s="81" t="inlineStr">
        <is>
          <t>Kg</t>
        </is>
      </c>
      <c r="I121" s="79" t="n"/>
      <c r="J121" s="78" t="n"/>
      <c r="K121" s="79" t="n"/>
      <c r="L121" s="80" t="n"/>
      <c r="M121" s="80" t="n"/>
      <c r="N121" s="80" t="n"/>
      <c r="O121" s="20" t="n"/>
      <c r="P121" s="4" t="n"/>
      <c r="Q121" s="4" t="n"/>
    </row>
    <row r="122" ht="15" customHeight="1" s="95">
      <c r="B122" s="4" t="n"/>
      <c r="C122" s="96" t="inlineStr">
        <is>
          <t>VECARFUB035</t>
        </is>
      </c>
      <c r="D122" s="18" t="inlineStr">
        <is>
          <t>Lomo Liso con Risotto Funghi PY</t>
        </is>
      </c>
      <c r="E122" s="207">
        <f>IFERROR(
IF(
INDEX($K$272:$K$977,MATCH(C122,$B$272:$B$977,0))&lt;&gt;0,
INDEX($K$272:$K$977,MATCH(C122,$B$272:$B$977,0)),
INDEX($L$272:$L$977,MATCH(C122,$B$272:$B$977,0))
),
0)</f>
        <v/>
      </c>
      <c r="F122" s="1" t="inlineStr">
        <is>
          <t>Lomo liso</t>
        </is>
      </c>
      <c r="G122" s="52" t="n">
        <v>0.18</v>
      </c>
      <c r="H122" s="81" t="inlineStr">
        <is>
          <t>Kg</t>
        </is>
      </c>
      <c r="I122" s="79" t="n"/>
      <c r="J122" s="78" t="n"/>
      <c r="K122" s="79" t="n"/>
      <c r="L122" s="80" t="n"/>
      <c r="M122" s="80" t="n"/>
      <c r="N122" s="80" t="n"/>
      <c r="O122" s="20" t="n"/>
      <c r="P122" s="4" t="n"/>
      <c r="Q122" s="4" t="n"/>
    </row>
    <row r="123" ht="15" customHeight="1" s="95">
      <c r="B123" s="4" t="n"/>
      <c r="C123" s="96" t="inlineStr">
        <is>
          <t>VECARFON012</t>
        </is>
      </c>
      <c r="D123" s="18" t="inlineStr">
        <is>
          <t>Merluza Austral</t>
        </is>
      </c>
      <c r="E123" s="207">
        <f>IFERROR(
IF(
INDEX($K$272:$K$977,MATCH(C123,$B$272:$B$977,0))&lt;&gt;0,
INDEX($K$272:$K$977,MATCH(C123,$B$272:$B$977,0)),
INDEX($L$272:$L$977,MATCH(C123,$B$272:$B$977,0))
),
0)</f>
        <v/>
      </c>
      <c r="F123" s="1" t="inlineStr">
        <is>
          <t>Merluza</t>
        </is>
      </c>
      <c r="G123" s="52" t="n">
        <v>0.18</v>
      </c>
      <c r="H123" s="81" t="inlineStr">
        <is>
          <t>Kg</t>
        </is>
      </c>
      <c r="I123" s="79" t="n"/>
      <c r="J123" s="78" t="n"/>
      <c r="K123" s="79" t="n"/>
      <c r="L123" s="80" t="n"/>
      <c r="M123" s="80" t="n"/>
      <c r="N123" s="80" t="n"/>
      <c r="O123" s="20" t="n"/>
      <c r="P123" s="4" t="n"/>
      <c r="Q123" s="4" t="n"/>
    </row>
    <row r="124" ht="15" customHeight="1" s="95">
      <c r="B124" s="4" t="n"/>
      <c r="C124" s="96" t="inlineStr">
        <is>
          <t>VECARFJT027</t>
        </is>
      </c>
      <c r="D124" s="18" t="inlineStr">
        <is>
          <t>Merluza Austral JT</t>
        </is>
      </c>
      <c r="E124" s="207">
        <f>IFERROR(
IF(
INDEX($K$272:$K$977,MATCH(C124,$B$272:$B$977,0))&lt;&gt;0,
INDEX($K$272:$K$977,MATCH(C124,$B$272:$B$977,0)),
INDEX($L$272:$L$977,MATCH(C124,$B$272:$B$977,0))
),
0)</f>
        <v/>
      </c>
      <c r="F124" s="1" t="inlineStr">
        <is>
          <t>Merluza</t>
        </is>
      </c>
      <c r="G124" s="52" t="n">
        <v>0.18</v>
      </c>
      <c r="H124" s="81" t="inlineStr">
        <is>
          <t>Kg</t>
        </is>
      </c>
      <c r="I124" s="79" t="n"/>
      <c r="J124" s="78" t="n"/>
      <c r="K124" s="79" t="n"/>
      <c r="L124" s="80" t="n"/>
      <c r="M124" s="80" t="n"/>
      <c r="N124" s="80" t="n"/>
      <c r="O124" s="20" t="n"/>
      <c r="P124" s="4" t="n"/>
      <c r="Q124" s="4" t="n"/>
    </row>
    <row r="125" ht="15" customHeight="1" s="95">
      <c r="B125" s="4" t="n"/>
      <c r="C125" s="96" t="inlineStr">
        <is>
          <t>VECARFUB027</t>
        </is>
      </c>
      <c r="D125" s="18" t="inlineStr">
        <is>
          <t>Merluza Austral PY</t>
        </is>
      </c>
      <c r="E125" s="207">
        <f>IFERROR(
IF(
INDEX($K$272:$K$977,MATCH(C125,$B$272:$B$977,0))&lt;&gt;0,
INDEX($K$272:$K$977,MATCH(C125,$B$272:$B$977,0)),
INDEX($L$272:$L$977,MATCH(C125,$B$272:$B$977,0))
),
0)</f>
        <v/>
      </c>
      <c r="F125" s="1" t="inlineStr">
        <is>
          <t>Merluza</t>
        </is>
      </c>
      <c r="G125" s="52" t="n">
        <v>0.18</v>
      </c>
      <c r="H125" s="81" t="inlineStr">
        <is>
          <t>Kg</t>
        </is>
      </c>
      <c r="I125" s="79" t="n"/>
      <c r="J125" s="78" t="n"/>
      <c r="K125" s="79" t="n"/>
      <c r="L125" s="80" t="n"/>
      <c r="M125" s="80" t="n"/>
      <c r="N125" s="80" t="n"/>
      <c r="O125" s="20" t="n"/>
      <c r="P125" s="4" t="n"/>
      <c r="Q125" s="4" t="n"/>
    </row>
    <row r="126" ht="15" customHeight="1" s="95">
      <c r="B126" s="4" t="n"/>
      <c r="C126" s="96" t="inlineStr">
        <is>
          <t>VECARENT042</t>
        </is>
      </c>
      <c r="D126" s="18" t="inlineStr">
        <is>
          <t>Ostiones con Cebolla</t>
        </is>
      </c>
      <c r="E126" s="207">
        <f>IFERROR(
IF(
INDEX($K$272:$K$977,MATCH(C126,$B$272:$B$977,0))&lt;&gt;0,
INDEX($K$272:$K$977,MATCH(C126,$B$272:$B$977,0)),
INDEX($L$272:$L$977,MATCH(C126,$B$272:$B$977,0))
),
0)</f>
        <v/>
      </c>
      <c r="F126" s="1" t="inlineStr">
        <is>
          <t>Ostiones</t>
        </is>
      </c>
      <c r="G126" s="52" t="n">
        <v>1</v>
      </c>
      <c r="H126" s="81" t="inlineStr">
        <is>
          <t>Kg</t>
        </is>
      </c>
      <c r="I126" s="79" t="n"/>
      <c r="J126" s="78" t="n"/>
      <c r="K126" s="79" t="n"/>
      <c r="L126" s="80" t="n"/>
      <c r="M126" s="80" t="n"/>
      <c r="N126" s="80" t="n"/>
      <c r="O126" s="20" t="n"/>
      <c r="P126" s="4" t="n"/>
      <c r="Q126" s="4" t="n"/>
    </row>
    <row r="127" ht="15" customHeight="1" s="95">
      <c r="B127" s="4" t="n"/>
      <c r="C127" s="96" t="inlineStr">
        <is>
          <t>VECARFON068</t>
        </is>
      </c>
      <c r="D127" s="18" t="inlineStr">
        <is>
          <t>Paila de Carne Mechada</t>
        </is>
      </c>
      <c r="E127" s="207">
        <f>IFERROR(
IF(
INDEX($K$272:$K$977,MATCH(C127,$B$272:$B$977,0))&lt;&gt;0,
INDEX($K$272:$K$977,MATCH(C127,$B$272:$B$977,0)),
INDEX($L$272:$L$977,MATCH(C127,$B$272:$B$977,0))
),
0)</f>
        <v/>
      </c>
      <c r="F127" s="18" t="inlineStr">
        <is>
          <t>Ganso</t>
        </is>
      </c>
      <c r="G127" s="52" t="n">
        <v>0.12</v>
      </c>
      <c r="H127" s="81" t="inlineStr">
        <is>
          <t>Kg</t>
        </is>
      </c>
      <c r="I127" s="79" t="n"/>
      <c r="J127" s="78" t="n"/>
      <c r="K127" s="79" t="n"/>
      <c r="L127" s="80" t="n"/>
      <c r="M127" s="80" t="n"/>
      <c r="N127" s="80" t="n"/>
      <c r="O127" s="20" t="n"/>
      <c r="P127" s="4" t="n"/>
      <c r="Q127" s="4" t="n"/>
    </row>
    <row r="128" ht="15" customHeight="1" s="95">
      <c r="B128" s="4" t="n"/>
      <c r="C128" s="96" t="inlineStr">
        <is>
          <t>VECARFUB011</t>
        </is>
      </c>
      <c r="D128" s="18" t="inlineStr">
        <is>
          <t>Plateada Pastel PY</t>
        </is>
      </c>
      <c r="E128" s="207">
        <f>IFERROR(
IF(
INDEX($K$272:$K$977,MATCH(C128,$B$272:$B$977,0))&lt;&gt;0,
INDEX($K$272:$K$977,MATCH(C128,$B$272:$B$977,0)),
INDEX($L$272:$L$977,MATCH(C128,$B$272:$B$977,0))
),
0)</f>
        <v/>
      </c>
      <c r="F128" s="1" t="inlineStr">
        <is>
          <t>Plateada</t>
        </is>
      </c>
      <c r="G128" s="52" t="n">
        <v>0.18</v>
      </c>
      <c r="H128" s="81" t="inlineStr">
        <is>
          <t>Kg</t>
        </is>
      </c>
      <c r="I128" s="79" t="n"/>
      <c r="J128" s="78" t="n"/>
      <c r="K128" s="79" t="n"/>
      <c r="L128" s="80" t="n"/>
      <c r="M128" s="80" t="n"/>
      <c r="N128" s="80" t="n"/>
      <c r="O128" s="20" t="n"/>
      <c r="P128" s="4" t="n"/>
      <c r="Q128" s="4" t="n"/>
    </row>
    <row r="129" ht="15" customHeight="1" s="95">
      <c r="B129" s="4" t="n"/>
      <c r="C129" s="96" t="inlineStr">
        <is>
          <t>VECARFJT011</t>
        </is>
      </c>
      <c r="D129" s="18" t="inlineStr">
        <is>
          <t>Plateada Pastele JT</t>
        </is>
      </c>
      <c r="E129" s="207">
        <f>IFERROR(
IF(
INDEX($K$272:$K$977,MATCH(C129,$B$272:$B$977,0))&lt;&gt;0,
INDEX($K$272:$K$977,MATCH(C129,$B$272:$B$977,0)),
INDEX($L$272:$L$977,MATCH(C129,$B$272:$B$977,0))
),
0)</f>
        <v/>
      </c>
      <c r="F129" s="1" t="inlineStr">
        <is>
          <t>Plateada</t>
        </is>
      </c>
      <c r="G129" s="52" t="n">
        <v>0.18</v>
      </c>
      <c r="H129" s="81" t="inlineStr">
        <is>
          <t>Kg</t>
        </is>
      </c>
      <c r="I129" s="79" t="n"/>
      <c r="J129" s="78" t="n"/>
      <c r="K129" s="79" t="n"/>
      <c r="L129" s="80" t="n"/>
      <c r="M129" s="80" t="n"/>
      <c r="N129" s="80" t="n"/>
      <c r="O129" s="20" t="n"/>
      <c r="P129" s="4" t="n"/>
      <c r="Q129" s="4" t="n"/>
    </row>
    <row r="130" ht="15" customHeight="1" s="95">
      <c r="B130" s="4" t="n"/>
      <c r="C130" s="96" t="inlineStr">
        <is>
          <t>VECARFON017</t>
        </is>
      </c>
      <c r="D130" s="18" t="inlineStr">
        <is>
          <t>Plateada Pastelera</t>
        </is>
      </c>
      <c r="E130" s="207">
        <f>IFERROR(
IF(
INDEX($K$272:$K$977,MATCH(C130,$B$272:$B$977,0))&lt;&gt;0,
INDEX($K$272:$K$977,MATCH(C130,$B$272:$B$977,0)),
INDEX($L$272:$L$977,MATCH(C130,$B$272:$B$977,0))
),
0)</f>
        <v/>
      </c>
      <c r="F130" s="1" t="inlineStr">
        <is>
          <t>Plateada</t>
        </is>
      </c>
      <c r="G130" s="52" t="n">
        <v>0.18</v>
      </c>
      <c r="H130" s="81" t="inlineStr">
        <is>
          <t>Kg</t>
        </is>
      </c>
      <c r="I130" s="79" t="n"/>
      <c r="J130" s="78" t="n"/>
      <c r="K130" s="79" t="n"/>
      <c r="L130" s="80" t="n"/>
      <c r="M130" s="80" t="n"/>
      <c r="N130" s="80" t="n"/>
      <c r="O130" s="20" t="n"/>
      <c r="P130" s="4" t="n"/>
      <c r="Q130" s="4" t="n"/>
    </row>
    <row r="131" ht="15" customHeight="1" s="95">
      <c r="B131" s="4" t="n"/>
      <c r="C131" s="96" t="inlineStr">
        <is>
          <t>VECARPRU089</t>
        </is>
      </c>
      <c r="D131" s="18" t="inlineStr">
        <is>
          <t>Promo Ens. Jamón Serrano + Beb. PY</t>
        </is>
      </c>
      <c r="E131" s="207">
        <f>IFERROR(
IF(
INDEX($K$272:$K$977,MATCH(C131,$B$272:$B$977,0))&lt;&gt;0,
INDEX($K$272:$K$977,MATCH(C131,$B$272:$B$977,0)),
INDEX($L$272:$L$977,MATCH(C131,$B$272:$B$977,0))
),
0)</f>
        <v/>
      </c>
      <c r="F131" s="1" t="inlineStr">
        <is>
          <t>Jamón serrano</t>
        </is>
      </c>
      <c r="G131" s="52" t="n">
        <v>0.04</v>
      </c>
      <c r="H131" s="81" t="inlineStr">
        <is>
          <t>Kg</t>
        </is>
      </c>
      <c r="I131" s="79" t="n"/>
      <c r="J131" s="78" t="n"/>
      <c r="K131" s="79" t="n"/>
      <c r="L131" s="80" t="n"/>
      <c r="M131" s="80" t="n"/>
      <c r="N131" s="80" t="n"/>
      <c r="O131" s="20" t="n"/>
      <c r="P131" s="4" t="n"/>
      <c r="Q131" s="4" t="n"/>
    </row>
    <row r="132" ht="15" customHeight="1" s="95">
      <c r="B132" s="4" t="n"/>
      <c r="C132" s="96" t="inlineStr">
        <is>
          <t>VECARFON054</t>
        </is>
      </c>
      <c r="D132" s="18" t="inlineStr">
        <is>
          <t>Pulpo Mote</t>
        </is>
      </c>
      <c r="E132" s="207">
        <f>IFERROR(
IF(
INDEX($K$272:$K$977,MATCH(C132,$B$272:$B$977,0))&lt;&gt;0,
INDEX($K$272:$K$977,MATCH(C132,$B$272:$B$977,0)),
INDEX($L$272:$L$977,MATCH(C132,$B$272:$B$977,0))
),
0)</f>
        <v/>
      </c>
      <c r="F132" s="18" t="inlineStr">
        <is>
          <t>Pulpo</t>
        </is>
      </c>
      <c r="G132" s="52" t="n">
        <v>0.145</v>
      </c>
      <c r="H132" s="81" t="inlineStr">
        <is>
          <t>Kg</t>
        </is>
      </c>
      <c r="I132" s="79" t="n"/>
      <c r="J132" s="78" t="n"/>
      <c r="K132" s="79" t="n"/>
      <c r="L132" s="80" t="n"/>
      <c r="M132" s="80" t="n"/>
      <c r="N132" s="80" t="n"/>
      <c r="O132" s="20" t="n"/>
      <c r="P132" s="4" t="n"/>
      <c r="Q132" s="4" t="n"/>
    </row>
    <row r="133" ht="15" customHeight="1" s="95">
      <c r="B133" s="4" t="n"/>
      <c r="C133" s="96" t="inlineStr">
        <is>
          <t>VECARFON085</t>
        </is>
      </c>
      <c r="D133" s="18" t="inlineStr">
        <is>
          <t>Rigatoni con Ragout de Filete</t>
        </is>
      </c>
      <c r="E133" s="207">
        <f>IFERROR(
IF(
INDEX($K$272:$K$977,MATCH(C133,$B$272:$B$977,0))&lt;&gt;0,
INDEX($K$272:$K$977,MATCH(C133,$B$272:$B$977,0)),
INDEX($L$272:$L$977,MATCH(C133,$B$272:$B$977,0))
),
0)</f>
        <v/>
      </c>
      <c r="F133" s="18" t="inlineStr">
        <is>
          <t>Ragout Rigatoni</t>
        </is>
      </c>
      <c r="G133" s="52" t="n">
        <v>0.15</v>
      </c>
      <c r="H133" s="81" t="inlineStr">
        <is>
          <t>Kg</t>
        </is>
      </c>
      <c r="I133" s="79" t="n"/>
      <c r="J133" s="78" t="n"/>
      <c r="K133" s="79" t="n"/>
      <c r="L133" s="80" t="n"/>
      <c r="M133" s="80" t="n"/>
      <c r="N133" s="80" t="n"/>
      <c r="O133" s="20" t="n"/>
      <c r="P133" s="4" t="n"/>
      <c r="Q133" s="4" t="n"/>
    </row>
    <row r="134" ht="15" customHeight="1" s="95">
      <c r="B134" s="4" t="n"/>
      <c r="C134" s="96" t="inlineStr">
        <is>
          <t>VECARSND012</t>
        </is>
      </c>
      <c r="D134" s="18" t="inlineStr">
        <is>
          <t>Sándwich de Filete Italiano</t>
        </is>
      </c>
      <c r="E134" s="207">
        <f>IFERROR(
IF(
INDEX($K$272:$K$977,MATCH(C134,$B$272:$B$977,0))&lt;&gt;0,
INDEX($K$272:$K$977,MATCH(C134,$B$272:$B$977,0)),
INDEX($L$272:$L$977,MATCH(C134,$B$272:$B$977,0))
),
0)</f>
        <v/>
      </c>
      <c r="F134" s="18" t="inlineStr">
        <is>
          <t>Filete para churrasco</t>
        </is>
      </c>
      <c r="G134" s="52" t="n">
        <v>0.12</v>
      </c>
      <c r="H134" s="81" t="inlineStr">
        <is>
          <t>Kg</t>
        </is>
      </c>
      <c r="I134" s="79" t="n"/>
      <c r="J134" s="78" t="n"/>
      <c r="K134" s="79" t="n"/>
      <c r="L134" s="80" t="n"/>
      <c r="M134" s="80" t="n"/>
      <c r="N134" s="80" t="n"/>
      <c r="O134" s="20" t="n"/>
      <c r="P134" s="4" t="n"/>
      <c r="Q134" s="4" t="n"/>
    </row>
    <row r="135" ht="15" customHeight="1" s="95">
      <c r="B135" s="4" t="n"/>
      <c r="C135" s="96" t="inlineStr">
        <is>
          <t>VECARFON020</t>
        </is>
      </c>
      <c r="D135" s="18" t="inlineStr">
        <is>
          <t>Salmon Cancato</t>
        </is>
      </c>
      <c r="E135" s="207">
        <f>IFERROR(
IF(
INDEX($K$272:$K$977,MATCH(C135,$B$272:$B$977,0))&lt;&gt;0,
INDEX($K$272:$K$977,MATCH(C135,$B$272:$B$977,0)),
INDEX($L$272:$L$977,MATCH(C135,$B$272:$B$977,0))
),
0)</f>
        <v/>
      </c>
      <c r="F135" s="1" t="inlineStr">
        <is>
          <t>Salmón cancato</t>
        </is>
      </c>
      <c r="G135" s="52" t="n">
        <v>0.16</v>
      </c>
      <c r="H135" s="81" t="inlineStr">
        <is>
          <t>Kg</t>
        </is>
      </c>
      <c r="I135" s="79" t="n"/>
      <c r="J135" s="78" t="n"/>
      <c r="K135" s="79" t="n"/>
      <c r="L135" s="80" t="n"/>
      <c r="M135" s="80" t="n"/>
      <c r="N135" s="80" t="n"/>
      <c r="O135" s="20" t="n"/>
      <c r="P135" s="4" t="n"/>
      <c r="Q135" s="4" t="n"/>
    </row>
    <row r="136" ht="15" customHeight="1" s="95">
      <c r="B136" s="4" t="n"/>
      <c r="C136" s="96" t="inlineStr">
        <is>
          <t>VECARFJT006</t>
        </is>
      </c>
      <c r="D136" s="18" t="inlineStr">
        <is>
          <t>Salmon Cancato JT</t>
        </is>
      </c>
      <c r="E136" s="207">
        <f>IFERROR(
IF(
INDEX($K$272:$K$977,MATCH(C136,$B$272:$B$977,0))&lt;&gt;0,
INDEX($K$272:$K$977,MATCH(C136,$B$272:$B$977,0)),
INDEX($L$272:$L$977,MATCH(C136,$B$272:$B$977,0))
),
0)</f>
        <v/>
      </c>
      <c r="F136" s="1" t="inlineStr">
        <is>
          <t>Salmón cancato</t>
        </is>
      </c>
      <c r="G136" s="52" t="n">
        <v>0.16</v>
      </c>
      <c r="H136" s="81" t="inlineStr">
        <is>
          <t>Kg</t>
        </is>
      </c>
      <c r="I136" s="79" t="n"/>
      <c r="J136" s="78" t="n"/>
      <c r="K136" s="79" t="n"/>
      <c r="L136" s="80" t="n"/>
      <c r="M136" s="80" t="n"/>
      <c r="N136" s="80" t="n"/>
      <c r="O136" s="20" t="n"/>
      <c r="P136" s="4" t="n"/>
      <c r="Q136" s="4" t="n"/>
    </row>
    <row r="137" ht="15" customHeight="1" s="95">
      <c r="B137" s="4" t="n"/>
      <c r="C137" s="96" t="inlineStr">
        <is>
          <t>VECARFUB006</t>
        </is>
      </c>
      <c r="D137" s="18" t="inlineStr">
        <is>
          <t>Salmon Cancato PY</t>
        </is>
      </c>
      <c r="E137" s="207">
        <f>IFERROR(
IF(
INDEX($K$272:$K$977,MATCH(C137,$B$272:$B$977,0))&lt;&gt;0,
INDEX($K$272:$K$977,MATCH(C137,$B$272:$B$977,0)),
INDEX($L$272:$L$977,MATCH(C137,$B$272:$B$977,0))
),
0)</f>
        <v/>
      </c>
      <c r="F137" s="1" t="inlineStr">
        <is>
          <t>Salmón cancato</t>
        </is>
      </c>
      <c r="G137" s="52" t="n">
        <v>0.16</v>
      </c>
      <c r="H137" s="81" t="inlineStr">
        <is>
          <t>Kg</t>
        </is>
      </c>
      <c r="I137" s="79" t="n"/>
      <c r="J137" s="78" t="n"/>
      <c r="K137" s="79" t="n"/>
      <c r="L137" s="80" t="n"/>
      <c r="M137" s="80" t="n"/>
      <c r="N137" s="80" t="n"/>
      <c r="O137" s="20" t="n"/>
      <c r="P137" s="4" t="n"/>
      <c r="Q137" s="4" t="n"/>
    </row>
    <row r="138" ht="15" customHeight="1" s="95">
      <c r="B138" s="4" t="n"/>
      <c r="C138" s="96" t="inlineStr">
        <is>
          <t>VECARFON021</t>
        </is>
      </c>
      <c r="D138" s="18" t="inlineStr">
        <is>
          <t>Sorrentino Mechada</t>
        </is>
      </c>
      <c r="E138" s="207">
        <f>IFERROR(
IF(
INDEX($K$272:$K$977,MATCH(C138,$B$272:$B$977,0))&lt;&gt;0,
INDEX($K$272:$K$977,MATCH(C138,$B$272:$B$977,0)),
INDEX($L$272:$L$977,MATCH(C138,$B$272:$B$977,0))
),
0)</f>
        <v/>
      </c>
      <c r="F138" s="1" t="inlineStr">
        <is>
          <t>Sorrentinos carne mechada</t>
        </is>
      </c>
      <c r="G138" s="52" t="n">
        <v>1</v>
      </c>
      <c r="H138" s="81" t="inlineStr">
        <is>
          <t>Und</t>
        </is>
      </c>
      <c r="I138" s="79" t="n"/>
      <c r="J138" s="78" t="n"/>
      <c r="K138" s="79" t="n"/>
      <c r="L138" s="80" t="n"/>
      <c r="M138" s="80" t="n"/>
      <c r="N138" s="80" t="n"/>
      <c r="O138" s="20" t="n"/>
      <c r="P138" s="4" t="n"/>
      <c r="Q138" s="4" t="n"/>
    </row>
    <row r="139" ht="15" customHeight="1" s="95">
      <c r="B139" s="4" t="n"/>
      <c r="C139" s="96" t="inlineStr">
        <is>
          <t>VECARFON022</t>
        </is>
      </c>
      <c r="D139" s="18" t="inlineStr">
        <is>
          <t>Sorrentino Zapallo</t>
        </is>
      </c>
      <c r="E139" s="207">
        <f>IFERROR(
IF(
INDEX($K$272:$K$977,MATCH(C139,$B$272:$B$977,0))&lt;&gt;0,
INDEX($K$272:$K$977,MATCH(C139,$B$272:$B$977,0)),
INDEX($L$272:$L$977,MATCH(C139,$B$272:$B$977,0))
),
0)</f>
        <v/>
      </c>
      <c r="F139" s="1" t="inlineStr">
        <is>
          <t>Sorrentinos zapallo</t>
        </is>
      </c>
      <c r="G139" s="52" t="n">
        <v>1</v>
      </c>
      <c r="H139" s="81" t="inlineStr">
        <is>
          <t>Und</t>
        </is>
      </c>
      <c r="I139" s="79" t="n"/>
      <c r="J139" s="78" t="n"/>
      <c r="K139" s="79" t="n"/>
      <c r="L139" s="80" t="n"/>
      <c r="M139" s="80" t="n"/>
      <c r="N139" s="80" t="n"/>
      <c r="O139" s="20" t="n"/>
      <c r="P139" s="4" t="n"/>
      <c r="Q139" s="4" t="n"/>
    </row>
    <row r="140" ht="15" customHeight="1" s="95">
      <c r="B140" s="4" t="n"/>
      <c r="C140" s="96" t="inlineStr">
        <is>
          <t>VECARFUB036</t>
        </is>
      </c>
      <c r="D140" s="18" t="inlineStr">
        <is>
          <t>Sorrentinos de Carne Mechada PY</t>
        </is>
      </c>
      <c r="E140" s="207">
        <f>IFERROR(
IF(
INDEX($K$272:$K$977,MATCH(C140,$B$272:$B$977,0))&lt;&gt;0,
INDEX($K$272:$K$977,MATCH(C140,$B$272:$B$977,0)),
INDEX($L$272:$L$977,MATCH(C140,$B$272:$B$977,0))
),
0)</f>
        <v/>
      </c>
      <c r="F140" s="1" t="inlineStr">
        <is>
          <t>Sorrentinos carne mechada</t>
        </is>
      </c>
      <c r="G140" s="52" t="n">
        <v>1</v>
      </c>
      <c r="H140" s="81" t="inlineStr">
        <is>
          <t>Und</t>
        </is>
      </c>
      <c r="I140" s="79" t="n"/>
      <c r="J140" s="78" t="n"/>
      <c r="K140" s="79" t="n"/>
      <c r="L140" s="80" t="n"/>
      <c r="M140" s="80" t="n"/>
      <c r="N140" s="80" t="n"/>
      <c r="O140" s="20" t="n"/>
      <c r="P140" s="4" t="n"/>
      <c r="Q140" s="4" t="n"/>
    </row>
    <row r="141" ht="15" customHeight="1" s="95">
      <c r="B141" s="4" t="n"/>
      <c r="C141" s="96" t="inlineStr">
        <is>
          <t>VECARFON062</t>
        </is>
      </c>
      <c r="D141" s="18" t="inlineStr">
        <is>
          <t>Sorrentinos de pulpo y salmón</t>
        </is>
      </c>
      <c r="E141" s="207">
        <f>IFERROR(
IF(
INDEX($K$272:$K$977,MATCH(C141,$B$272:$B$977,0))&lt;&gt;0,
INDEX($K$272:$K$977,MATCH(C141,$B$272:$B$977,0)),
INDEX($L$272:$L$977,MATCH(C141,$B$272:$B$977,0))
),
0)</f>
        <v/>
      </c>
      <c r="F141" s="1" t="inlineStr">
        <is>
          <t>Sorrentinos pulpo y salmón</t>
        </is>
      </c>
      <c r="G141" s="52" t="n">
        <v>1</v>
      </c>
      <c r="H141" s="81" t="inlineStr">
        <is>
          <t>Und</t>
        </is>
      </c>
      <c r="I141" s="79" t="n"/>
      <c r="J141" s="78" t="n"/>
      <c r="K141" s="79" t="n"/>
      <c r="L141" s="80" t="n"/>
      <c r="M141" s="80" t="n"/>
      <c r="N141" s="80" t="n"/>
      <c r="O141" s="20" t="n"/>
      <c r="P141" s="4" t="n"/>
      <c r="Q141" s="4" t="n"/>
    </row>
    <row r="142" ht="15" customHeight="1" s="95">
      <c r="B142" s="4" t="n"/>
      <c r="C142" s="96" t="inlineStr">
        <is>
          <t>VECARFUB007</t>
        </is>
      </c>
      <c r="D142" s="18" t="inlineStr">
        <is>
          <t>Strogonof Arroz PY</t>
        </is>
      </c>
      <c r="E142" s="207">
        <f>IFERROR(
IF(
INDEX($K$272:$K$977,MATCH(C142,$B$272:$B$977,0))&lt;&gt;0,
INDEX($K$272:$K$977,MATCH(C142,$B$272:$B$977,0)),
INDEX($L$272:$L$977,MATCH(C142,$B$272:$B$977,0))
),
0)</f>
        <v/>
      </c>
      <c r="F142" s="1" t="inlineStr">
        <is>
          <t>Filete Salteado</t>
        </is>
      </c>
      <c r="G142" s="52" t="n">
        <v>0.16</v>
      </c>
      <c r="H142" s="81" t="inlineStr">
        <is>
          <t>Kg</t>
        </is>
      </c>
      <c r="I142" s="79" t="n"/>
      <c r="J142" s="78" t="n"/>
      <c r="K142" s="79" t="n"/>
      <c r="L142" s="80" t="n"/>
      <c r="M142" s="80" t="n"/>
      <c r="N142" s="80" t="n"/>
      <c r="O142" s="20" t="n"/>
      <c r="P142" s="4" t="n"/>
      <c r="Q142" s="4" t="n"/>
    </row>
    <row r="143" ht="15" customHeight="1" s="95">
      <c r="B143" s="4" t="n"/>
      <c r="C143" s="96" t="inlineStr">
        <is>
          <t>VECARFJT007</t>
        </is>
      </c>
      <c r="D143" s="18" t="inlineStr">
        <is>
          <t>Strogonof Arroz JT</t>
        </is>
      </c>
      <c r="E143" s="207">
        <f>IFERROR(
IF(
INDEX($K$272:$K$977,MATCH(C143,$B$272:$B$977,0))&lt;&gt;0,
INDEX($K$272:$K$977,MATCH(C143,$B$272:$B$977,0)),
INDEX($L$272:$L$977,MATCH(C143,$B$272:$B$977,0))
),
0)</f>
        <v/>
      </c>
      <c r="F143" s="1" t="inlineStr">
        <is>
          <t>Filete Salteado</t>
        </is>
      </c>
      <c r="G143" s="52" t="n">
        <v>0.16</v>
      </c>
      <c r="H143" s="81" t="inlineStr">
        <is>
          <t>Kg</t>
        </is>
      </c>
      <c r="I143" s="79" t="n"/>
      <c r="J143" s="78" t="n"/>
      <c r="K143" s="79" t="n"/>
      <c r="L143" s="80" t="n"/>
      <c r="M143" s="80" t="n"/>
      <c r="N143" s="80" t="n"/>
      <c r="O143" s="20" t="n"/>
      <c r="P143" s="4" t="n"/>
      <c r="Q143" s="4" t="n"/>
    </row>
    <row r="144" ht="15" customHeight="1" s="95">
      <c r="B144" s="4" t="n"/>
      <c r="C144" s="96" t="inlineStr">
        <is>
          <t>VECARFON023</t>
        </is>
      </c>
      <c r="D144" s="18" t="inlineStr">
        <is>
          <t>Strogonoff Arroz</t>
        </is>
      </c>
      <c r="E144" s="207">
        <f>IFERROR(
IF(
INDEX($K$272:$K$977,MATCH(C144,$B$272:$B$977,0))&lt;&gt;0,
INDEX($K$272:$K$977,MATCH(C144,$B$272:$B$977,0)),
INDEX($L$272:$L$977,MATCH(C144,$B$272:$B$977,0))
),
0)</f>
        <v/>
      </c>
      <c r="F144" s="1" t="inlineStr">
        <is>
          <t>Filete Salteado</t>
        </is>
      </c>
      <c r="G144" s="52" t="n">
        <v>0.16</v>
      </c>
      <c r="H144" s="81" t="inlineStr">
        <is>
          <t>Kg</t>
        </is>
      </c>
      <c r="I144" s="79" t="n"/>
      <c r="J144" s="78" t="n"/>
      <c r="K144" s="79" t="n"/>
      <c r="L144" s="80" t="n"/>
      <c r="M144" s="80" t="n"/>
      <c r="N144" s="80" t="n"/>
      <c r="O144" s="20" t="n"/>
      <c r="P144" s="4" t="n"/>
      <c r="Q144" s="4" t="n"/>
    </row>
    <row r="145" ht="15" customHeight="1" s="95">
      <c r="B145" s="4" t="n"/>
      <c r="C145" s="96" t="inlineStr">
        <is>
          <t>VECARENT008</t>
        </is>
      </c>
      <c r="D145" s="18" t="inlineStr">
        <is>
          <t>Tartar Atún</t>
        </is>
      </c>
      <c r="E145" s="207">
        <f>IFERROR(
IF(
INDEX($K$272:$K$977,MATCH(C145,$B$272:$B$977,0))&lt;&gt;0,
INDEX($K$272:$K$977,MATCH(C145,$B$272:$B$977,0)),
INDEX($L$272:$L$977,MATCH(C145,$B$272:$B$977,0))
),
0)</f>
        <v/>
      </c>
      <c r="F145" s="1" t="inlineStr">
        <is>
          <t>Atún Trozos</t>
        </is>
      </c>
      <c r="G145" s="52" t="n">
        <v>0.18</v>
      </c>
      <c r="H145" s="81" t="inlineStr">
        <is>
          <t>Kg</t>
        </is>
      </c>
      <c r="I145" s="79" t="n"/>
      <c r="J145" s="78" t="n"/>
      <c r="K145" s="79" t="n"/>
      <c r="L145" s="80" t="n"/>
      <c r="M145" s="80" t="n"/>
      <c r="N145" s="80" t="n"/>
      <c r="O145" s="20" t="n"/>
      <c r="P145" s="4" t="n"/>
      <c r="Q145" s="4" t="n"/>
    </row>
    <row r="146" ht="15" customHeight="1" s="95">
      <c r="B146" s="4" t="n"/>
      <c r="C146" s="96" t="inlineStr">
        <is>
          <t>VECARAJT002</t>
        </is>
      </c>
      <c r="D146" s="18" t="inlineStr">
        <is>
          <t>Tartar Atún JT</t>
        </is>
      </c>
      <c r="E146" s="207">
        <f>IFERROR(
IF(
INDEX($K$272:$K$977,MATCH(C146,$B$272:$B$977,0))&lt;&gt;0,
INDEX($K$272:$K$977,MATCH(C146,$B$272:$B$977,0)),
INDEX($L$272:$L$977,MATCH(C146,$B$272:$B$977,0))
),
0)</f>
        <v/>
      </c>
      <c r="F146" s="1" t="inlineStr">
        <is>
          <t>Atún Trozos</t>
        </is>
      </c>
      <c r="G146" s="52" t="n">
        <v>0.18</v>
      </c>
      <c r="H146" s="81" t="inlineStr">
        <is>
          <t>Kg</t>
        </is>
      </c>
      <c r="I146" s="79" t="n"/>
      <c r="J146" s="78" t="n"/>
      <c r="K146" s="79" t="n"/>
      <c r="L146" s="80" t="n"/>
      <c r="M146" s="80" t="n"/>
      <c r="N146" s="80" t="n"/>
      <c r="O146" s="20" t="n"/>
      <c r="P146" s="4" t="n"/>
      <c r="Q146" s="4" t="n"/>
    </row>
    <row r="147" ht="15" customHeight="1" s="95">
      <c r="B147" s="4" t="n"/>
      <c r="C147" s="96" t="inlineStr">
        <is>
          <t>VECARAUB002</t>
        </is>
      </c>
      <c r="D147" s="18" t="inlineStr">
        <is>
          <t>Tartar Atún Palta  PY</t>
        </is>
      </c>
      <c r="E147" s="207">
        <f>IFERROR(
IF(
INDEX($K$272:$K$977,MATCH(C147,$B$272:$B$977,0))&lt;&gt;0,
INDEX($K$272:$K$977,MATCH(C147,$B$272:$B$977,0)),
INDEX($L$272:$L$977,MATCH(C147,$B$272:$B$977,0))
),
0)</f>
        <v/>
      </c>
      <c r="F147" s="1" t="inlineStr">
        <is>
          <t>Atún Trozos</t>
        </is>
      </c>
      <c r="G147" s="52" t="n">
        <v>0.18</v>
      </c>
      <c r="H147" s="81" t="inlineStr">
        <is>
          <t>Kg</t>
        </is>
      </c>
      <c r="I147" s="79" t="n"/>
      <c r="J147" s="78" t="n"/>
      <c r="K147" s="79" t="n"/>
      <c r="L147" s="80" t="n"/>
      <c r="M147" s="80" t="n"/>
      <c r="N147" s="80" t="n"/>
      <c r="O147" s="20" t="n"/>
      <c r="P147" s="4" t="n"/>
      <c r="Q147" s="4" t="n"/>
    </row>
    <row r="148" ht="15" customHeight="1" s="95">
      <c r="B148" s="4" t="n"/>
      <c r="C148" s="96" t="inlineStr">
        <is>
          <t>VECARAUB012</t>
        </is>
      </c>
      <c r="D148" s="18" t="inlineStr">
        <is>
          <t>Tártaro Filete PY</t>
        </is>
      </c>
      <c r="E148" s="207">
        <f>IFERROR(
IF(
INDEX($K$272:$K$977,MATCH(C148,$B$272:$B$977,0))&lt;&gt;0,
INDEX($K$272:$K$977,MATCH(C148,$B$272:$B$977,0)),
INDEX($L$272:$L$977,MATCH(C148,$B$272:$B$977,0))
),
0)</f>
        <v/>
      </c>
      <c r="F148" s="18" t="inlineStr">
        <is>
          <t>Filete para crudo</t>
        </is>
      </c>
      <c r="G148" s="52" t="n">
        <v>0.17</v>
      </c>
      <c r="H148" s="81" t="inlineStr">
        <is>
          <t>Kg</t>
        </is>
      </c>
      <c r="I148" s="79" t="n"/>
      <c r="J148" s="78" t="n"/>
      <c r="K148" s="79" t="n"/>
      <c r="L148" s="80" t="n"/>
      <c r="M148" s="80" t="n"/>
      <c r="N148" s="80" t="n"/>
      <c r="O148" s="20" t="n"/>
      <c r="P148" s="4" t="n"/>
      <c r="Q148" s="4" t="n"/>
    </row>
    <row r="149" ht="15" customHeight="1" s="95">
      <c r="B149" s="4" t="n"/>
      <c r="C149" s="96" t="inlineStr">
        <is>
          <t>VECARAJT012</t>
        </is>
      </c>
      <c r="D149" s="18" t="inlineStr">
        <is>
          <t>Tartaro Filete JT</t>
        </is>
      </c>
      <c r="E149" s="207">
        <f>IFERROR(
IF(
INDEX($K$272:$K$977,MATCH(C149,$B$272:$B$977,0))&lt;&gt;0,
INDEX($K$272:$K$977,MATCH(C149,$B$272:$B$977,0)),
INDEX($L$272:$L$977,MATCH(C149,$B$272:$B$977,0))
),
0)</f>
        <v/>
      </c>
      <c r="F149" s="18" t="inlineStr">
        <is>
          <t>Filete para crudo</t>
        </is>
      </c>
      <c r="G149" s="52" t="n">
        <v>0.17</v>
      </c>
      <c r="H149" s="81" t="inlineStr">
        <is>
          <t>Kg</t>
        </is>
      </c>
      <c r="I149" s="79" t="n"/>
      <c r="J149" s="78" t="n"/>
      <c r="K149" s="79" t="n"/>
      <c r="L149" s="80" t="n"/>
      <c r="M149" s="80" t="n"/>
      <c r="N149" s="80" t="n"/>
      <c r="O149" s="20" t="n"/>
      <c r="P149" s="4" t="n"/>
      <c r="Q149" s="4" t="n"/>
    </row>
    <row r="150" ht="15" customHeight="1" s="95">
      <c r="B150" s="4" t="n"/>
      <c r="C150" s="96" t="inlineStr">
        <is>
          <t>VECARENT027</t>
        </is>
      </c>
      <c r="D150" s="18" t="inlineStr">
        <is>
          <t>Tártaro Res</t>
        </is>
      </c>
      <c r="E150" s="207">
        <f>IFERROR(
IF(
INDEX($K$272:$K$977,MATCH(C150,$B$272:$B$977,0))&lt;&gt;0,
INDEX($K$272:$K$977,MATCH(C150,$B$272:$B$977,0)),
INDEX($L$272:$L$977,MATCH(C150,$B$272:$B$977,0))
),
0)</f>
        <v/>
      </c>
      <c r="F150" s="18" t="inlineStr">
        <is>
          <t>Filete para crudo</t>
        </is>
      </c>
      <c r="G150" s="52" t="n">
        <v>0.17</v>
      </c>
      <c r="H150" s="81" t="inlineStr">
        <is>
          <t>Kg</t>
        </is>
      </c>
      <c r="I150" s="79" t="n"/>
      <c r="J150" s="78" t="n"/>
      <c r="K150" s="79" t="n"/>
      <c r="L150" s="80" t="n"/>
      <c r="M150" s="80" t="n"/>
      <c r="N150" s="80" t="n"/>
      <c r="O150" s="20" t="n"/>
      <c r="P150" s="4" t="n"/>
      <c r="Q150" s="4" t="n"/>
    </row>
    <row r="151" ht="15" customHeight="1" s="95">
      <c r="B151" s="4" t="n"/>
      <c r="C151" s="96" t="inlineStr">
        <is>
          <t>VECARENT041</t>
        </is>
      </c>
      <c r="D151" s="18" t="inlineStr">
        <is>
          <t>Tiradito de Locos</t>
        </is>
      </c>
      <c r="E151" s="207">
        <f>IFERROR(
IF(
INDEX($K$272:$K$977,MATCH(C151,$B$272:$B$977,0))&lt;&gt;0,
INDEX($K$272:$K$977,MATCH(C151,$B$272:$B$977,0)),
INDEX($L$272:$L$977,MATCH(C151,$B$272:$B$977,0))
),
0)</f>
        <v/>
      </c>
      <c r="F151" s="18" t="inlineStr">
        <is>
          <t>Locos</t>
        </is>
      </c>
      <c r="G151" s="52" t="n">
        <v>0.09</v>
      </c>
      <c r="H151" s="81" t="inlineStr">
        <is>
          <t>Kg</t>
        </is>
      </c>
      <c r="I151" s="79" t="n"/>
      <c r="J151" s="78" t="n"/>
      <c r="K151" s="79" t="n"/>
      <c r="L151" s="80" t="n"/>
      <c r="M151" s="80" t="n"/>
      <c r="N151" s="80" t="n"/>
      <c r="O151" s="20" t="n"/>
      <c r="P151" s="4" t="n"/>
      <c r="Q151" s="4" t="n"/>
    </row>
    <row r="152" ht="15" customHeight="1" s="95">
      <c r="B152" s="4" t="n"/>
      <c r="C152" s="97" t="inlineStr">
        <is>
          <t>VECARENT036</t>
        </is>
      </c>
      <c r="D152" s="18" t="inlineStr">
        <is>
          <t>Tiradito Salmón</t>
        </is>
      </c>
      <c r="E152" s="207">
        <f>IFERROR(
IF(
INDEX($K$272:$K$977,MATCH(C152,$B$272:$B$977,0))&lt;&gt;0,
INDEX($K$272:$K$977,MATCH(C152,$B$272:$B$977,0)),
INDEX($L$272:$L$977,MATCH(C152,$B$272:$B$977,0))
),
0)</f>
        <v/>
      </c>
      <c r="F152" s="1" t="inlineStr">
        <is>
          <t>Salmón fresco premium</t>
        </is>
      </c>
      <c r="G152" s="52" t="n">
        <v>0.09</v>
      </c>
      <c r="H152" s="81" t="inlineStr">
        <is>
          <t>Kg</t>
        </is>
      </c>
      <c r="I152" s="79" t="n"/>
      <c r="J152" s="78" t="n"/>
      <c r="K152" s="79" t="n"/>
      <c r="L152" s="80" t="n"/>
      <c r="M152" s="80" t="n"/>
      <c r="N152" s="80" t="n"/>
      <c r="O152" s="20" t="n"/>
      <c r="P152" s="4" t="n"/>
      <c r="Q152" s="4" t="n"/>
    </row>
    <row r="153" ht="15" customHeight="1" s="95" thickBot="1">
      <c r="B153" s="4" t="n"/>
      <c r="C153" s="82" t="inlineStr">
        <is>
          <t>VECARPOS011</t>
        </is>
      </c>
      <c r="D153" s="83" t="inlineStr">
        <is>
          <t>Volcán de Chocolate</t>
        </is>
      </c>
      <c r="E153" s="208">
        <f>IFERROR(
IF(
INDEX($K$272:$K$977,MATCH(C153,$B$272:$B$977,0))&lt;&gt;0,
INDEX($K$272:$K$977,MATCH(C153,$B$272:$B$977,0)),
INDEX($L$272:$L$977,MATCH(C153,$B$272:$B$977,0))
),
0)</f>
        <v/>
      </c>
      <c r="F153" s="31" t="inlineStr">
        <is>
          <t>Volcán de Chocolate</t>
        </is>
      </c>
      <c r="G153" s="84" t="n">
        <v>1</v>
      </c>
      <c r="H153" s="85" t="inlineStr">
        <is>
          <t>Kg</t>
        </is>
      </c>
      <c r="I153" s="79" t="n"/>
      <c r="J153" s="78" t="n"/>
      <c r="K153" s="79" t="n"/>
      <c r="L153" s="80" t="n"/>
      <c r="M153" s="80" t="n"/>
      <c r="N153" s="80" t="n"/>
      <c r="O153" s="20" t="n"/>
      <c r="P153" s="4" t="n"/>
      <c r="Q153" s="4" t="n"/>
    </row>
    <row r="154" ht="15.75" customHeight="1" s="95"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20" t="n"/>
      <c r="M154" s="20" t="n"/>
      <c r="N154" s="20" t="n"/>
      <c r="O154" s="20" t="n"/>
      <c r="P154" s="4" t="n"/>
      <c r="Q154" s="4" t="n"/>
    </row>
    <row r="155"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5" t="n"/>
      <c r="M155" s="5" t="n"/>
      <c r="N155" s="5" t="n"/>
      <c r="O155" s="5" t="n"/>
      <c r="P155" s="5" t="n"/>
      <c r="Q155" s="5" t="n"/>
      <c r="R155" s="209" t="n"/>
    </row>
    <row r="156" ht="13.5" customHeight="1" s="95" thickBot="1"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209" t="n"/>
    </row>
    <row r="157" ht="15.75" customHeight="1" s="95">
      <c r="B157" s="134" t="inlineStr">
        <is>
          <t>GRAMAJE</t>
        </is>
      </c>
      <c r="C157" s="309" t="inlineStr">
        <is>
          <t>MEDIDA</t>
        </is>
      </c>
      <c r="D157" s="309" t="inlineStr">
        <is>
          <t>PRODUCTOS</t>
        </is>
      </c>
      <c r="E157" s="144" t="inlineStr">
        <is>
          <t>STOCK INFORMADO</t>
        </is>
      </c>
      <c r="F157" s="310" t="inlineStr">
        <is>
          <t>* MERMAS EN KILOGRAMOS</t>
        </is>
      </c>
      <c r="G157" s="308" t="n"/>
      <c r="H157" s="308" t="n"/>
      <c r="I157" s="308" t="n"/>
      <c r="J157" s="311" t="n"/>
      <c r="K157" s="28" t="n"/>
      <c r="L157" s="65" t="n"/>
      <c r="M157" s="148" t="n"/>
      <c r="R157" s="209" t="n"/>
    </row>
    <row r="158" ht="26.25" customHeight="1" s="95" thickBot="1">
      <c r="B158" s="312" t="n"/>
      <c r="C158" s="313" t="n"/>
      <c r="D158" s="313" t="n"/>
      <c r="E158" s="314" t="n"/>
      <c r="F158" s="185" t="inlineStr">
        <is>
          <t>PRODUCCIÓN</t>
        </is>
      </c>
      <c r="G158" s="185" t="inlineStr">
        <is>
          <t>DEFECTUOSOS</t>
        </is>
      </c>
      <c r="H158" s="185" t="inlineStr">
        <is>
          <t>CLIENTES</t>
        </is>
      </c>
      <c r="I158" s="185" t="inlineStr">
        <is>
          <t>CORTESÍA</t>
        </is>
      </c>
      <c r="J158" s="76" t="inlineStr">
        <is>
          <t>REUTILIZAR</t>
        </is>
      </c>
      <c r="K158" s="28" t="n"/>
      <c r="L158" s="65" t="n"/>
      <c r="M158" s="148" t="n"/>
      <c r="N158" s="148" t="n"/>
      <c r="O158" s="148" t="n"/>
      <c r="P158" s="148" t="n"/>
      <c r="R158" s="209" t="n"/>
    </row>
    <row r="159" ht="13.5" customHeight="1" s="95" thickBot="1">
      <c r="B159" s="187" t="n">
        <v>0.18</v>
      </c>
      <c r="C159" s="188" t="inlineStr">
        <is>
          <t>Kg</t>
        </is>
      </c>
      <c r="D159" s="189" t="inlineStr">
        <is>
          <t>Atún apanado</t>
        </is>
      </c>
      <c r="E159" s="190" t="n"/>
      <c r="F159" s="190" t="n"/>
      <c r="G159" s="190" t="n"/>
      <c r="H159" s="190" t="n"/>
      <c r="I159" s="191" t="n"/>
      <c r="J159" s="246" t="n"/>
      <c r="K159" s="28" t="n"/>
      <c r="L159" s="65" t="n"/>
      <c r="M159" s="210" t="n"/>
      <c r="N159" s="6" t="n"/>
      <c r="O159" s="6" t="n"/>
      <c r="P159" s="210" t="n"/>
      <c r="R159" s="209" t="n"/>
    </row>
    <row r="160">
      <c r="B160" s="68" t="n">
        <v>0.25</v>
      </c>
      <c r="C160" s="23" t="inlineStr">
        <is>
          <t>Kg</t>
        </is>
      </c>
      <c r="D160" s="25" t="inlineStr">
        <is>
          <t>Atún Trozos</t>
        </is>
      </c>
      <c r="E160" s="26" t="n"/>
      <c r="F160" s="26" t="n"/>
      <c r="G160" s="26" t="n"/>
      <c r="H160" s="26" t="n"/>
      <c r="I160" s="67" t="n"/>
      <c r="J160" s="210" t="n"/>
      <c r="K160" s="28" t="n"/>
      <c r="L160" s="65" t="n"/>
      <c r="M160" s="210" t="n"/>
      <c r="N160" s="210" t="n"/>
      <c r="O160" s="210" t="n"/>
      <c r="P160" s="210" t="n"/>
      <c r="R160" s="209" t="n"/>
    </row>
    <row r="161">
      <c r="B161" s="68" t="n">
        <v>1</v>
      </c>
      <c r="C161" s="23" t="inlineStr">
        <is>
          <t>Kg</t>
        </is>
      </c>
      <c r="D161" s="25" t="inlineStr">
        <is>
          <t>Almejas Julianas</t>
        </is>
      </c>
      <c r="E161" s="26" t="n"/>
      <c r="F161" s="26" t="n"/>
      <c r="G161" s="26" t="n"/>
      <c r="H161" s="26" t="n"/>
      <c r="I161" s="67" t="n"/>
      <c r="J161" s="210" t="n"/>
      <c r="K161" s="28" t="n"/>
      <c r="L161" s="65" t="n"/>
      <c r="M161" s="210" t="n"/>
      <c r="N161" s="210" t="n"/>
      <c r="O161" s="210" t="n"/>
      <c r="P161" s="210" t="n"/>
      <c r="Q161" s="210" t="n"/>
      <c r="R161" s="209" t="n"/>
    </row>
    <row r="162">
      <c r="B162" s="68" t="n">
        <v>0.12</v>
      </c>
      <c r="C162" s="23" t="inlineStr">
        <is>
          <t>Kg</t>
        </is>
      </c>
      <c r="D162" s="25" t="inlineStr">
        <is>
          <t>Carpaccio de res</t>
        </is>
      </c>
      <c r="E162" s="26" t="n"/>
      <c r="F162" s="26" t="n"/>
      <c r="G162" s="26" t="n"/>
      <c r="H162" s="26" t="n"/>
      <c r="I162" s="67" t="n"/>
      <c r="J162" s="210" t="n"/>
      <c r="K162" s="28" t="n"/>
      <c r="L162" s="65" t="n"/>
      <c r="M162" s="43" t="n"/>
      <c r="N162" s="43" t="n"/>
      <c r="O162" s="43" t="n"/>
      <c r="P162" s="43" t="n"/>
      <c r="Q162" s="43" t="n"/>
      <c r="R162" s="209" t="n"/>
    </row>
    <row r="163">
      <c r="B163" s="68" t="n">
        <v>0.1</v>
      </c>
      <c r="C163" s="23" t="inlineStr">
        <is>
          <t>Kg</t>
        </is>
      </c>
      <c r="D163" s="27" t="inlineStr">
        <is>
          <t>Ceviche de Reineta</t>
        </is>
      </c>
      <c r="E163" s="26" t="n"/>
      <c r="F163" s="26" t="n"/>
      <c r="G163" s="26" t="n"/>
      <c r="H163" s="26" t="n"/>
      <c r="I163" s="67" t="n"/>
      <c r="J163" s="210" t="n"/>
      <c r="K163" s="28" t="n"/>
      <c r="L163" s="65" t="n"/>
      <c r="M163" s="65" t="n"/>
      <c r="N163" s="65" t="n"/>
      <c r="O163" s="65" t="n"/>
      <c r="P163" s="65" t="n"/>
      <c r="Q163" s="65" t="n"/>
      <c r="R163" s="209" t="n"/>
    </row>
    <row r="164">
      <c r="B164" s="68" t="n">
        <v>0.15</v>
      </c>
      <c r="C164" s="23" t="inlineStr">
        <is>
          <t>Kg</t>
        </is>
      </c>
      <c r="D164" s="27" t="inlineStr">
        <is>
          <t>Congrio</t>
        </is>
      </c>
      <c r="E164" s="26" t="n"/>
      <c r="F164" s="26" t="n"/>
      <c r="G164" s="26" t="n"/>
      <c r="H164" s="26" t="n"/>
      <c r="I164" s="67" t="n"/>
      <c r="J164" s="210" t="n"/>
      <c r="K164" s="28" t="n"/>
      <c r="L164" s="65" t="n"/>
      <c r="M164" s="65" t="n"/>
      <c r="N164" s="65" t="n"/>
      <c r="O164" s="65" t="n"/>
      <c r="P164" s="65" t="n"/>
      <c r="Q164" s="65" t="n"/>
      <c r="R164" s="209" t="n"/>
    </row>
    <row r="165">
      <c r="B165" s="68" t="n">
        <v>1</v>
      </c>
      <c r="C165" s="23" t="inlineStr">
        <is>
          <t>Porción</t>
        </is>
      </c>
      <c r="D165" s="27" t="inlineStr">
        <is>
          <t>Chupe de Salmón</t>
        </is>
      </c>
      <c r="E165" s="26" t="n"/>
      <c r="F165" s="26" t="n"/>
      <c r="G165" s="26" t="n"/>
      <c r="H165" s="26" t="n"/>
      <c r="I165" s="67" t="n"/>
      <c r="J165" s="210" t="n"/>
      <c r="K165" s="28" t="n"/>
      <c r="L165" s="28" t="n"/>
      <c r="M165" s="28" t="n"/>
      <c r="N165" s="28" t="n"/>
      <c r="O165" s="28" t="n"/>
      <c r="P165" s="28" t="n"/>
      <c r="Q165" s="28" t="n"/>
    </row>
    <row r="166">
      <c r="B166" s="68" t="n">
        <v>1</v>
      </c>
      <c r="C166" s="23" t="inlineStr">
        <is>
          <t>Kg</t>
        </is>
      </c>
      <c r="D166" s="27" t="inlineStr">
        <is>
          <t>Despunte de pulpo</t>
        </is>
      </c>
      <c r="E166" s="26" t="n"/>
      <c r="F166" s="26" t="n"/>
      <c r="G166" s="26" t="n"/>
      <c r="H166" s="26" t="n"/>
      <c r="I166" s="67" t="n"/>
      <c r="J166" s="210" t="n"/>
      <c r="K166" s="28" t="n"/>
      <c r="L166" s="28" t="n"/>
      <c r="M166" s="28" t="n"/>
      <c r="N166" s="28" t="n"/>
      <c r="O166" s="28" t="n"/>
      <c r="P166" s="28" t="n"/>
      <c r="Q166" s="28" t="n"/>
    </row>
    <row r="167">
      <c r="B167" s="68" t="n">
        <v>1</v>
      </c>
      <c r="C167" s="23" t="inlineStr">
        <is>
          <t>Kg</t>
        </is>
      </c>
      <c r="D167" s="27" t="inlineStr">
        <is>
          <t>Filete despunte</t>
        </is>
      </c>
      <c r="E167" s="26" t="n"/>
      <c r="F167" s="26" t="n"/>
      <c r="G167" s="26" t="n"/>
      <c r="H167" s="26" t="n"/>
      <c r="I167" s="67" t="n"/>
      <c r="J167" s="210" t="n"/>
      <c r="K167" s="28" t="n"/>
      <c r="L167" s="28" t="n"/>
      <c r="M167" s="28" t="n"/>
      <c r="N167" s="28" t="n"/>
      <c r="O167" s="28" t="n"/>
      <c r="P167" s="28" t="n"/>
      <c r="Q167" s="28" t="n"/>
    </row>
    <row r="168">
      <c r="B168" s="68" t="n">
        <v>0.12</v>
      </c>
      <c r="C168" s="23" t="inlineStr">
        <is>
          <t>Kg</t>
        </is>
      </c>
      <c r="D168" s="27" t="inlineStr">
        <is>
          <t>Filete para churrasco</t>
        </is>
      </c>
      <c r="E168" s="26" t="n"/>
      <c r="F168" s="26" t="n"/>
      <c r="G168" s="26" t="n"/>
      <c r="H168" s="26" t="n"/>
      <c r="I168" s="67" t="n"/>
      <c r="J168" s="210" t="n"/>
      <c r="K168" s="28" t="n"/>
      <c r="L168" s="28" t="n"/>
      <c r="M168" s="28" t="n"/>
      <c r="N168" s="28" t="n"/>
      <c r="O168" s="28" t="n"/>
      <c r="P168" s="28" t="n"/>
      <c r="Q168" s="28" t="n"/>
    </row>
    <row r="169">
      <c r="B169" s="68" t="n">
        <v>0.48</v>
      </c>
      <c r="C169" s="23" t="inlineStr">
        <is>
          <t>Kg</t>
        </is>
      </c>
      <c r="D169" s="70" t="inlineStr">
        <is>
          <t>Filete para crudo</t>
        </is>
      </c>
      <c r="E169" s="26" t="n"/>
      <c r="F169" s="26" t="n"/>
      <c r="G169" s="26" t="n"/>
      <c r="H169" s="26" t="n"/>
      <c r="I169" s="67" t="n"/>
      <c r="J169" s="210" t="n"/>
      <c r="K169" s="28" t="n"/>
      <c r="L169" s="28" t="n"/>
      <c r="M169" s="28" t="n"/>
      <c r="N169" s="28" t="n"/>
      <c r="O169" s="28" t="n"/>
      <c r="P169" s="28" t="n"/>
      <c r="Q169" s="28" t="n"/>
    </row>
    <row r="170">
      <c r="B170" s="68" t="n">
        <v>0.16</v>
      </c>
      <c r="C170" s="23" t="inlineStr">
        <is>
          <t>Kg</t>
        </is>
      </c>
      <c r="D170" s="25" t="inlineStr">
        <is>
          <t>Filete salteado</t>
        </is>
      </c>
      <c r="E170" s="26" t="n"/>
      <c r="F170" s="26" t="n"/>
      <c r="G170" s="26" t="n"/>
      <c r="H170" s="26" t="n"/>
      <c r="I170" s="67" t="n"/>
      <c r="J170" s="210" t="n"/>
      <c r="K170" s="28" t="n"/>
      <c r="L170" s="28" t="n"/>
      <c r="M170" s="28" t="n"/>
      <c r="N170" s="28" t="n"/>
      <c r="O170" s="28" t="n"/>
      <c r="P170" s="28" t="n"/>
      <c r="Q170" s="28" t="n"/>
    </row>
    <row r="171">
      <c r="B171" s="68" t="n">
        <v>0.12</v>
      </c>
      <c r="C171" s="23" t="inlineStr">
        <is>
          <t>Kg</t>
        </is>
      </c>
      <c r="D171" s="25" t="inlineStr">
        <is>
          <t>Ganso</t>
        </is>
      </c>
      <c r="E171" s="26" t="n"/>
      <c r="F171" s="26" t="n"/>
      <c r="G171" s="26" t="n"/>
      <c r="H171" s="26" t="n"/>
      <c r="I171" s="67" t="n"/>
      <c r="J171" s="210" t="n"/>
      <c r="K171" s="28" t="n"/>
      <c r="L171" s="28" t="n"/>
      <c r="M171" s="28" t="n"/>
      <c r="N171" s="28" t="n"/>
      <c r="O171" s="28" t="n"/>
      <c r="P171" s="28" t="n"/>
      <c r="Q171" s="28" t="n"/>
    </row>
    <row r="172">
      <c r="B172" s="68" t="n">
        <v>0.2</v>
      </c>
      <c r="C172" s="23" t="inlineStr">
        <is>
          <t>Kg</t>
        </is>
      </c>
      <c r="D172" s="25" t="inlineStr">
        <is>
          <t>Hamburguesas</t>
        </is>
      </c>
      <c r="E172" s="26" t="n"/>
      <c r="F172" s="26" t="n"/>
      <c r="G172" s="26" t="n"/>
      <c r="H172" s="26" t="n"/>
      <c r="I172" s="67" t="n"/>
      <c r="J172" s="210" t="n"/>
      <c r="K172" s="28" t="n"/>
      <c r="L172" s="28" t="n"/>
      <c r="M172" s="28" t="n"/>
      <c r="N172" s="28" t="n"/>
      <c r="O172" s="28" t="n"/>
      <c r="P172" s="28" t="n"/>
      <c r="Q172" s="28" t="n"/>
    </row>
    <row r="173">
      <c r="B173" s="68" t="n">
        <v>1</v>
      </c>
      <c r="C173" s="23" t="inlineStr">
        <is>
          <t>Kg</t>
        </is>
      </c>
      <c r="D173" s="70" t="inlineStr">
        <is>
          <t>Langostinos</t>
        </is>
      </c>
      <c r="E173" s="26" t="n"/>
      <c r="F173" s="26" t="n"/>
      <c r="G173" s="26" t="n"/>
      <c r="H173" s="26" t="n"/>
      <c r="I173" s="67" t="n"/>
      <c r="J173" s="210" t="n"/>
      <c r="K173" s="28" t="n"/>
      <c r="L173" s="28" t="n"/>
      <c r="M173" s="28" t="n"/>
      <c r="N173" s="28" t="n"/>
      <c r="O173" s="28" t="n"/>
      <c r="P173" s="28" t="n"/>
      <c r="Q173" s="28" t="n"/>
    </row>
    <row r="174">
      <c r="B174" s="68" t="n">
        <v>1</v>
      </c>
      <c r="C174" s="23" t="inlineStr">
        <is>
          <t>Kg</t>
        </is>
      </c>
      <c r="D174" s="25" t="inlineStr">
        <is>
          <t>Jamón serrano</t>
        </is>
      </c>
      <c r="E174" s="26" t="n"/>
      <c r="F174" s="26" t="n"/>
      <c r="G174" s="26" t="n"/>
      <c r="H174" s="26" t="n"/>
      <c r="I174" s="67" t="n"/>
      <c r="J174" s="210" t="n"/>
      <c r="K174" s="28" t="n"/>
      <c r="L174" s="28" t="n"/>
      <c r="M174" s="4" t="n"/>
      <c r="N174" s="4" t="n"/>
      <c r="O174" s="28" t="n"/>
      <c r="P174" s="28" t="n"/>
      <c r="Q174" s="28" t="n"/>
    </row>
    <row r="175">
      <c r="B175" s="68" t="n">
        <v>1</v>
      </c>
      <c r="C175" s="23" t="inlineStr">
        <is>
          <t>Porción</t>
        </is>
      </c>
      <c r="D175" s="25" t="inlineStr">
        <is>
          <t>Lasagna Berenjenas</t>
        </is>
      </c>
      <c r="E175" s="186" t="n"/>
      <c r="F175" s="26" t="n"/>
      <c r="G175" s="26" t="n"/>
      <c r="H175" s="26" t="n"/>
      <c r="I175" s="67" t="n"/>
      <c r="J175" s="210" t="n"/>
      <c r="K175" s="28" t="n"/>
      <c r="L175" s="28" t="n"/>
      <c r="M175" s="28" t="n"/>
      <c r="N175" s="28" t="n"/>
      <c r="O175" s="28" t="n"/>
      <c r="P175" s="28" t="n"/>
      <c r="Q175" s="28" t="n"/>
    </row>
    <row r="176">
      <c r="B176" s="68" t="n">
        <v>0.18</v>
      </c>
      <c r="C176" s="23" t="inlineStr">
        <is>
          <t>Kg</t>
        </is>
      </c>
      <c r="D176" s="25" t="inlineStr">
        <is>
          <t>Lomo liso</t>
        </is>
      </c>
      <c r="E176" s="26" t="n"/>
      <c r="F176" s="26" t="n"/>
      <c r="G176" s="26" t="n"/>
      <c r="H176" s="26" t="n"/>
      <c r="I176" s="67" t="n"/>
      <c r="J176" s="210" t="n"/>
      <c r="K176" s="28" t="n"/>
      <c r="L176" s="28" t="n"/>
      <c r="M176" s="28" t="n"/>
      <c r="N176" s="28" t="n"/>
      <c r="O176" s="28" t="n"/>
      <c r="P176" s="28" t="n"/>
      <c r="Q176" s="28" t="n"/>
    </row>
    <row r="177">
      <c r="B177" s="68" t="n">
        <v>0.09</v>
      </c>
      <c r="C177" s="23" t="inlineStr">
        <is>
          <t>Kg</t>
        </is>
      </c>
      <c r="D177" s="25" t="inlineStr">
        <is>
          <t>Locos</t>
        </is>
      </c>
      <c r="E177" s="26" t="n"/>
      <c r="F177" s="26" t="n"/>
      <c r="G177" s="26" t="n"/>
      <c r="H177" s="26" t="n"/>
      <c r="I177" s="67" t="n"/>
      <c r="J177" s="210" t="n"/>
      <c r="K177" s="28" t="n"/>
      <c r="L177" s="28" t="n"/>
      <c r="M177" s="28" t="n"/>
      <c r="N177" s="28" t="n"/>
      <c r="O177" s="28" t="n"/>
      <c r="P177" s="28" t="n"/>
      <c r="Q177" s="28" t="n"/>
    </row>
    <row r="178">
      <c r="B178" s="68" t="n">
        <v>1</v>
      </c>
      <c r="C178" s="23" t="inlineStr">
        <is>
          <t>Kg</t>
        </is>
      </c>
      <c r="D178" s="25" t="inlineStr">
        <is>
          <t>Mejillones</t>
        </is>
      </c>
      <c r="E178" s="26" t="n"/>
      <c r="F178" s="26" t="n"/>
      <c r="G178" s="26" t="n"/>
      <c r="H178" s="26" t="n"/>
      <c r="I178" s="67" t="n"/>
      <c r="J178" s="210" t="n"/>
      <c r="K178" s="28" t="n"/>
      <c r="L178" s="28" t="n"/>
      <c r="M178" s="28" t="n"/>
      <c r="N178" s="28" t="n"/>
      <c r="O178" s="28" t="n"/>
      <c r="P178" s="28" t="n"/>
      <c r="Q178" s="28" t="n"/>
    </row>
    <row r="179">
      <c r="B179" s="68" t="n">
        <v>0.18</v>
      </c>
      <c r="C179" s="23" t="inlineStr">
        <is>
          <t>Kg</t>
        </is>
      </c>
      <c r="D179" s="25" t="inlineStr">
        <is>
          <t>Merluza</t>
        </is>
      </c>
      <c r="E179" s="26" t="n"/>
      <c r="F179" s="26" t="n"/>
      <c r="G179" s="26" t="n"/>
      <c r="H179" s="26" t="n"/>
      <c r="I179" s="67" t="n"/>
      <c r="J179" s="210" t="n"/>
      <c r="K179" s="28" t="n"/>
      <c r="L179" s="28" t="n"/>
      <c r="M179" s="28" t="n"/>
      <c r="N179" s="28" t="n"/>
      <c r="O179" s="28" t="n"/>
      <c r="P179" s="28" t="n"/>
      <c r="Q179" s="28" t="n"/>
    </row>
    <row r="180">
      <c r="B180" s="68" t="n">
        <v>0.12</v>
      </c>
      <c r="C180" s="23" t="inlineStr">
        <is>
          <t>Kg</t>
        </is>
      </c>
      <c r="D180" s="25" t="inlineStr">
        <is>
          <t>Paila de Carne</t>
        </is>
      </c>
      <c r="E180" s="26" t="n"/>
      <c r="F180" s="26" t="n"/>
      <c r="G180" s="26" t="n"/>
      <c r="H180" s="26" t="n"/>
      <c r="I180" s="67" t="n"/>
      <c r="J180" s="210" t="n"/>
      <c r="K180" s="28" t="n"/>
      <c r="L180" s="28" t="n"/>
      <c r="M180" s="28" t="n"/>
      <c r="N180" s="28" t="n"/>
      <c r="O180" s="28" t="n"/>
      <c r="P180" s="28" t="n"/>
      <c r="Q180" s="28" t="n"/>
    </row>
    <row r="181">
      <c r="B181" s="68" t="n">
        <v>0.18</v>
      </c>
      <c r="C181" s="23" t="inlineStr">
        <is>
          <t>Kg</t>
        </is>
      </c>
      <c r="D181" s="25" t="inlineStr">
        <is>
          <t>Plateada</t>
        </is>
      </c>
      <c r="E181" s="26" t="n"/>
      <c r="F181" s="26" t="n"/>
      <c r="G181" s="26" t="n"/>
      <c r="H181" s="26" t="n"/>
      <c r="I181" s="67" t="n"/>
      <c r="J181" s="210" t="n"/>
      <c r="K181" s="28" t="n"/>
      <c r="L181" s="28" t="n"/>
      <c r="M181" s="28" t="n"/>
      <c r="N181" s="28" t="n"/>
      <c r="O181" s="28" t="n"/>
      <c r="P181" s="28" t="n"/>
      <c r="Q181" s="28" t="n"/>
    </row>
    <row r="182">
      <c r="B182" s="68" t="n">
        <v>0.145</v>
      </c>
      <c r="C182" s="23" t="inlineStr">
        <is>
          <t>kg</t>
        </is>
      </c>
      <c r="D182" s="25" t="inlineStr">
        <is>
          <t>Pulpo</t>
        </is>
      </c>
      <c r="E182" s="26" t="n"/>
      <c r="F182" s="26" t="n"/>
      <c r="G182" s="26" t="n"/>
      <c r="H182" s="26" t="n"/>
      <c r="I182" s="67" t="n"/>
      <c r="J182" s="210" t="n"/>
      <c r="K182" s="28" t="n"/>
      <c r="L182" s="28" t="n"/>
      <c r="M182" s="4" t="n"/>
      <c r="N182" s="4" t="n"/>
      <c r="O182" s="28" t="n"/>
      <c r="P182" s="28" t="n"/>
      <c r="Q182" s="28" t="n"/>
    </row>
    <row r="183">
      <c r="B183" s="168" t="n">
        <v>0.411</v>
      </c>
      <c r="C183" s="23" t="inlineStr">
        <is>
          <t>Kg</t>
        </is>
      </c>
      <c r="D183" s="25" t="inlineStr">
        <is>
          <t>Ragout Lasagna</t>
        </is>
      </c>
      <c r="E183" s="26" t="n"/>
      <c r="F183" s="26" t="n"/>
      <c r="G183" s="26" t="n"/>
      <c r="H183" s="26" t="n"/>
      <c r="I183" s="67" t="n"/>
      <c r="J183" s="210" t="n"/>
      <c r="K183" s="28" t="n"/>
      <c r="L183" s="28" t="n"/>
      <c r="M183" s="4" t="n"/>
      <c r="N183" s="4" t="n"/>
      <c r="O183" s="28" t="n"/>
      <c r="P183" s="28" t="n"/>
      <c r="Q183" s="28" t="n"/>
    </row>
    <row r="184">
      <c r="B184" s="168" t="n">
        <v>0.36</v>
      </c>
      <c r="C184" s="23" t="inlineStr">
        <is>
          <t>Kg</t>
        </is>
      </c>
      <c r="D184" s="25" t="inlineStr">
        <is>
          <t>Ragout Rigatoni</t>
        </is>
      </c>
      <c r="E184" s="26" t="n"/>
      <c r="F184" s="26" t="n"/>
      <c r="G184" s="26" t="n"/>
      <c r="H184" s="26" t="n"/>
      <c r="I184" s="67" t="n"/>
      <c r="J184" s="210" t="n"/>
      <c r="K184" s="28" t="n"/>
      <c r="L184" s="28" t="n"/>
      <c r="M184" s="4" t="n"/>
      <c r="N184" s="4" t="n"/>
      <c r="O184" s="28" t="n"/>
      <c r="P184" s="28" t="n"/>
      <c r="Q184" s="28" t="n"/>
    </row>
    <row r="185">
      <c r="B185" s="68" t="n">
        <v>1</v>
      </c>
      <c r="C185" s="23" t="inlineStr">
        <is>
          <t>Kg</t>
        </is>
      </c>
      <c r="D185" s="25" t="inlineStr">
        <is>
          <t>Salmon ahumado en frío</t>
        </is>
      </c>
      <c r="E185" s="26" t="n"/>
      <c r="F185" s="26" t="n"/>
      <c r="G185" s="26" t="n"/>
      <c r="H185" s="26" t="n"/>
      <c r="I185" s="67" t="n"/>
      <c r="J185" s="210" t="n"/>
      <c r="K185" s="28" t="n"/>
      <c r="L185" s="28" t="n"/>
      <c r="M185" s="4" t="n"/>
      <c r="N185" s="4" t="n"/>
      <c r="O185" s="28" t="n"/>
      <c r="P185" s="28" t="n"/>
      <c r="Q185" s="28" t="n"/>
    </row>
    <row r="186">
      <c r="B186" s="68" t="n">
        <v>0.12</v>
      </c>
      <c r="C186" s="23" t="inlineStr">
        <is>
          <t>Kg</t>
        </is>
      </c>
      <c r="D186" s="25" t="inlineStr">
        <is>
          <t>Salmón ahumado en caliente</t>
        </is>
      </c>
      <c r="E186" s="26" t="n"/>
      <c r="F186" s="26" t="n"/>
      <c r="G186" s="26" t="n"/>
      <c r="H186" s="26" t="n"/>
      <c r="I186" s="67" t="n"/>
      <c r="J186" s="210" t="n"/>
      <c r="K186" s="28" t="n"/>
      <c r="L186" s="28" t="n"/>
      <c r="M186" s="28" t="n"/>
      <c r="N186" s="28" t="n"/>
      <c r="O186" s="28" t="n"/>
      <c r="P186" s="28" t="n"/>
      <c r="Q186" s="28" t="n"/>
    </row>
    <row r="187">
      <c r="B187" s="68" t="n">
        <v>0.16</v>
      </c>
      <c r="C187" s="23" t="inlineStr">
        <is>
          <t>Kg</t>
        </is>
      </c>
      <c r="D187" s="25" t="inlineStr">
        <is>
          <t>Salmón cancato</t>
        </is>
      </c>
      <c r="E187" s="26" t="n"/>
      <c r="F187" s="26" t="n"/>
      <c r="G187" s="26" t="n"/>
      <c r="H187" s="26" t="n"/>
      <c r="I187" s="67" t="n"/>
      <c r="J187" s="210" t="n"/>
      <c r="K187" s="28" t="n"/>
      <c r="L187" s="28" t="n"/>
      <c r="M187" s="28" t="n"/>
      <c r="N187" s="28" t="n"/>
      <c r="O187" s="28" t="n"/>
      <c r="P187" s="28" t="n"/>
      <c r="Q187" s="28" t="n"/>
    </row>
    <row r="188">
      <c r="B188" s="68" t="n">
        <v>0.09</v>
      </c>
      <c r="C188" s="23" t="inlineStr">
        <is>
          <t>Kg</t>
        </is>
      </c>
      <c r="D188" s="25" t="inlineStr">
        <is>
          <t>Salmón fresco premium</t>
        </is>
      </c>
      <c r="E188" s="26" t="n"/>
      <c r="F188" s="26" t="n"/>
      <c r="G188" s="26" t="n"/>
      <c r="H188" s="26" t="n"/>
      <c r="I188" s="67" t="n"/>
      <c r="J188" s="210" t="n"/>
      <c r="K188" s="28" t="n"/>
      <c r="L188" s="28" t="n"/>
      <c r="M188" s="28" t="n"/>
      <c r="N188" s="28" t="n"/>
      <c r="O188" s="28" t="n"/>
      <c r="P188" s="28" t="n"/>
      <c r="Q188" s="28" t="n"/>
    </row>
    <row r="189">
      <c r="B189" s="68" t="n">
        <v>0.17</v>
      </c>
      <c r="C189" s="23" t="inlineStr">
        <is>
          <t>Kg</t>
        </is>
      </c>
      <c r="D189" s="25" t="inlineStr">
        <is>
          <t>Tartar de res</t>
        </is>
      </c>
      <c r="E189" s="26" t="n"/>
      <c r="F189" s="26" t="n"/>
      <c r="G189" s="26" t="n"/>
      <c r="H189" s="26" t="n"/>
      <c r="I189" s="67" t="n"/>
      <c r="J189" s="210" t="n"/>
      <c r="K189" s="28" t="n"/>
      <c r="L189" s="28" t="n"/>
      <c r="M189" s="28" t="n"/>
      <c r="N189" s="28" t="n"/>
      <c r="O189" s="28" t="n"/>
      <c r="P189" s="28" t="n"/>
      <c r="Q189" s="28" t="n"/>
    </row>
    <row r="190" ht="13.5" customHeight="1" s="95" thickBot="1">
      <c r="B190" s="71" t="n">
        <v>0.18</v>
      </c>
      <c r="C190" s="75" t="inlineStr">
        <is>
          <t>Kg</t>
        </is>
      </c>
      <c r="D190" s="174" t="inlineStr">
        <is>
          <t xml:space="preserve">Tártaro de atún </t>
        </is>
      </c>
      <c r="E190" s="72" t="n"/>
      <c r="F190" s="72" t="n"/>
      <c r="G190" s="72" t="n"/>
      <c r="H190" s="72" t="n"/>
      <c r="I190" s="73" t="n"/>
      <c r="J190" s="210" t="n"/>
      <c r="K190" s="28" t="n"/>
      <c r="L190" s="28" t="n"/>
      <c r="M190" s="28" t="n"/>
      <c r="N190" s="28" t="n"/>
      <c r="O190" s="28" t="n"/>
      <c r="P190" s="28" t="n"/>
      <c r="Q190" s="28" t="n"/>
    </row>
    <row r="191" ht="13.5" customHeight="1" s="95" thickBot="1">
      <c r="B191" s="210" t="n"/>
      <c r="C191" s="28" t="n"/>
      <c r="D191" s="65" t="n"/>
      <c r="E191" s="210" t="n"/>
      <c r="F191" s="210" t="n"/>
      <c r="G191" s="210" t="n"/>
      <c r="H191" s="210" t="n"/>
      <c r="I191" s="210" t="n"/>
      <c r="J191" s="210" t="n"/>
      <c r="K191" s="28" t="n"/>
      <c r="L191" s="28" t="n"/>
      <c r="M191" s="28" t="n"/>
      <c r="N191" s="28" t="n"/>
      <c r="O191" s="28" t="n"/>
      <c r="P191" s="28" t="n"/>
      <c r="Q191" s="28" t="n"/>
    </row>
    <row r="192" ht="15.75" customHeight="1" s="95">
      <c r="B192" s="169" t="inlineStr">
        <is>
          <t>UNIDADES</t>
        </is>
      </c>
      <c r="C192" s="170" t="inlineStr">
        <is>
          <t>MEDIDA</t>
        </is>
      </c>
      <c r="D192" s="170" t="inlineStr">
        <is>
          <t>PRODUCTOS</t>
        </is>
      </c>
      <c r="E192" s="171" t="n"/>
      <c r="F192" s="172" t="n"/>
      <c r="G192" s="308" t="n"/>
      <c r="H192" s="308" t="n"/>
      <c r="I192" s="300" t="n"/>
      <c r="J192" s="136" t="n"/>
      <c r="K192" s="28" t="n"/>
      <c r="L192" s="28" t="n"/>
      <c r="M192" s="28" t="n"/>
      <c r="N192" s="28" t="n"/>
      <c r="O192" s="28" t="n"/>
      <c r="P192" s="28" t="n"/>
      <c r="Q192" s="28" t="n"/>
    </row>
    <row r="193" ht="26.25" customHeight="1" s="95" thickBot="1">
      <c r="B193" s="315" t="n"/>
      <c r="C193" s="316" t="n"/>
      <c r="D193" s="316" t="n"/>
      <c r="E193" s="316" t="n"/>
      <c r="F193" s="180" t="n"/>
      <c r="G193" s="180" t="n"/>
      <c r="H193" s="180" t="n"/>
      <c r="I193" s="181" t="n"/>
      <c r="K193" s="28" t="n"/>
      <c r="L193" s="28" t="n"/>
      <c r="M193" s="28" t="n"/>
      <c r="N193" s="28" t="n"/>
      <c r="O193" s="28" t="n"/>
      <c r="P193" s="28" t="n"/>
      <c r="Q193" s="28" t="n"/>
    </row>
    <row r="194">
      <c r="B194" s="66" t="n">
        <v>1</v>
      </c>
      <c r="C194" s="74" t="inlineStr">
        <is>
          <t>Und</t>
        </is>
      </c>
      <c r="D194" s="24" t="inlineStr">
        <is>
          <t>Brownie Nutella</t>
        </is>
      </c>
      <c r="E194" s="175" t="n"/>
      <c r="F194" s="175" t="n"/>
      <c r="G194" s="175" t="n"/>
      <c r="H194" s="175" t="n"/>
      <c r="I194" s="176" t="n"/>
      <c r="J194" s="210" t="n"/>
      <c r="K194" s="28" t="n"/>
      <c r="L194" s="28" t="n"/>
      <c r="M194" s="28" t="n"/>
      <c r="N194" s="28" t="n"/>
      <c r="O194" s="28" t="n"/>
      <c r="P194" s="28" t="n"/>
      <c r="Q194" s="28" t="n"/>
    </row>
    <row r="195">
      <c r="B195" s="68" t="n">
        <v>4</v>
      </c>
      <c r="C195" s="23" t="inlineStr">
        <is>
          <t>Und</t>
        </is>
      </c>
      <c r="D195" s="25" t="inlineStr">
        <is>
          <t>Brownie Vegano</t>
        </is>
      </c>
      <c r="E195" s="26" t="n"/>
      <c r="F195" s="26" t="n"/>
      <c r="G195" s="26" t="n"/>
      <c r="H195" s="26" t="n"/>
      <c r="I195" s="67" t="n"/>
      <c r="J195" s="210" t="n"/>
      <c r="K195" s="28" t="n"/>
      <c r="L195" s="28" t="n"/>
      <c r="M195" s="28" t="n"/>
      <c r="N195" s="28" t="n"/>
      <c r="O195" s="28" t="n"/>
      <c r="P195" s="28" t="n"/>
      <c r="Q195" s="28" t="n"/>
    </row>
    <row r="196">
      <c r="B196" s="68" t="n">
        <v>1</v>
      </c>
      <c r="C196" s="23" t="inlineStr">
        <is>
          <t>Und</t>
        </is>
      </c>
      <c r="D196" s="25" t="inlineStr">
        <is>
          <t>Cheesecake de Berries</t>
        </is>
      </c>
      <c r="E196" s="26" t="n"/>
      <c r="F196" s="26" t="n"/>
      <c r="G196" s="26" t="n"/>
      <c r="H196" s="26" t="n"/>
      <c r="I196" s="67" t="n"/>
      <c r="J196" s="210" t="n"/>
      <c r="K196" s="28" t="n"/>
      <c r="L196" s="28" t="n"/>
      <c r="M196" s="28" t="n"/>
      <c r="N196" s="28" t="n"/>
      <c r="O196" s="28" t="n"/>
      <c r="P196" s="28" t="n"/>
      <c r="Q196" s="28" t="n"/>
    </row>
    <row r="197">
      <c r="B197" s="68" t="n">
        <v>1</v>
      </c>
      <c r="C197" s="23" t="inlineStr">
        <is>
          <t>Und</t>
        </is>
      </c>
      <c r="D197" s="25" t="inlineStr">
        <is>
          <t>Cheesecake de limón</t>
        </is>
      </c>
      <c r="E197" s="26" t="n"/>
      <c r="F197" s="26" t="n"/>
      <c r="G197" s="26" t="n"/>
      <c r="H197" s="26" t="n"/>
      <c r="I197" s="67" t="n"/>
      <c r="J197" s="210" t="n"/>
      <c r="K197" s="28" t="n"/>
      <c r="L197" s="28" t="n"/>
      <c r="M197" s="28" t="n"/>
      <c r="N197" s="28" t="n"/>
      <c r="O197" s="28" t="n"/>
      <c r="P197" s="28" t="n"/>
      <c r="Q197" s="28" t="n"/>
    </row>
    <row r="198">
      <c r="B198" s="68" t="n">
        <v>1</v>
      </c>
      <c r="C198" s="23" t="inlineStr">
        <is>
          <t>Kg</t>
        </is>
      </c>
      <c r="D198" s="25" t="inlineStr">
        <is>
          <t>Chocolate Blanco</t>
        </is>
      </c>
      <c r="E198" s="26" t="n"/>
      <c r="F198" s="26" t="n"/>
      <c r="G198" s="26" t="n"/>
      <c r="H198" s="26" t="n"/>
      <c r="I198" s="67" t="n"/>
      <c r="J198" s="210" t="n"/>
      <c r="K198" s="28" t="n"/>
      <c r="L198" s="28" t="n"/>
      <c r="M198" s="28" t="n"/>
      <c r="N198" s="28" t="n"/>
      <c r="O198" s="28" t="n"/>
      <c r="P198" s="28" t="n"/>
      <c r="Q198" s="28" t="n"/>
    </row>
    <row r="199">
      <c r="B199" s="68" t="n">
        <v>1</v>
      </c>
      <c r="C199" s="23" t="inlineStr">
        <is>
          <t>Kg</t>
        </is>
      </c>
      <c r="D199" s="25" t="inlineStr">
        <is>
          <t>Chocolate Leche</t>
        </is>
      </c>
      <c r="E199" s="26" t="n"/>
      <c r="F199" s="26" t="n"/>
      <c r="G199" s="26" t="n"/>
      <c r="H199" s="26" t="n"/>
      <c r="I199" s="67" t="n"/>
      <c r="J199" s="210" t="n"/>
      <c r="K199" s="28" t="n"/>
      <c r="L199" s="28" t="n"/>
      <c r="M199" s="28" t="n"/>
      <c r="N199" s="28" t="n"/>
      <c r="O199" s="28" t="n"/>
      <c r="P199" s="28" t="n"/>
      <c r="Q199" s="28" t="n"/>
    </row>
    <row r="200">
      <c r="B200" s="68" t="n">
        <v>1</v>
      </c>
      <c r="C200" s="23" t="inlineStr">
        <is>
          <t>Kg</t>
        </is>
      </c>
      <c r="D200" s="25" t="inlineStr">
        <is>
          <t>Chocolate Negro</t>
        </is>
      </c>
      <c r="E200" s="26" t="n"/>
      <c r="F200" s="26" t="n"/>
      <c r="G200" s="26" t="n"/>
      <c r="H200" s="26" t="n"/>
      <c r="I200" s="67" t="n"/>
      <c r="J200" s="210" t="n"/>
      <c r="K200" s="28" t="n"/>
      <c r="L200" s="28" t="n"/>
      <c r="M200" s="28" t="n"/>
      <c r="N200" s="28" t="n"/>
      <c r="O200" s="28" t="n"/>
      <c r="P200" s="28" t="n"/>
      <c r="Q200" s="28" t="n"/>
    </row>
    <row r="201">
      <c r="B201" s="68" t="n">
        <v>1</v>
      </c>
      <c r="C201" s="23" t="inlineStr">
        <is>
          <t>Kg</t>
        </is>
      </c>
      <c r="D201" s="25" t="inlineStr">
        <is>
          <t>Chocolate Neucober Cobertura</t>
        </is>
      </c>
      <c r="E201" s="26" t="n"/>
      <c r="F201" s="26" t="n"/>
      <c r="G201" s="26" t="n"/>
      <c r="H201" s="26" t="n"/>
      <c r="I201" s="67" t="n"/>
      <c r="J201" s="210" t="n"/>
      <c r="K201" s="28" t="n"/>
      <c r="L201" s="28" t="n"/>
      <c r="M201" s="28" t="n"/>
      <c r="N201" s="28" t="n"/>
      <c r="O201" s="28" t="n"/>
      <c r="P201" s="28" t="n"/>
      <c r="Q201" s="28" t="n"/>
    </row>
    <row r="202">
      <c r="B202" s="68" t="n">
        <v>1</v>
      </c>
      <c r="C202" s="23" t="inlineStr">
        <is>
          <t>Kg</t>
        </is>
      </c>
      <c r="D202" s="25" t="inlineStr">
        <is>
          <t>Chocolate Sicao Cobertura</t>
        </is>
      </c>
      <c r="E202" s="26" t="n"/>
      <c r="F202" s="26" t="n"/>
      <c r="G202" s="26" t="n"/>
      <c r="H202" s="26" t="n"/>
      <c r="I202" s="67" t="n"/>
      <c r="J202" s="210" t="n"/>
      <c r="K202" s="28" t="n"/>
      <c r="L202" s="28" t="n"/>
      <c r="M202" s="28" t="n"/>
      <c r="N202" s="28" t="n"/>
      <c r="O202" s="28" t="n"/>
      <c r="P202" s="28" t="n"/>
      <c r="Q202" s="28" t="n"/>
    </row>
    <row r="203">
      <c r="B203" s="68" t="n">
        <v>1</v>
      </c>
      <c r="C203" s="23" t="inlineStr">
        <is>
          <t>Und</t>
        </is>
      </c>
      <c r="D203" s="25" t="inlineStr">
        <is>
          <t>Discos de Chocolate</t>
        </is>
      </c>
      <c r="E203" s="26" t="n"/>
      <c r="F203" s="26" t="n"/>
      <c r="G203" s="26" t="n"/>
      <c r="H203" s="26" t="n"/>
      <c r="I203" s="67" t="n"/>
      <c r="J203" s="210" t="n"/>
      <c r="K203" s="28" t="n"/>
      <c r="L203" s="28" t="n"/>
      <c r="M203" s="28" t="n"/>
      <c r="N203" s="28" t="n"/>
      <c r="O203" s="28" t="n"/>
      <c r="P203" s="28" t="n"/>
      <c r="Q203" s="28" t="n"/>
    </row>
    <row r="204">
      <c r="B204" s="68" t="n">
        <v>4</v>
      </c>
      <c r="C204" s="23" t="inlineStr">
        <is>
          <t>Pax</t>
        </is>
      </c>
      <c r="D204" s="25" t="inlineStr">
        <is>
          <t>Empanada mechada</t>
        </is>
      </c>
      <c r="E204" s="26" t="n"/>
      <c r="F204" s="26" t="n"/>
      <c r="G204" s="26" t="n"/>
      <c r="H204" s="26" t="n"/>
      <c r="I204" s="67" t="n"/>
      <c r="J204" s="210" t="n"/>
      <c r="K204" s="28" t="n"/>
      <c r="L204" s="28" t="n"/>
      <c r="M204" s="28" t="n"/>
      <c r="N204" s="28" t="n"/>
      <c r="O204" s="28" t="n"/>
      <c r="P204" s="28" t="n"/>
      <c r="Q204" s="28" t="n"/>
    </row>
    <row r="205">
      <c r="B205" s="68" t="n">
        <v>1</v>
      </c>
      <c r="C205" s="23" t="inlineStr">
        <is>
          <t>Und</t>
        </is>
      </c>
      <c r="D205" s="25" t="inlineStr">
        <is>
          <t>Empanada mechada sueltas</t>
        </is>
      </c>
      <c r="E205" s="26" t="n"/>
      <c r="F205" s="26" t="n"/>
      <c r="G205" s="26" t="n"/>
      <c r="H205" s="26" t="n"/>
      <c r="I205" s="67" t="n"/>
      <c r="J205" s="210" t="n"/>
      <c r="K205" s="28" t="n"/>
      <c r="L205" s="28" t="n"/>
      <c r="M205" s="28" t="n"/>
      <c r="N205" s="28" t="n"/>
      <c r="O205" s="28" t="n"/>
      <c r="P205" s="28" t="n"/>
      <c r="Q205" s="28" t="n"/>
    </row>
    <row r="206">
      <c r="B206" s="68" t="n">
        <v>4</v>
      </c>
      <c r="C206" s="23" t="inlineStr">
        <is>
          <t>Pax</t>
        </is>
      </c>
      <c r="D206" s="25" t="inlineStr">
        <is>
          <t>Empanada pulpo</t>
        </is>
      </c>
      <c r="E206" s="26" t="n"/>
      <c r="F206" s="26" t="n"/>
      <c r="G206" s="26" t="n"/>
      <c r="H206" s="26" t="n"/>
      <c r="I206" s="67" t="n"/>
      <c r="J206" s="210" t="n"/>
      <c r="K206" s="28" t="n"/>
      <c r="L206" s="28" t="n"/>
      <c r="M206" s="28" t="n"/>
      <c r="N206" s="28" t="n"/>
      <c r="O206" s="28" t="n"/>
      <c r="P206" s="28" t="n"/>
      <c r="Q206" s="28" t="n"/>
    </row>
    <row r="207">
      <c r="B207" s="68" t="n">
        <v>1</v>
      </c>
      <c r="C207" s="23" t="inlineStr">
        <is>
          <t>Und</t>
        </is>
      </c>
      <c r="D207" s="25" t="inlineStr">
        <is>
          <t>Empanada pulpo sueltas</t>
        </is>
      </c>
      <c r="E207" s="26" t="n"/>
      <c r="F207" s="26" t="n"/>
      <c r="G207" s="26" t="n"/>
      <c r="H207" s="26" t="n"/>
      <c r="I207" s="67" t="n"/>
      <c r="J207" s="210" t="n"/>
      <c r="K207" s="28" t="n"/>
      <c r="L207" s="28" t="n"/>
      <c r="M207" s="28" t="n"/>
      <c r="N207" s="28" t="n"/>
      <c r="O207" s="28" t="n"/>
      <c r="P207" s="28" t="n"/>
      <c r="Q207" s="28" t="n"/>
    </row>
    <row r="208">
      <c r="B208" s="68" t="n">
        <v>1</v>
      </c>
      <c r="C208" s="23" t="inlineStr">
        <is>
          <t>Und</t>
        </is>
      </c>
      <c r="D208" s="27" t="inlineStr">
        <is>
          <t>Flan de caluga</t>
        </is>
      </c>
      <c r="E208" s="26" t="n"/>
      <c r="F208" s="26" t="n"/>
      <c r="G208" s="26" t="n"/>
      <c r="H208" s="26" t="n"/>
      <c r="I208" s="67" t="n"/>
      <c r="J208" s="210" t="n"/>
      <c r="K208" s="28" t="n"/>
      <c r="L208" s="28" t="n"/>
      <c r="M208" s="28" t="n"/>
      <c r="N208" s="28" t="n"/>
      <c r="O208" s="28" t="n"/>
      <c r="P208" s="28" t="n"/>
      <c r="Q208" s="28" t="n"/>
    </row>
    <row r="209">
      <c r="B209" s="68" t="n">
        <v>1</v>
      </c>
      <c r="C209" s="23" t="inlineStr">
        <is>
          <t>Und</t>
        </is>
      </c>
      <c r="D209" s="27" t="inlineStr">
        <is>
          <t>Granola salada</t>
        </is>
      </c>
      <c r="E209" s="26" t="n"/>
      <c r="F209" s="26" t="n"/>
      <c r="G209" s="26" t="n"/>
      <c r="H209" s="26" t="n"/>
      <c r="I209" s="67" t="n"/>
      <c r="J209" s="210" t="n"/>
      <c r="K209" s="28" t="n"/>
      <c r="L209" s="28" t="n"/>
      <c r="M209" s="28" t="n"/>
      <c r="N209" s="28" t="n"/>
      <c r="O209" s="28" t="n"/>
      <c r="P209" s="28" t="n"/>
      <c r="Q209" s="28" t="n"/>
    </row>
    <row r="210">
      <c r="B210" s="68" t="n">
        <v>1</v>
      </c>
      <c r="C210" s="23" t="inlineStr">
        <is>
          <t>Und</t>
        </is>
      </c>
      <c r="D210" s="25" t="inlineStr">
        <is>
          <t>Mix Conchas</t>
        </is>
      </c>
      <c r="E210" s="26" t="n"/>
      <c r="F210" s="26" t="n"/>
      <c r="G210" s="26" t="n"/>
      <c r="H210" s="26" t="n"/>
      <c r="I210" s="67" t="n"/>
      <c r="J210" s="210" t="n"/>
      <c r="K210" s="28" t="n"/>
      <c r="L210" s="28" t="n"/>
      <c r="M210" s="28" t="n"/>
      <c r="N210" s="28" t="n"/>
      <c r="O210" s="28" t="n"/>
      <c r="P210" s="28" t="n"/>
      <c r="Q210" s="28" t="n"/>
    </row>
    <row r="211">
      <c r="B211" s="68" t="n">
        <v>1</v>
      </c>
      <c r="C211" s="23" t="inlineStr">
        <is>
          <t>Kg</t>
        </is>
      </c>
      <c r="D211" s="25" t="inlineStr">
        <is>
          <t>Nutella</t>
        </is>
      </c>
      <c r="E211" s="26" t="n"/>
      <c r="F211" s="26" t="n"/>
      <c r="G211" s="26" t="n"/>
      <c r="H211" s="26" t="n"/>
      <c r="I211" s="67" t="n"/>
      <c r="J211" s="210" t="n"/>
      <c r="K211" s="28" t="n"/>
      <c r="L211" s="28" t="n"/>
      <c r="M211" s="28" t="n"/>
      <c r="N211" s="28" t="n"/>
      <c r="O211" s="28" t="n"/>
      <c r="P211" s="28" t="n"/>
      <c r="Q211" s="28" t="n"/>
    </row>
    <row r="212">
      <c r="B212" s="68" t="n">
        <v>1</v>
      </c>
      <c r="C212" s="23" t="inlineStr">
        <is>
          <t>Und</t>
        </is>
      </c>
      <c r="D212" s="25" t="inlineStr">
        <is>
          <t>Queso Mozzarella</t>
        </is>
      </c>
      <c r="E212" s="26" t="n"/>
      <c r="F212" s="26" t="n"/>
      <c r="G212" s="26" t="n"/>
      <c r="H212" s="26" t="n"/>
      <c r="I212" s="67" t="n"/>
      <c r="J212" s="210" t="n"/>
      <c r="K212" s="28" t="n"/>
      <c r="L212" s="28" t="n"/>
      <c r="M212" s="28" t="n"/>
      <c r="N212" s="28" t="n"/>
      <c r="O212" s="28" t="n"/>
      <c r="P212" s="28" t="n"/>
      <c r="Q212" s="28" t="n"/>
    </row>
    <row r="213">
      <c r="B213" s="68" t="n">
        <v>8</v>
      </c>
      <c r="C213" s="23" t="inlineStr">
        <is>
          <t>Porción</t>
        </is>
      </c>
      <c r="D213" s="70" t="inlineStr">
        <is>
          <t>Sorrentinos carne mechada</t>
        </is>
      </c>
      <c r="E213" s="26" t="n"/>
      <c r="F213" s="26" t="n"/>
      <c r="G213" s="26" t="n"/>
      <c r="H213" s="26" t="n"/>
      <c r="I213" s="67" t="n"/>
      <c r="J213" s="210" t="n"/>
      <c r="K213" s="4" t="n"/>
      <c r="L213" s="4" t="n"/>
      <c r="M213" s="4" t="n"/>
      <c r="N213" s="4" t="n"/>
      <c r="O213" s="4" t="n"/>
      <c r="P213" s="4" t="n"/>
      <c r="Q213" s="4" t="n"/>
    </row>
    <row r="214">
      <c r="B214" s="68" t="n">
        <v>7</v>
      </c>
      <c r="C214" s="23" t="inlineStr">
        <is>
          <t>Porción</t>
        </is>
      </c>
      <c r="D214" s="70" t="inlineStr">
        <is>
          <t>Sorrentinos pulpo y salmón</t>
        </is>
      </c>
      <c r="E214" s="26" t="n"/>
      <c r="F214" s="26" t="n"/>
      <c r="G214" s="26" t="n"/>
      <c r="H214" s="26" t="n"/>
      <c r="I214" s="67" t="n"/>
      <c r="J214" s="210" t="n"/>
      <c r="K214" s="4" t="n"/>
      <c r="L214" s="4" t="n"/>
      <c r="M214" s="4" t="n"/>
      <c r="N214" s="4" t="n"/>
      <c r="O214" s="4" t="n"/>
      <c r="P214" s="4" t="n"/>
      <c r="Q214" s="4" t="n"/>
    </row>
    <row r="215">
      <c r="B215" s="68" t="n">
        <v>8</v>
      </c>
      <c r="C215" s="23" t="inlineStr">
        <is>
          <t>Porción</t>
        </is>
      </c>
      <c r="D215" s="25" t="inlineStr">
        <is>
          <t>Sorrentinos zapallo</t>
        </is>
      </c>
      <c r="E215" s="26" t="n"/>
      <c r="F215" s="26" t="n"/>
      <c r="G215" s="26" t="n"/>
      <c r="H215" s="26" t="n"/>
      <c r="I215" s="67" t="n"/>
      <c r="J215" s="210" t="n"/>
      <c r="K215" s="4" t="n"/>
      <c r="L215" s="4" t="n"/>
      <c r="M215" s="4" t="n"/>
      <c r="N215" s="4" t="n"/>
      <c r="O215" s="4" t="n"/>
      <c r="P215" s="4" t="n"/>
      <c r="Q215" s="4" t="n"/>
    </row>
    <row r="216" ht="13.5" customHeight="1" s="95" thickBot="1">
      <c r="B216" s="71" t="n">
        <v>1</v>
      </c>
      <c r="C216" s="75" t="inlineStr">
        <is>
          <t>Und</t>
        </is>
      </c>
      <c r="D216" s="174" t="inlineStr">
        <is>
          <t>Volcán de chocolate</t>
        </is>
      </c>
      <c r="E216" s="72" t="n"/>
      <c r="F216" s="72" t="n"/>
      <c r="G216" s="72" t="n"/>
      <c r="H216" s="72" t="n"/>
      <c r="I216" s="73" t="n"/>
      <c r="J216" s="210" t="n"/>
      <c r="K216" s="4" t="n"/>
      <c r="L216" s="4" t="n"/>
      <c r="M216" s="4" t="n"/>
      <c r="N216" s="4" t="n"/>
      <c r="O216" s="4" t="n"/>
      <c r="P216" s="4" t="n"/>
      <c r="Q216" s="4" t="n"/>
    </row>
    <row r="217">
      <c r="B217" s="4" t="n"/>
      <c r="C217" s="4" t="n"/>
      <c r="D217" s="4" t="n"/>
      <c r="E217" s="4" t="n"/>
      <c r="F217" s="4" t="n"/>
      <c r="G217" s="4" t="n"/>
      <c r="H217" s="4" t="n"/>
      <c r="I217" s="4" t="n"/>
      <c r="J217" s="5" t="n"/>
      <c r="K217" s="4" t="n"/>
      <c r="L217" s="4" t="n"/>
      <c r="M217" s="4" t="n"/>
      <c r="N217" s="4" t="n"/>
      <c r="O217" s="4" t="n"/>
      <c r="P217" s="4" t="n"/>
      <c r="Q217" s="4" t="n"/>
    </row>
    <row r="218" ht="13.5" customHeight="1" s="95" thickBot="1"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</row>
    <row r="219" ht="13.5" customHeight="1" s="95" thickBot="1">
      <c r="B219" s="4" t="n"/>
      <c r="C219" s="4" t="n"/>
      <c r="D219" s="317" t="inlineStr">
        <is>
          <t>ENTREGAS A COCINA/SALIDA DE BODEGA</t>
        </is>
      </c>
      <c r="E219" s="318" t="n"/>
      <c r="F219" s="319" t="n"/>
      <c r="G219" s="209" t="n"/>
      <c r="H219" s="209" t="n"/>
      <c r="I219" s="209" t="n"/>
      <c r="J219" s="4" t="n"/>
      <c r="K219" s="4" t="n"/>
      <c r="L219" s="4" t="n"/>
      <c r="M219" s="4" t="n"/>
      <c r="N219" s="4" t="n"/>
      <c r="O219" s="4" t="n"/>
      <c r="P219" s="4" t="n"/>
      <c r="Q219" s="4" t="n"/>
    </row>
    <row r="220" ht="13.5" customHeight="1" s="95" thickTop="1">
      <c r="B220" s="4" t="n"/>
      <c r="C220" s="4" t="n"/>
      <c r="D220" s="57" t="inlineStr">
        <is>
          <t>Ítem</t>
        </is>
      </c>
      <c r="E220" s="29" t="inlineStr">
        <is>
          <t>Cant.</t>
        </is>
      </c>
      <c r="F220" s="58" t="inlineStr">
        <is>
          <t>Medida</t>
        </is>
      </c>
      <c r="G220" s="209" t="inlineStr">
        <is>
          <t> </t>
        </is>
      </c>
      <c r="I220" s="209" t="n"/>
      <c r="J220" s="4" t="n"/>
      <c r="K220" s="4" t="n"/>
      <c r="L220" s="4" t="n"/>
      <c r="M220" s="4" t="n"/>
      <c r="N220" s="4" t="n"/>
      <c r="O220" s="4" t="n"/>
      <c r="P220" s="4" t="n"/>
      <c r="Q220" s="4" t="n"/>
    </row>
    <row r="221">
      <c r="B221" s="4" t="n"/>
      <c r="C221" s="4" t="n"/>
      <c r="D221" s="35" t="inlineStr">
        <is>
          <t>Atún Steak</t>
        </is>
      </c>
      <c r="E221" s="320" t="n"/>
      <c r="F221" s="59" t="inlineStr">
        <is>
          <t>Kg</t>
        </is>
      </c>
      <c r="G221" s="209" t="n"/>
      <c r="H221" s="209" t="n"/>
      <c r="I221" s="209" t="n"/>
      <c r="J221" s="209" t="n"/>
      <c r="K221" s="4" t="n"/>
      <c r="L221" s="4" t="n"/>
      <c r="M221" s="4" t="n"/>
      <c r="N221" s="4" t="n"/>
      <c r="O221" s="4" t="n"/>
      <c r="P221" s="4" t="n"/>
      <c r="Q221" s="4" t="n"/>
    </row>
    <row r="222">
      <c r="B222" s="4" t="n"/>
      <c r="C222" s="4" t="n"/>
      <c r="D222" s="35" t="inlineStr">
        <is>
          <t>Atún trozos</t>
        </is>
      </c>
      <c r="E222" s="320" t="n"/>
      <c r="F222" s="59" t="inlineStr">
        <is>
          <t>Kg</t>
        </is>
      </c>
      <c r="G222" s="209" t="n"/>
      <c r="H222" s="209" t="n"/>
      <c r="I222" s="209" t="n"/>
      <c r="J222" s="4" t="n"/>
      <c r="K222" s="4" t="n"/>
      <c r="L222" s="4" t="n"/>
      <c r="M222" s="4" t="n"/>
      <c r="N222" s="4" t="n"/>
      <c r="O222" s="4" t="n"/>
      <c r="P222" s="4" t="n"/>
      <c r="Q222" s="4" t="n"/>
    </row>
    <row r="223">
      <c r="B223" s="4" t="n"/>
      <c r="C223" s="4" t="n"/>
      <c r="D223" s="35" t="inlineStr">
        <is>
          <t>Carpaccio de res</t>
        </is>
      </c>
      <c r="E223" s="320" t="n"/>
      <c r="F223" s="59" t="inlineStr">
        <is>
          <t>Kg</t>
        </is>
      </c>
      <c r="G223" s="209" t="n"/>
      <c r="H223" s="209" t="n"/>
      <c r="I223" s="209" t="n"/>
      <c r="J223" s="4" t="n"/>
      <c r="K223" s="4" t="n"/>
      <c r="L223" s="4" t="n"/>
      <c r="M223" s="4" t="n"/>
      <c r="N223" s="4" t="n"/>
      <c r="O223" s="4" t="n"/>
      <c r="P223" s="4" t="n"/>
      <c r="Q223" s="4" t="n"/>
    </row>
    <row r="224">
      <c r="B224" s="4" t="n"/>
      <c r="C224" s="4" t="n"/>
      <c r="D224" s="35" t="inlineStr">
        <is>
          <t>Ceviche de reineta</t>
        </is>
      </c>
      <c r="E224" s="320" t="n"/>
      <c r="F224" s="59" t="inlineStr">
        <is>
          <t>Kg</t>
        </is>
      </c>
      <c r="G224" s="209" t="n"/>
      <c r="H224" s="209" t="n"/>
      <c r="I224" s="209" t="n"/>
      <c r="J224" s="4" t="n"/>
      <c r="K224" s="4" t="n"/>
      <c r="L224" s="4" t="n"/>
      <c r="M224" s="4" t="n"/>
      <c r="N224" s="4" t="n"/>
      <c r="O224" s="4" t="n"/>
      <c r="P224" s="4" t="n"/>
      <c r="Q224" s="4" t="n"/>
    </row>
    <row r="225">
      <c r="B225" s="4" t="n"/>
      <c r="C225" s="4" t="n"/>
      <c r="D225" s="35" t="inlineStr">
        <is>
          <t>Empanada Mechada</t>
        </is>
      </c>
      <c r="E225" s="320" t="n"/>
      <c r="F225" s="59" t="inlineStr">
        <is>
          <t>Und</t>
        </is>
      </c>
      <c r="G225" s="209" t="n"/>
      <c r="H225" s="209" t="n"/>
      <c r="I225" s="209" t="n"/>
      <c r="J225" s="4" t="n"/>
      <c r="K225" s="4" t="n"/>
      <c r="L225" s="4" t="n"/>
      <c r="M225" s="4" t="n"/>
      <c r="N225" s="4" t="n"/>
      <c r="O225" s="4" t="n"/>
      <c r="P225" s="4" t="n"/>
      <c r="Q225" s="4" t="n"/>
    </row>
    <row r="226">
      <c r="B226" s="4" t="n"/>
      <c r="C226" s="4" t="n"/>
      <c r="D226" s="151" t="inlineStr">
        <is>
          <t>Filete para churrasco</t>
        </is>
      </c>
      <c r="E226" s="320" t="n"/>
      <c r="F226" s="59" t="inlineStr">
        <is>
          <t>Kg</t>
        </is>
      </c>
      <c r="G226" s="209" t="n"/>
      <c r="H226" s="209" t="n"/>
      <c r="I226" s="209" t="n"/>
      <c r="J226" s="4" t="n"/>
      <c r="K226" s="4" t="n"/>
      <c r="L226" s="4" t="n"/>
      <c r="M226" s="4" t="n"/>
      <c r="N226" s="4" t="n"/>
      <c r="O226" s="4" t="n"/>
      <c r="P226" s="4" t="n"/>
      <c r="Q226" s="4" t="n"/>
    </row>
    <row r="227">
      <c r="B227" s="4" t="n"/>
      <c r="C227" s="4" t="n"/>
      <c r="D227" s="151" t="inlineStr">
        <is>
          <t>Filete para crudo</t>
        </is>
      </c>
      <c r="E227" s="320" t="n"/>
      <c r="F227" s="59" t="inlineStr">
        <is>
          <t>Kg</t>
        </is>
      </c>
      <c r="G227" s="209" t="n"/>
      <c r="H227" s="209" t="n"/>
      <c r="I227" s="209" t="n"/>
      <c r="J227" s="4" t="n"/>
      <c r="K227" s="4" t="n"/>
      <c r="L227" s="4" t="n"/>
      <c r="M227" s="4" t="n"/>
      <c r="N227" s="4" t="n"/>
      <c r="O227" s="4" t="n"/>
      <c r="P227" s="4" t="n"/>
      <c r="Q227" s="4" t="n"/>
    </row>
    <row r="228">
      <c r="B228" s="4" t="n"/>
      <c r="C228" s="4" t="n"/>
      <c r="D228" s="35" t="inlineStr">
        <is>
          <t>Filete salteado</t>
        </is>
      </c>
      <c r="E228" s="320" t="n"/>
      <c r="F228" s="59" t="inlineStr">
        <is>
          <t>Kg</t>
        </is>
      </c>
      <c r="G228" s="209" t="n"/>
      <c r="H228" s="209" t="n"/>
      <c r="I228" s="209" t="n"/>
      <c r="J228" s="4" t="n"/>
      <c r="K228" s="4" t="n"/>
      <c r="L228" s="4" t="n"/>
      <c r="M228" s="4" t="n"/>
      <c r="N228" s="4" t="n"/>
      <c r="O228" s="4" t="n"/>
      <c r="P228" s="4" t="n"/>
      <c r="Q228" s="4" t="n"/>
    </row>
    <row r="229">
      <c r="B229" s="4" t="n"/>
      <c r="C229" s="4" t="n"/>
      <c r="D229" s="97" t="inlineStr">
        <is>
          <t>Ganso</t>
        </is>
      </c>
      <c r="E229" s="320" t="n"/>
      <c r="F229" s="59" t="inlineStr">
        <is>
          <t>Kg</t>
        </is>
      </c>
      <c r="G229" s="209" t="n"/>
      <c r="H229" s="209" t="n"/>
      <c r="I229" s="209" t="n"/>
      <c r="J229" s="4" t="n"/>
      <c r="K229" s="4" t="n"/>
      <c r="L229" s="4" t="n"/>
      <c r="M229" s="4" t="n"/>
      <c r="N229" s="4" t="n"/>
      <c r="O229" s="4" t="n"/>
      <c r="P229" s="4" t="n"/>
      <c r="Q229" s="4" t="n"/>
    </row>
    <row r="230">
      <c r="B230" s="4" t="n"/>
      <c r="C230" s="4" t="n"/>
      <c r="D230" s="35" t="inlineStr">
        <is>
          <t>Granola Salada</t>
        </is>
      </c>
      <c r="E230" s="320" t="n"/>
      <c r="F230" s="59" t="inlineStr">
        <is>
          <t>Und</t>
        </is>
      </c>
      <c r="G230" s="209" t="n"/>
      <c r="H230" s="209" t="n"/>
      <c r="I230" s="209" t="n"/>
      <c r="J230" s="4" t="n"/>
      <c r="K230" s="4" t="n"/>
      <c r="L230" s="4" t="n"/>
      <c r="M230" s="4" t="n"/>
      <c r="N230" s="4" t="n"/>
      <c r="O230" s="4" t="n"/>
      <c r="P230" s="4" t="n"/>
      <c r="Q230" s="4" t="n"/>
    </row>
    <row r="231">
      <c r="B231" s="4" t="n"/>
      <c r="C231" s="4" t="n"/>
      <c r="D231" s="35" t="inlineStr">
        <is>
          <t>Hamburguesas</t>
        </is>
      </c>
      <c r="E231" s="320" t="n"/>
      <c r="F231" s="59" t="inlineStr">
        <is>
          <t>Kg</t>
        </is>
      </c>
      <c r="G231" s="209" t="n"/>
      <c r="H231" s="209" t="n"/>
      <c r="I231" s="209" t="n"/>
      <c r="J231" s="4" t="n"/>
      <c r="K231" s="4" t="n"/>
      <c r="L231" s="4" t="n"/>
      <c r="M231" s="4" t="n"/>
      <c r="N231" s="4" t="n"/>
      <c r="O231" s="4" t="n"/>
      <c r="P231" s="4" t="n"/>
      <c r="Q231" s="4" t="n"/>
    </row>
    <row r="232">
      <c r="B232" s="4" t="n"/>
      <c r="C232" s="4" t="n"/>
      <c r="D232" s="35" t="inlineStr">
        <is>
          <t>Jamón Serrano</t>
        </is>
      </c>
      <c r="E232" s="320" t="n"/>
      <c r="F232" s="59" t="inlineStr">
        <is>
          <t>Kg</t>
        </is>
      </c>
      <c r="G232" s="209" t="n"/>
      <c r="H232" s="209" t="n"/>
      <c r="I232" s="209" t="n"/>
      <c r="J232" s="4" t="n"/>
      <c r="K232" s="4" t="n"/>
      <c r="L232" s="4" t="n"/>
      <c r="M232" s="4" t="n"/>
      <c r="N232" s="4" t="n"/>
      <c r="O232" s="4" t="n"/>
      <c r="P232" s="4" t="n"/>
      <c r="Q232" s="4" t="n"/>
    </row>
    <row r="233">
      <c r="B233" s="4" t="n"/>
      <c r="C233" s="4" t="n"/>
      <c r="D233" s="35" t="inlineStr">
        <is>
          <t>Lomo liso</t>
        </is>
      </c>
      <c r="E233" s="320" t="n"/>
      <c r="F233" s="59" t="inlineStr">
        <is>
          <t>Kg</t>
        </is>
      </c>
      <c r="G233" s="209" t="n"/>
      <c r="H233" s="209" t="n"/>
      <c r="I233" s="209" t="n"/>
      <c r="J233" s="4" t="n"/>
      <c r="K233" s="4" t="n"/>
      <c r="L233" s="4" t="n"/>
      <c r="M233" s="4" t="n"/>
      <c r="N233" s="4" t="n"/>
      <c r="O233" s="4" t="n"/>
      <c r="P233" s="4" t="n"/>
      <c r="Q233" s="4" t="n"/>
    </row>
    <row r="234">
      <c r="B234" s="4" t="n"/>
      <c r="C234" s="4" t="n"/>
      <c r="D234" s="35" t="inlineStr">
        <is>
          <t>Plateada</t>
        </is>
      </c>
      <c r="E234" s="320" t="n"/>
      <c r="F234" s="59" t="inlineStr">
        <is>
          <t>Kg</t>
        </is>
      </c>
      <c r="G234" s="209" t="n"/>
      <c r="H234" s="209" t="n"/>
      <c r="I234" s="209" t="n"/>
      <c r="J234" s="4" t="n"/>
      <c r="K234" s="4" t="n"/>
      <c r="L234" s="4" t="n"/>
      <c r="M234" s="4" t="n"/>
      <c r="N234" s="4" t="n"/>
      <c r="O234" s="4" t="n"/>
      <c r="P234" s="4" t="n"/>
      <c r="Q234" s="4" t="n"/>
    </row>
    <row r="235">
      <c r="B235" s="4" t="n"/>
      <c r="C235" s="4" t="n"/>
      <c r="D235" s="35" t="inlineStr">
        <is>
          <t>Pulpo</t>
        </is>
      </c>
      <c r="E235" s="320" t="n"/>
      <c r="F235" s="59" t="inlineStr">
        <is>
          <t>Kg</t>
        </is>
      </c>
      <c r="G235" s="209" t="n"/>
      <c r="H235" s="209" t="n"/>
      <c r="I235" s="209" t="n"/>
      <c r="J235" s="4" t="n"/>
      <c r="K235" s="4" t="n"/>
      <c r="L235" s="4" t="n"/>
      <c r="M235" s="4" t="n"/>
      <c r="N235" s="4" t="n"/>
      <c r="O235" s="4" t="n"/>
      <c r="P235" s="4" t="n"/>
      <c r="Q235" s="4" t="n"/>
    </row>
    <row r="236">
      <c r="B236" s="4" t="n"/>
      <c r="C236" s="4" t="n"/>
      <c r="D236" s="35" t="inlineStr">
        <is>
          <t>Queso Mozzarella</t>
        </is>
      </c>
      <c r="E236" s="320" t="n"/>
      <c r="F236" s="59" t="inlineStr">
        <is>
          <t>Und</t>
        </is>
      </c>
      <c r="G236" s="209" t="n"/>
      <c r="H236" s="209" t="n"/>
      <c r="I236" s="209" t="n"/>
      <c r="J236" s="4" t="n"/>
      <c r="K236" s="4" t="n"/>
      <c r="L236" s="4" t="n"/>
      <c r="M236" s="4" t="n"/>
      <c r="N236" s="4" t="n"/>
      <c r="O236" s="4" t="n"/>
      <c r="P236" s="4" t="n"/>
      <c r="Q236" s="4" t="n"/>
    </row>
    <row r="237">
      <c r="B237" s="4" t="n"/>
      <c r="C237" s="4" t="n"/>
      <c r="D237" s="35" t="inlineStr">
        <is>
          <t>Salmón Ahumado en Caliente</t>
        </is>
      </c>
      <c r="E237" s="320" t="n"/>
      <c r="F237" s="59" t="inlineStr">
        <is>
          <t>Kg</t>
        </is>
      </c>
      <c r="G237" s="209" t="n"/>
      <c r="H237" s="209" t="n"/>
      <c r="I237" s="209" t="n"/>
      <c r="J237" s="4" t="n"/>
      <c r="K237" s="4" t="n"/>
      <c r="L237" s="4" t="n"/>
      <c r="M237" s="4" t="n"/>
      <c r="N237" s="4" t="n"/>
      <c r="O237" s="4" t="n"/>
      <c r="P237" s="4" t="n"/>
      <c r="Q237" s="4" t="n"/>
    </row>
    <row r="238">
      <c r="B238" s="4" t="n"/>
      <c r="C238" s="4" t="n"/>
      <c r="D238" s="60" t="inlineStr">
        <is>
          <t>Salmón cancato</t>
        </is>
      </c>
      <c r="E238" s="321" t="n"/>
      <c r="F238" s="61" t="inlineStr">
        <is>
          <t>Kg</t>
        </is>
      </c>
      <c r="G238" s="209" t="n"/>
      <c r="H238" s="209" t="n"/>
      <c r="I238" s="209" t="n"/>
      <c r="J238" s="4" t="n"/>
      <c r="K238" s="4" t="n"/>
      <c r="L238" s="4" t="n"/>
      <c r="M238" s="4" t="n"/>
      <c r="N238" s="4" t="n"/>
      <c r="O238" s="4" t="n"/>
      <c r="P238" s="4" t="n"/>
      <c r="Q238" s="4" t="n"/>
    </row>
    <row r="239">
      <c r="B239" s="4" t="n"/>
      <c r="C239" s="4" t="n"/>
      <c r="D239" s="60" t="inlineStr">
        <is>
          <t>Salmón fresco premium</t>
        </is>
      </c>
      <c r="E239" s="321" t="n"/>
      <c r="F239" s="61" t="inlineStr">
        <is>
          <t>Kg</t>
        </is>
      </c>
      <c r="G239" s="209" t="n"/>
      <c r="H239" s="209" t="n"/>
      <c r="I239" s="209" t="n"/>
      <c r="J239" s="4" t="n"/>
      <c r="K239" s="4" t="n"/>
      <c r="L239" s="4" t="n"/>
      <c r="M239" s="4" t="n"/>
      <c r="N239" s="4" t="n"/>
      <c r="O239" s="4" t="n"/>
      <c r="P239" s="4" t="n"/>
      <c r="Q239" s="4" t="n"/>
    </row>
    <row r="240">
      <c r="B240" s="4" t="n"/>
      <c r="C240" s="4" t="n"/>
      <c r="D240" s="35" t="inlineStr">
        <is>
          <t>Sorrentinos carne mechada</t>
        </is>
      </c>
      <c r="E240" s="321" t="n"/>
      <c r="F240" s="61" t="inlineStr">
        <is>
          <t>Porción</t>
        </is>
      </c>
      <c r="G240" s="209" t="n"/>
      <c r="H240" s="209" t="n"/>
      <c r="I240" s="209" t="n"/>
      <c r="J240" s="4" t="n"/>
      <c r="K240" s="4" t="n"/>
      <c r="L240" s="4" t="n"/>
      <c r="M240" s="4" t="n"/>
      <c r="N240" s="4" t="n"/>
      <c r="O240" s="4" t="n"/>
      <c r="P240" s="4" t="n"/>
      <c r="Q240" s="4" t="n"/>
    </row>
    <row r="241">
      <c r="B241" s="4" t="n"/>
      <c r="C241" s="4" t="n"/>
      <c r="D241" s="35" t="inlineStr">
        <is>
          <t>Sorrentinos pulpo y salmón</t>
        </is>
      </c>
      <c r="E241" s="321" t="n"/>
      <c r="F241" s="61" t="inlineStr">
        <is>
          <t>Porción</t>
        </is>
      </c>
      <c r="G241" s="209" t="n"/>
      <c r="H241" s="209" t="n"/>
      <c r="I241" s="209" t="n"/>
      <c r="J241" s="4" t="n"/>
      <c r="K241" s="4" t="n"/>
      <c r="L241" s="4" t="n"/>
      <c r="M241" s="4" t="n"/>
      <c r="N241" s="4" t="n"/>
      <c r="O241" s="4" t="n"/>
      <c r="P241" s="4" t="n"/>
      <c r="Q241" s="4" t="n"/>
    </row>
    <row r="242" ht="13.5" customHeight="1" s="95" thickBot="1">
      <c r="B242" s="4" t="n"/>
      <c r="C242" s="4" t="n"/>
      <c r="D242" s="62" t="inlineStr">
        <is>
          <t>Sorrentinos zapallo</t>
        </is>
      </c>
      <c r="E242" s="322" t="n"/>
      <c r="F242" s="64" t="inlineStr">
        <is>
          <t>Porción</t>
        </is>
      </c>
      <c r="G242" s="209" t="n"/>
      <c r="H242" s="209" t="n"/>
      <c r="I242" s="209" t="n"/>
      <c r="J242" s="4" t="n"/>
      <c r="K242" s="4" t="n"/>
      <c r="L242" s="4" t="n"/>
      <c r="M242" s="4" t="n"/>
      <c r="N242" s="4" t="n"/>
      <c r="O242" s="4" t="n"/>
      <c r="P242" s="4" t="n"/>
      <c r="Q242" s="4" t="n"/>
    </row>
    <row r="243">
      <c r="G243" s="209" t="n"/>
      <c r="H243" s="209" t="n"/>
      <c r="I243" s="209" t="n"/>
    </row>
    <row r="244" ht="13.5" customHeight="1" s="95" thickBot="1"/>
    <row r="245" ht="14.25" customHeight="1" s="95" thickBot="1" thickTop="1">
      <c r="D245" s="323" t="inlineStr">
        <is>
          <t xml:space="preserve">ENTREGAS DE PROTEINAS PARA PRODUCCIONES DE COCINA </t>
        </is>
      </c>
      <c r="E245" s="324" t="n"/>
      <c r="F245" s="324" t="n"/>
      <c r="G245" s="325" t="n"/>
    </row>
    <row r="246" ht="13.5" customHeight="1" s="95" thickBot="1">
      <c r="B246" s="211" t="n"/>
      <c r="C246" s="212" t="inlineStr">
        <is>
          <t>Medida</t>
        </is>
      </c>
      <c r="D246" s="101" t="inlineStr">
        <is>
          <t>Producto</t>
        </is>
      </c>
      <c r="E246" s="101" t="inlineStr">
        <is>
          <t>Cantidad</t>
        </is>
      </c>
      <c r="F246" s="101" t="inlineStr">
        <is>
          <t>Producto Final</t>
        </is>
      </c>
      <c r="G246" s="101" t="inlineStr">
        <is>
          <t>Medida</t>
        </is>
      </c>
      <c r="H246" s="142" t="inlineStr">
        <is>
          <t>Cantidad Producida</t>
        </is>
      </c>
      <c r="I246" s="326" t="n"/>
      <c r="J246" s="101" t="inlineStr">
        <is>
          <t>Mermas (Kg)</t>
        </is>
      </c>
      <c r="K246" s="102" t="inlineStr">
        <is>
          <t>Cant. Utilizada</t>
        </is>
      </c>
      <c r="L246" s="56" t="n"/>
    </row>
    <row r="247">
      <c r="B247" s="213" t="n"/>
      <c r="C247" s="214" t="inlineStr">
        <is>
          <t>Kg</t>
        </is>
      </c>
      <c r="D247" s="100" t="inlineStr">
        <is>
          <t>Despunte de pulpo</t>
        </is>
      </c>
      <c r="E247" s="99" t="n"/>
      <c r="F247" s="215" t="inlineStr">
        <is>
          <t>Empanadas de pulpo</t>
        </is>
      </c>
      <c r="G247" s="100" t="inlineStr">
        <is>
          <t>Pax</t>
        </is>
      </c>
      <c r="H247" s="327" t="n"/>
      <c r="I247" s="328" t="n"/>
      <c r="J247" s="263" t="n"/>
      <c r="K247" s="264" t="n"/>
      <c r="L247" s="213" t="n"/>
    </row>
    <row r="248">
      <c r="B248" s="213" t="n"/>
      <c r="C248" s="216" t="inlineStr">
        <is>
          <t>Kg</t>
        </is>
      </c>
      <c r="D248" s="220" t="inlineStr">
        <is>
          <t>Langostinos</t>
        </is>
      </c>
      <c r="E248" s="255" t="n"/>
      <c r="F248" s="218" t="inlineStr">
        <is>
          <t>Brocheta de Langostinos</t>
        </is>
      </c>
      <c r="G248" s="122" t="inlineStr">
        <is>
          <t>Pax</t>
        </is>
      </c>
      <c r="H248" s="255" t="n"/>
      <c r="I248" s="329" t="n"/>
      <c r="J248" s="265" t="n"/>
      <c r="K248" s="266" t="n"/>
      <c r="L248" s="209" t="n"/>
    </row>
    <row r="249">
      <c r="B249" s="213" t="n"/>
      <c r="C249" s="238" t="inlineStr">
        <is>
          <t>Und</t>
        </is>
      </c>
      <c r="D249" s="1" t="inlineStr">
        <is>
          <t>Locos</t>
        </is>
      </c>
      <c r="E249" s="330" t="n"/>
      <c r="F249" s="218" t="inlineStr">
        <is>
          <t>Loco tiradito</t>
        </is>
      </c>
      <c r="G249" s="220" t="inlineStr">
        <is>
          <t>Kg</t>
        </is>
      </c>
      <c r="H249" s="331" t="n"/>
      <c r="I249" s="329" t="n"/>
      <c r="J249" s="265" t="n"/>
      <c r="K249" s="266" t="n"/>
      <c r="L249" s="209" t="n"/>
    </row>
    <row r="250">
      <c r="B250" s="213" t="n"/>
      <c r="C250" s="216" t="inlineStr">
        <is>
          <t>Kg</t>
        </is>
      </c>
      <c r="D250" s="54" t="inlineStr">
        <is>
          <t>Merluza</t>
        </is>
      </c>
      <c r="E250" s="255" t="n"/>
      <c r="F250" s="122" t="inlineStr">
        <is>
          <t>Merluza Porcionada</t>
        </is>
      </c>
      <c r="G250" s="220" t="inlineStr">
        <is>
          <t>Kg</t>
        </is>
      </c>
      <c r="H250" s="332" t="n"/>
      <c r="I250" s="333" t="n"/>
      <c r="J250" s="265" t="n"/>
      <c r="K250" s="266" t="n"/>
      <c r="L250" s="209" t="n"/>
    </row>
    <row r="251">
      <c r="B251" s="213" t="n"/>
      <c r="C251" s="216" t="inlineStr">
        <is>
          <t>Kg</t>
        </is>
      </c>
      <c r="D251" s="1" t="inlineStr">
        <is>
          <t>Reineta</t>
        </is>
      </c>
      <c r="E251" s="255" t="n"/>
      <c r="F251" s="218" t="inlineStr">
        <is>
          <t>Ceviche de Reineta</t>
        </is>
      </c>
      <c r="G251" s="122" t="inlineStr">
        <is>
          <t>Kg</t>
        </is>
      </c>
      <c r="H251" s="255" t="n"/>
      <c r="I251" s="329" t="n"/>
      <c r="J251" s="265" t="n"/>
      <c r="K251" s="266" t="n"/>
      <c r="L251" s="209" t="n"/>
    </row>
    <row r="252">
      <c r="B252" s="213" t="n"/>
      <c r="C252" s="216" t="inlineStr">
        <is>
          <t>Kg</t>
        </is>
      </c>
      <c r="D252" s="1" t="inlineStr">
        <is>
          <t>Congrio</t>
        </is>
      </c>
      <c r="E252" s="255" t="n"/>
      <c r="F252" s="218" t="inlineStr">
        <is>
          <t>Congrio Porcionado</t>
        </is>
      </c>
      <c r="G252" s="122" t="inlineStr">
        <is>
          <t>Kg</t>
        </is>
      </c>
      <c r="H252" s="255" t="n"/>
      <c r="I252" s="329" t="n"/>
      <c r="J252" s="265" t="n"/>
      <c r="K252" s="266" t="n"/>
      <c r="L252" s="209" t="n"/>
    </row>
    <row r="253">
      <c r="B253" s="213" t="n"/>
      <c r="C253" s="216" t="inlineStr">
        <is>
          <t>Kg</t>
        </is>
      </c>
      <c r="D253" s="1" t="inlineStr">
        <is>
          <t>Mejillones</t>
        </is>
      </c>
      <c r="E253" s="255" t="n"/>
      <c r="F253" s="220" t="inlineStr">
        <is>
          <t>Mix Conchas</t>
        </is>
      </c>
      <c r="G253" s="122" t="inlineStr">
        <is>
          <t>Pax</t>
        </is>
      </c>
      <c r="H253" s="255" t="n"/>
      <c r="I253" s="334" t="n"/>
      <c r="J253" s="267" t="n"/>
      <c r="K253" s="268" t="n"/>
      <c r="L253" s="209" t="n"/>
    </row>
    <row r="254">
      <c r="B254" s="213" t="n"/>
      <c r="C254" s="216" t="inlineStr">
        <is>
          <t>Kg</t>
        </is>
      </c>
      <c r="D254" s="1" t="inlineStr">
        <is>
          <t>Almejas Julianas</t>
        </is>
      </c>
      <c r="E254" s="255" t="n"/>
      <c r="F254" s="316" t="n"/>
      <c r="G254" s="316" t="n"/>
      <c r="H254" s="335" t="n"/>
      <c r="I254" s="336" t="n"/>
      <c r="J254" s="267" t="n"/>
      <c r="K254" s="268" t="n"/>
      <c r="L254" s="209" t="n"/>
    </row>
    <row r="255">
      <c r="B255" s="213" t="n"/>
      <c r="C255" s="337" t="inlineStr">
        <is>
          <t>Kg</t>
        </is>
      </c>
      <c r="D255" s="338" t="inlineStr">
        <is>
          <t>Filete Despunte</t>
        </is>
      </c>
      <c r="E255" s="255" t="n"/>
      <c r="F255" s="222" t="inlineStr">
        <is>
          <t>Ragout Lasagna</t>
        </is>
      </c>
      <c r="G255" s="112" t="inlineStr">
        <is>
          <t>Kg</t>
        </is>
      </c>
      <c r="H255" s="255" t="n"/>
      <c r="I255" s="329" t="n"/>
      <c r="J255" s="269" t="n"/>
      <c r="K255" s="270" t="n"/>
      <c r="L255" s="209" t="n"/>
    </row>
    <row r="256">
      <c r="B256" s="213" t="n"/>
      <c r="C256" s="315" t="n"/>
      <c r="D256" s="316" t="n"/>
      <c r="E256" s="339" t="n"/>
      <c r="F256" s="222" t="inlineStr">
        <is>
          <t>Ragout Rigatoni</t>
        </is>
      </c>
      <c r="G256" s="112" t="inlineStr">
        <is>
          <t>Kg</t>
        </is>
      </c>
      <c r="H256" s="255" t="n"/>
      <c r="I256" s="329" t="n"/>
      <c r="J256" s="269" t="n"/>
      <c r="K256" s="270" t="n"/>
      <c r="L256" s="209" t="n"/>
    </row>
    <row r="257">
      <c r="B257" s="213" t="n"/>
      <c r="C257" s="224" t="inlineStr">
        <is>
          <t>Kg</t>
        </is>
      </c>
      <c r="D257" s="120" t="inlineStr">
        <is>
          <t>Ragout Lasagna</t>
        </is>
      </c>
      <c r="E257" s="251" t="n"/>
      <c r="F257" s="222" t="inlineStr">
        <is>
          <t>Lasagna Berenjenas</t>
        </is>
      </c>
      <c r="G257" s="112" t="inlineStr">
        <is>
          <t>Porcion</t>
        </is>
      </c>
      <c r="H257" s="255" t="n"/>
      <c r="I257" s="329" t="n"/>
      <c r="J257" s="269" t="n"/>
      <c r="K257" s="270" t="n"/>
      <c r="L257" s="209" t="n"/>
    </row>
    <row r="258" ht="13.5" customHeight="1" s="95" thickBot="1">
      <c r="B258" s="213" t="n"/>
      <c r="C258" s="225" t="inlineStr">
        <is>
          <t>Kg</t>
        </is>
      </c>
      <c r="D258" s="31" t="inlineStr">
        <is>
          <t>Salmón Ahumado en frío</t>
        </is>
      </c>
      <c r="E258" s="252" t="n"/>
      <c r="F258" s="226" t="inlineStr">
        <is>
          <t>Chupe</t>
        </is>
      </c>
      <c r="G258" s="32" t="inlineStr">
        <is>
          <t>Porcion</t>
        </is>
      </c>
      <c r="H258" s="261" t="n"/>
      <c r="I258" s="340" t="n"/>
      <c r="J258" s="271" t="n"/>
      <c r="K258" s="272" t="n"/>
      <c r="L258" s="209" t="n"/>
    </row>
    <row r="259" ht="13.5" customHeight="1" s="95" thickBot="1">
      <c r="C259" s="228" t="n"/>
    </row>
    <row r="260" ht="13.5" customHeight="1" s="95" thickBot="1">
      <c r="C260" s="228" t="n"/>
      <c r="D260" s="341" t="inlineStr">
        <is>
          <t>REGISTRO PRODUCCIONES PASTELERIA</t>
        </is>
      </c>
      <c r="E260" s="342" t="n"/>
      <c r="F260" s="48" t="n"/>
      <c r="H260" s="343" t="inlineStr">
        <is>
          <t>REGISTRO DE CHOCOLATES</t>
        </is>
      </c>
      <c r="I260" s="318" t="n"/>
      <c r="J260" s="318" t="n"/>
      <c r="K260" s="319" t="n"/>
    </row>
    <row r="261">
      <c r="B261" s="232" t="n"/>
      <c r="C261" s="233" t="inlineStr">
        <is>
          <t>Medida</t>
        </is>
      </c>
      <c r="D261" s="195" t="inlineStr">
        <is>
          <t>Producto</t>
        </is>
      </c>
      <c r="E261" s="234" t="inlineStr">
        <is>
          <t>Cantidad</t>
        </is>
      </c>
      <c r="F261" s="235" t="n"/>
      <c r="G261" s="233" t="inlineStr">
        <is>
          <t>Producto</t>
        </is>
      </c>
      <c r="H261" s="237" t="inlineStr">
        <is>
          <t>Cantidad Entregada</t>
        </is>
      </c>
      <c r="I261" s="300" t="n"/>
      <c r="J261" s="237" t="inlineStr">
        <is>
          <t>Cant. Utilizada</t>
        </is>
      </c>
      <c r="K261" s="234" t="inlineStr">
        <is>
          <t>Medida</t>
        </is>
      </c>
    </row>
    <row r="262">
      <c r="B262" s="235" t="n"/>
      <c r="C262" s="238" t="inlineStr">
        <is>
          <t>Und</t>
        </is>
      </c>
      <c r="D262" s="1" t="inlineStr">
        <is>
          <t>Cheesecake de Berries</t>
        </is>
      </c>
      <c r="E262" s="277" t="n"/>
      <c r="F262" s="235" t="n"/>
      <c r="G262" s="238" t="inlineStr">
        <is>
          <t>Choc. Blanco</t>
        </is>
      </c>
      <c r="H262" s="273" t="n"/>
      <c r="I262" s="329" t="n"/>
      <c r="J262" s="274" t="n"/>
      <c r="K262" s="239" t="n"/>
    </row>
    <row r="263">
      <c r="B263" s="235" t="n"/>
      <c r="C263" s="238" t="inlineStr">
        <is>
          <t>Und</t>
        </is>
      </c>
      <c r="D263" s="1" t="inlineStr">
        <is>
          <t>Cheesecake de Limón</t>
        </is>
      </c>
      <c r="E263" s="277" t="n"/>
      <c r="F263" s="235" t="n"/>
      <c r="G263" s="238" t="inlineStr">
        <is>
          <t>Choc. Leche</t>
        </is>
      </c>
      <c r="H263" s="273" t="n"/>
      <c r="I263" s="329" t="n"/>
      <c r="J263" s="274" t="n"/>
      <c r="K263" s="239" t="n"/>
    </row>
    <row r="264">
      <c r="B264" s="235" t="n"/>
      <c r="C264" s="238" t="inlineStr">
        <is>
          <t>Und</t>
        </is>
      </c>
      <c r="D264" s="18" t="inlineStr">
        <is>
          <t>Brownie Nutella</t>
        </is>
      </c>
      <c r="E264" s="277" t="n"/>
      <c r="F264" s="235" t="n"/>
      <c r="G264" s="238" t="inlineStr">
        <is>
          <t>Choc. Negro</t>
        </is>
      </c>
      <c r="H264" s="273" t="n"/>
      <c r="I264" s="329" t="n"/>
      <c r="J264" s="274" t="n"/>
      <c r="K264" s="239" t="n"/>
    </row>
    <row r="265">
      <c r="B265" s="235" t="n"/>
      <c r="C265" s="238" t="inlineStr">
        <is>
          <t>Und</t>
        </is>
      </c>
      <c r="D265" s="18" t="inlineStr">
        <is>
          <t>Brownie Vegano</t>
        </is>
      </c>
      <c r="E265" s="277" t="n"/>
      <c r="F265" s="235" t="n"/>
      <c r="G265" s="238" t="inlineStr">
        <is>
          <t>Neucober Cob.</t>
        </is>
      </c>
      <c r="H265" s="273" t="n"/>
      <c r="I265" s="329" t="n"/>
      <c r="J265" s="274" t="n"/>
      <c r="K265" s="239" t="n"/>
    </row>
    <row r="266">
      <c r="B266" s="235" t="n"/>
      <c r="C266" s="238" t="inlineStr">
        <is>
          <t>Und</t>
        </is>
      </c>
      <c r="D266" s="1" t="inlineStr">
        <is>
          <t>Flan de Caluga</t>
        </is>
      </c>
      <c r="E266" s="277" t="n"/>
      <c r="F266" s="235" t="n"/>
      <c r="G266" s="238" t="inlineStr">
        <is>
          <t>Sicao Cob.</t>
        </is>
      </c>
      <c r="H266" s="273" t="n"/>
      <c r="I266" s="329" t="n"/>
      <c r="J266" s="274" t="n"/>
      <c r="K266" s="239" t="n"/>
    </row>
    <row r="267" ht="13.5" customHeight="1" s="95" thickBot="1">
      <c r="B267" s="235" t="n"/>
      <c r="C267" s="238" t="inlineStr">
        <is>
          <t>Und</t>
        </is>
      </c>
      <c r="D267" s="1" t="inlineStr">
        <is>
          <t>Volcán de Chocolate</t>
        </is>
      </c>
      <c r="E267" s="277" t="n"/>
      <c r="F267" s="235" t="n"/>
      <c r="G267" s="242" t="inlineStr">
        <is>
          <t>Nutella</t>
        </is>
      </c>
      <c r="H267" s="275" t="n"/>
      <c r="I267" s="344" t="n"/>
      <c r="J267" s="276" t="n"/>
      <c r="K267" s="241" t="n"/>
    </row>
    <row r="268" ht="13.5" customHeight="1" s="95" thickBot="1">
      <c r="B268" s="235" t="n"/>
      <c r="C268" s="242" t="inlineStr">
        <is>
          <t>Und</t>
        </is>
      </c>
      <c r="D268" s="31" t="inlineStr">
        <is>
          <t>Discos de Chocolate</t>
        </is>
      </c>
      <c r="E268" s="278" t="n"/>
      <c r="F268" s="235" t="n"/>
    </row>
    <row r="271" ht="15" customHeight="1" s="95">
      <c r="B271" s="232" t="inlineStr">
        <is>
          <t>Código</t>
        </is>
      </c>
      <c r="C271" s="232" t="inlineStr">
        <is>
          <t>Descripción</t>
        </is>
      </c>
      <c r="I271" s="232" t="inlineStr">
        <is>
          <t>Imp. Bruto</t>
        </is>
      </c>
      <c r="J271" s="232" t="inlineStr">
        <is>
          <t>Imp. Neto</t>
        </is>
      </c>
      <c r="L271" s="232" t="inlineStr">
        <is>
          <t>Cantidad Vendida</t>
        </is>
      </c>
      <c r="Q271" s="232" t="inlineStr">
        <is>
          <t>Precio Medio</t>
        </is>
      </c>
      <c r="T271" s="232" t="inlineStr">
        <is>
          <t>Imp. Descontado</t>
        </is>
      </c>
      <c r="V271" s="232" t="inlineStr">
        <is>
          <t>Descuento Medio</t>
        </is>
      </c>
      <c r="AA271" s="232" t="inlineStr">
        <is>
          <t>Importe de Referencia</t>
        </is>
      </c>
      <c r="AD271" s="232" t="inlineStr">
        <is>
          <t>Ref %</t>
        </is>
      </c>
      <c r="AE271" s="232" t="inlineStr">
        <is>
          <t>Tot%</t>
        </is>
      </c>
    </row>
    <row r="272">
      <c r="B272" s="279" t="n"/>
      <c r="C272" s="280" t="n"/>
      <c r="D272" s="295" t="n"/>
      <c r="E272" s="295" t="n"/>
      <c r="F272" s="295" t="n"/>
      <c r="G272" s="282" t="n"/>
      <c r="H272" s="295" t="n"/>
      <c r="I272" s="295" t="n"/>
      <c r="J272" s="282" t="n"/>
      <c r="K272" s="345" t="n"/>
      <c r="L272" s="295" t="n"/>
      <c r="M272" s="346" t="n"/>
      <c r="N272" s="295" t="n"/>
      <c r="O272" s="285" t="n"/>
      <c r="P272" s="295" t="n"/>
      <c r="Q272" s="295" t="n"/>
      <c r="R272" s="282" t="n"/>
      <c r="S272" s="295" t="n"/>
      <c r="T272" s="295" t="n"/>
      <c r="U272" s="285" t="n"/>
      <c r="V272" s="295" t="n"/>
      <c r="W272" s="282" t="n"/>
      <c r="X272" s="295" t="n"/>
      <c r="Y272" s="295" t="n"/>
      <c r="Z272" s="295" t="n"/>
      <c r="AA272" s="295" t="n"/>
      <c r="AB272" s="285" t="n"/>
      <c r="AC272" s="295" t="n"/>
      <c r="AD272" s="295" t="n"/>
      <c r="AE272" s="286" t="n"/>
    </row>
    <row r="273">
      <c r="B273" s="287" t="n"/>
      <c r="C273" s="288" t="n"/>
      <c r="D273" s="295" t="n"/>
      <c r="E273" s="295" t="n"/>
      <c r="F273" s="295" t="n"/>
      <c r="G273" s="290" t="n"/>
      <c r="H273" s="295" t="n"/>
      <c r="I273" s="295" t="n"/>
      <c r="J273" s="290" t="n"/>
      <c r="K273" s="347" t="n"/>
      <c r="L273" s="295" t="n"/>
      <c r="M273" s="348" t="n"/>
      <c r="N273" s="295" t="n"/>
      <c r="O273" s="293" t="n"/>
      <c r="P273" s="295" t="n"/>
      <c r="Q273" s="295" t="n"/>
      <c r="R273" s="290" t="n"/>
      <c r="S273" s="295" t="n"/>
      <c r="T273" s="295" t="n"/>
      <c r="U273" s="293" t="n"/>
      <c r="V273" s="295" t="n"/>
      <c r="W273" s="290" t="n"/>
      <c r="X273" s="295" t="n"/>
      <c r="Y273" s="295" t="n"/>
      <c r="Z273" s="295" t="n"/>
      <c r="AA273" s="295" t="n"/>
      <c r="AB273" s="293" t="n"/>
      <c r="AC273" s="295" t="n"/>
      <c r="AD273" s="295" t="n"/>
      <c r="AE273" s="294" t="n"/>
    </row>
    <row r="274">
      <c r="B274" s="279" t="n"/>
      <c r="C274" s="280" t="n"/>
      <c r="D274" s="295" t="n"/>
      <c r="E274" s="295" t="n"/>
      <c r="F274" s="295" t="n"/>
      <c r="G274" s="282" t="n"/>
      <c r="H274" s="295" t="n"/>
      <c r="I274" s="295" t="n"/>
      <c r="J274" s="282" t="n"/>
      <c r="K274" s="345" t="n"/>
      <c r="L274" s="295" t="n"/>
      <c r="M274" s="346" t="n"/>
      <c r="N274" s="295" t="n"/>
      <c r="O274" s="285" t="n"/>
      <c r="P274" s="295" t="n"/>
      <c r="Q274" s="295" t="n"/>
      <c r="R274" s="282" t="n"/>
      <c r="S274" s="295" t="n"/>
      <c r="T274" s="295" t="n"/>
      <c r="U274" s="285" t="n"/>
      <c r="V274" s="295" t="n"/>
      <c r="W274" s="282" t="n"/>
      <c r="X274" s="295" t="n"/>
      <c r="Y274" s="295" t="n"/>
      <c r="Z274" s="295" t="n"/>
      <c r="AA274" s="295" t="n"/>
      <c r="AB274" s="285" t="n"/>
      <c r="AC274" s="295" t="n"/>
      <c r="AD274" s="295" t="n"/>
      <c r="AE274" s="286" t="n"/>
    </row>
    <row r="275">
      <c r="B275" s="287" t="n"/>
      <c r="C275" s="288" t="n"/>
      <c r="D275" s="295" t="n"/>
      <c r="E275" s="295" t="n"/>
      <c r="F275" s="295" t="n"/>
      <c r="G275" s="290" t="n"/>
      <c r="H275" s="295" t="n"/>
      <c r="I275" s="295" t="n"/>
      <c r="J275" s="290" t="n"/>
      <c r="K275" s="347" t="n"/>
      <c r="L275" s="295" t="n"/>
      <c r="M275" s="348" t="n"/>
      <c r="N275" s="295" t="n"/>
      <c r="O275" s="293" t="n"/>
      <c r="P275" s="295" t="n"/>
      <c r="Q275" s="295" t="n"/>
      <c r="R275" s="290" t="n"/>
      <c r="S275" s="295" t="n"/>
      <c r="T275" s="295" t="n"/>
      <c r="U275" s="293" t="n"/>
      <c r="V275" s="295" t="n"/>
      <c r="W275" s="290" t="n"/>
      <c r="X275" s="295" t="n"/>
      <c r="Y275" s="295" t="n"/>
      <c r="Z275" s="295" t="n"/>
      <c r="AA275" s="295" t="n"/>
      <c r="AB275" s="293" t="n"/>
      <c r="AC275" s="295" t="n"/>
      <c r="AD275" s="295" t="n"/>
      <c r="AE275" s="294" t="n"/>
    </row>
    <row r="276">
      <c r="B276" s="279" t="n"/>
      <c r="C276" s="280" t="n"/>
      <c r="D276" s="295" t="n"/>
      <c r="E276" s="295" t="n"/>
      <c r="F276" s="295" t="n"/>
      <c r="G276" s="282" t="n"/>
      <c r="H276" s="295" t="n"/>
      <c r="I276" s="295" t="n"/>
      <c r="J276" s="282" t="n"/>
      <c r="K276" s="345" t="n"/>
      <c r="L276" s="295" t="n"/>
      <c r="M276" s="346" t="n"/>
      <c r="N276" s="295" t="n"/>
      <c r="O276" s="285" t="n"/>
      <c r="P276" s="295" t="n"/>
      <c r="Q276" s="295" t="n"/>
      <c r="R276" s="282" t="n"/>
      <c r="S276" s="295" t="n"/>
      <c r="T276" s="295" t="n"/>
      <c r="U276" s="285" t="n"/>
      <c r="V276" s="295" t="n"/>
      <c r="W276" s="282" t="n"/>
      <c r="X276" s="295" t="n"/>
      <c r="Y276" s="295" t="n"/>
      <c r="Z276" s="295" t="n"/>
      <c r="AA276" s="295" t="n"/>
      <c r="AB276" s="285" t="n"/>
      <c r="AC276" s="295" t="n"/>
      <c r="AD276" s="295" t="n"/>
      <c r="AE276" s="286" t="n"/>
    </row>
    <row r="277">
      <c r="B277" s="287" t="n"/>
      <c r="C277" s="288" t="n"/>
      <c r="D277" s="295" t="n"/>
      <c r="E277" s="295" t="n"/>
      <c r="F277" s="295" t="n"/>
      <c r="G277" s="290" t="n"/>
      <c r="H277" s="295" t="n"/>
      <c r="I277" s="295" t="n"/>
      <c r="J277" s="290" t="n"/>
      <c r="K277" s="347" t="n"/>
      <c r="L277" s="295" t="n"/>
      <c r="M277" s="348" t="n"/>
      <c r="N277" s="295" t="n"/>
      <c r="O277" s="293" t="n"/>
      <c r="P277" s="295" t="n"/>
      <c r="Q277" s="295" t="n"/>
      <c r="R277" s="290" t="n"/>
      <c r="S277" s="295" t="n"/>
      <c r="T277" s="295" t="n"/>
      <c r="U277" s="293" t="n"/>
      <c r="V277" s="295" t="n"/>
      <c r="W277" s="290" t="n"/>
      <c r="X277" s="295" t="n"/>
      <c r="Y277" s="295" t="n"/>
      <c r="Z277" s="295" t="n"/>
      <c r="AA277" s="295" t="n"/>
      <c r="AB277" s="293" t="n"/>
      <c r="AC277" s="295" t="n"/>
      <c r="AD277" s="295" t="n"/>
      <c r="AE277" s="294" t="n"/>
    </row>
    <row r="278">
      <c r="B278" s="279" t="n"/>
      <c r="C278" s="280" t="n"/>
      <c r="D278" s="295" t="n"/>
      <c r="E278" s="295" t="n"/>
      <c r="F278" s="295" t="n"/>
      <c r="G278" s="282" t="n"/>
      <c r="H278" s="295" t="n"/>
      <c r="I278" s="295" t="n"/>
      <c r="J278" s="282" t="n"/>
      <c r="K278" s="345" t="n"/>
      <c r="L278" s="295" t="n"/>
      <c r="M278" s="346" t="n"/>
      <c r="N278" s="295" t="n"/>
      <c r="O278" s="285" t="n"/>
      <c r="P278" s="295" t="n"/>
      <c r="Q278" s="295" t="n"/>
      <c r="R278" s="282" t="n"/>
      <c r="S278" s="295" t="n"/>
      <c r="T278" s="295" t="n"/>
      <c r="U278" s="285" t="n"/>
      <c r="V278" s="295" t="n"/>
      <c r="W278" s="282" t="n"/>
      <c r="X278" s="295" t="n"/>
      <c r="Y278" s="295" t="n"/>
      <c r="Z278" s="295" t="n"/>
      <c r="AA278" s="295" t="n"/>
      <c r="AB278" s="285" t="n"/>
      <c r="AC278" s="295" t="n"/>
      <c r="AD278" s="295" t="n"/>
      <c r="AE278" s="286" t="n"/>
    </row>
    <row r="279">
      <c r="B279" s="287" t="n"/>
      <c r="C279" s="288" t="n"/>
      <c r="D279" s="295" t="n"/>
      <c r="E279" s="295" t="n"/>
      <c r="F279" s="295" t="n"/>
      <c r="G279" s="290" t="n"/>
      <c r="H279" s="295" t="n"/>
      <c r="I279" s="295" t="n"/>
      <c r="J279" s="290" t="n"/>
      <c r="K279" s="347" t="n"/>
      <c r="L279" s="295" t="n"/>
      <c r="M279" s="348" t="n"/>
      <c r="N279" s="295" t="n"/>
      <c r="O279" s="293" t="n"/>
      <c r="P279" s="295" t="n"/>
      <c r="Q279" s="295" t="n"/>
      <c r="R279" s="290" t="n"/>
      <c r="S279" s="295" t="n"/>
      <c r="T279" s="295" t="n"/>
      <c r="U279" s="293" t="n"/>
      <c r="V279" s="295" t="n"/>
      <c r="W279" s="290" t="n"/>
      <c r="X279" s="295" t="n"/>
      <c r="Y279" s="295" t="n"/>
      <c r="Z279" s="295" t="n"/>
      <c r="AA279" s="295" t="n"/>
      <c r="AB279" s="293" t="n"/>
      <c r="AC279" s="295" t="n"/>
      <c r="AD279" s="295" t="n"/>
      <c r="AE279" s="294" t="n"/>
    </row>
    <row r="280">
      <c r="B280" s="279" t="n"/>
      <c r="C280" s="280" t="n"/>
      <c r="D280" s="295" t="n"/>
      <c r="E280" s="295" t="n"/>
      <c r="F280" s="295" t="n"/>
      <c r="G280" s="282" t="n"/>
      <c r="H280" s="295" t="n"/>
      <c r="I280" s="295" t="n"/>
      <c r="J280" s="282" t="n"/>
      <c r="K280" s="345" t="n"/>
      <c r="L280" s="295" t="n"/>
      <c r="M280" s="346" t="n"/>
      <c r="N280" s="295" t="n"/>
      <c r="O280" s="285" t="n"/>
      <c r="P280" s="295" t="n"/>
      <c r="Q280" s="295" t="n"/>
      <c r="R280" s="282" t="n"/>
      <c r="S280" s="295" t="n"/>
      <c r="T280" s="295" t="n"/>
      <c r="U280" s="285" t="n"/>
      <c r="V280" s="295" t="n"/>
      <c r="W280" s="282" t="n"/>
      <c r="X280" s="295" t="n"/>
      <c r="Y280" s="295" t="n"/>
      <c r="Z280" s="295" t="n"/>
      <c r="AA280" s="295" t="n"/>
      <c r="AB280" s="285" t="n"/>
      <c r="AC280" s="295" t="n"/>
      <c r="AD280" s="295" t="n"/>
      <c r="AE280" s="286" t="n"/>
    </row>
    <row r="281">
      <c r="B281" s="287" t="n"/>
      <c r="C281" s="288" t="n"/>
      <c r="D281" s="295" t="n"/>
      <c r="E281" s="295" t="n"/>
      <c r="F281" s="295" t="n"/>
      <c r="G281" s="290" t="n"/>
      <c r="H281" s="295" t="n"/>
      <c r="I281" s="295" t="n"/>
      <c r="J281" s="290" t="n"/>
      <c r="K281" s="347" t="n"/>
      <c r="L281" s="295" t="n"/>
      <c r="M281" s="348" t="n"/>
      <c r="N281" s="295" t="n"/>
      <c r="O281" s="293" t="n"/>
      <c r="P281" s="295" t="n"/>
      <c r="Q281" s="295" t="n"/>
      <c r="R281" s="290" t="n"/>
      <c r="S281" s="295" t="n"/>
      <c r="T281" s="295" t="n"/>
      <c r="U281" s="293" t="n"/>
      <c r="V281" s="295" t="n"/>
      <c r="W281" s="290" t="n"/>
      <c r="X281" s="295" t="n"/>
      <c r="Y281" s="295" t="n"/>
      <c r="Z281" s="295" t="n"/>
      <c r="AA281" s="295" t="n"/>
      <c r="AB281" s="293" t="n"/>
      <c r="AC281" s="295" t="n"/>
      <c r="AD281" s="295" t="n"/>
      <c r="AE281" s="294" t="n"/>
    </row>
    <row r="282">
      <c r="B282" s="279" t="n"/>
      <c r="C282" s="280" t="n"/>
      <c r="D282" s="295" t="n"/>
      <c r="E282" s="295" t="n"/>
      <c r="F282" s="295" t="n"/>
      <c r="G282" s="282" t="n"/>
      <c r="H282" s="295" t="n"/>
      <c r="I282" s="295" t="n"/>
      <c r="J282" s="282" t="n"/>
      <c r="K282" s="345" t="n"/>
      <c r="L282" s="295" t="n"/>
      <c r="M282" s="346" t="n"/>
      <c r="N282" s="295" t="n"/>
      <c r="O282" s="285" t="n"/>
      <c r="P282" s="295" t="n"/>
      <c r="Q282" s="295" t="n"/>
      <c r="R282" s="282" t="n"/>
      <c r="S282" s="295" t="n"/>
      <c r="T282" s="295" t="n"/>
      <c r="U282" s="285" t="n"/>
      <c r="V282" s="295" t="n"/>
      <c r="W282" s="282" t="n"/>
      <c r="X282" s="295" t="n"/>
      <c r="Y282" s="295" t="n"/>
      <c r="Z282" s="295" t="n"/>
      <c r="AA282" s="295" t="n"/>
      <c r="AB282" s="285" t="n"/>
      <c r="AC282" s="295" t="n"/>
      <c r="AD282" s="295" t="n"/>
      <c r="AE282" s="286" t="n"/>
    </row>
    <row r="283">
      <c r="B283" s="287" t="n"/>
      <c r="C283" s="288" t="n"/>
      <c r="D283" s="295" t="n"/>
      <c r="E283" s="295" t="n"/>
      <c r="F283" s="295" t="n"/>
      <c r="G283" s="290" t="n"/>
      <c r="H283" s="295" t="n"/>
      <c r="I283" s="295" t="n"/>
      <c r="J283" s="290" t="n"/>
      <c r="K283" s="347" t="n"/>
      <c r="L283" s="295" t="n"/>
      <c r="M283" s="348" t="n"/>
      <c r="N283" s="295" t="n"/>
      <c r="O283" s="293" t="n"/>
      <c r="P283" s="295" t="n"/>
      <c r="Q283" s="295" t="n"/>
      <c r="R283" s="290" t="n"/>
      <c r="S283" s="295" t="n"/>
      <c r="T283" s="295" t="n"/>
      <c r="U283" s="293" t="n"/>
      <c r="V283" s="295" t="n"/>
      <c r="W283" s="290" t="n"/>
      <c r="X283" s="295" t="n"/>
      <c r="Y283" s="295" t="n"/>
      <c r="Z283" s="295" t="n"/>
      <c r="AA283" s="295" t="n"/>
      <c r="AB283" s="293" t="n"/>
      <c r="AC283" s="295" t="n"/>
      <c r="AD283" s="295" t="n"/>
      <c r="AE283" s="294" t="n"/>
    </row>
    <row r="284">
      <c r="B284" s="279" t="n"/>
      <c r="C284" s="280" t="n"/>
      <c r="D284" s="295" t="n"/>
      <c r="E284" s="295" t="n"/>
      <c r="F284" s="295" t="n"/>
      <c r="G284" s="282" t="n"/>
      <c r="H284" s="295" t="n"/>
      <c r="I284" s="295" t="n"/>
      <c r="J284" s="282" t="n"/>
      <c r="K284" s="345" t="n"/>
      <c r="L284" s="295" t="n"/>
      <c r="M284" s="346" t="n"/>
      <c r="N284" s="295" t="n"/>
      <c r="O284" s="285" t="n"/>
      <c r="P284" s="295" t="n"/>
      <c r="Q284" s="295" t="n"/>
      <c r="R284" s="282" t="n"/>
      <c r="S284" s="295" t="n"/>
      <c r="T284" s="295" t="n"/>
      <c r="U284" s="285" t="n"/>
      <c r="V284" s="295" t="n"/>
      <c r="W284" s="282" t="n"/>
      <c r="X284" s="295" t="n"/>
      <c r="Y284" s="295" t="n"/>
      <c r="Z284" s="295" t="n"/>
      <c r="AA284" s="295" t="n"/>
      <c r="AB284" s="285" t="n"/>
      <c r="AC284" s="295" t="n"/>
      <c r="AD284" s="295" t="n"/>
      <c r="AE284" s="286" t="n"/>
    </row>
    <row r="285">
      <c r="B285" s="287" t="n"/>
      <c r="C285" s="288" t="n"/>
      <c r="D285" s="295" t="n"/>
      <c r="E285" s="295" t="n"/>
      <c r="F285" s="295" t="n"/>
      <c r="G285" s="290" t="n"/>
      <c r="H285" s="295" t="n"/>
      <c r="I285" s="295" t="n"/>
      <c r="J285" s="290" t="n"/>
      <c r="K285" s="347" t="n"/>
      <c r="L285" s="295" t="n"/>
      <c r="M285" s="348" t="n"/>
      <c r="N285" s="295" t="n"/>
      <c r="O285" s="293" t="n"/>
      <c r="P285" s="295" t="n"/>
      <c r="Q285" s="295" t="n"/>
      <c r="R285" s="290" t="n"/>
      <c r="S285" s="295" t="n"/>
      <c r="T285" s="295" t="n"/>
      <c r="U285" s="293" t="n"/>
      <c r="V285" s="295" t="n"/>
      <c r="W285" s="290" t="n"/>
      <c r="X285" s="295" t="n"/>
      <c r="Y285" s="295" t="n"/>
      <c r="Z285" s="295" t="n"/>
      <c r="AA285" s="295" t="n"/>
      <c r="AB285" s="293" t="n"/>
      <c r="AC285" s="295" t="n"/>
      <c r="AD285" s="295" t="n"/>
      <c r="AE285" s="294" t="n"/>
    </row>
    <row r="286">
      <c r="B286" s="279" t="n"/>
      <c r="C286" s="280" t="n"/>
      <c r="D286" s="295" t="n"/>
      <c r="E286" s="295" t="n"/>
      <c r="F286" s="295" t="n"/>
      <c r="G286" s="282" t="n"/>
      <c r="H286" s="295" t="n"/>
      <c r="I286" s="295" t="n"/>
      <c r="J286" s="282" t="n"/>
      <c r="K286" s="345" t="n"/>
      <c r="L286" s="295" t="n"/>
      <c r="M286" s="346" t="n"/>
      <c r="N286" s="295" t="n"/>
      <c r="O286" s="285" t="n"/>
      <c r="P286" s="295" t="n"/>
      <c r="Q286" s="295" t="n"/>
      <c r="R286" s="282" t="n"/>
      <c r="S286" s="295" t="n"/>
      <c r="T286" s="295" t="n"/>
      <c r="U286" s="285" t="n"/>
      <c r="V286" s="295" t="n"/>
      <c r="W286" s="282" t="n"/>
      <c r="X286" s="295" t="n"/>
      <c r="Y286" s="295" t="n"/>
      <c r="Z286" s="295" t="n"/>
      <c r="AA286" s="295" t="n"/>
      <c r="AB286" s="285" t="n"/>
      <c r="AC286" s="295" t="n"/>
      <c r="AD286" s="295" t="n"/>
      <c r="AE286" s="286" t="n"/>
    </row>
    <row r="287">
      <c r="B287" s="287" t="n"/>
      <c r="C287" s="288" t="n"/>
      <c r="D287" s="295" t="n"/>
      <c r="E287" s="295" t="n"/>
      <c r="F287" s="295" t="n"/>
      <c r="G287" s="290" t="n"/>
      <c r="H287" s="295" t="n"/>
      <c r="I287" s="295" t="n"/>
      <c r="J287" s="290" t="n"/>
      <c r="K287" s="347" t="n"/>
      <c r="L287" s="295" t="n"/>
      <c r="M287" s="348" t="n"/>
      <c r="N287" s="295" t="n"/>
      <c r="O287" s="293" t="n"/>
      <c r="P287" s="295" t="n"/>
      <c r="Q287" s="295" t="n"/>
      <c r="R287" s="290" t="n"/>
      <c r="S287" s="295" t="n"/>
      <c r="T287" s="295" t="n"/>
      <c r="U287" s="293" t="n"/>
      <c r="V287" s="295" t="n"/>
      <c r="W287" s="290" t="n"/>
      <c r="X287" s="295" t="n"/>
      <c r="Y287" s="295" t="n"/>
      <c r="Z287" s="295" t="n"/>
      <c r="AA287" s="295" t="n"/>
      <c r="AB287" s="293" t="n"/>
      <c r="AC287" s="295" t="n"/>
      <c r="AD287" s="295" t="n"/>
      <c r="AE287" s="294" t="n"/>
    </row>
    <row r="288">
      <c r="B288" s="279" t="n"/>
      <c r="C288" s="280" t="n"/>
      <c r="D288" s="295" t="n"/>
      <c r="E288" s="295" t="n"/>
      <c r="F288" s="295" t="n"/>
      <c r="G288" s="282" t="n"/>
      <c r="H288" s="295" t="n"/>
      <c r="I288" s="295" t="n"/>
      <c r="J288" s="282" t="n"/>
      <c r="K288" s="345" t="n"/>
      <c r="L288" s="295" t="n"/>
      <c r="M288" s="346" t="n"/>
      <c r="N288" s="295" t="n"/>
      <c r="O288" s="285" t="n"/>
      <c r="P288" s="295" t="n"/>
      <c r="Q288" s="295" t="n"/>
      <c r="R288" s="282" t="n"/>
      <c r="S288" s="295" t="n"/>
      <c r="T288" s="295" t="n"/>
      <c r="U288" s="285" t="n"/>
      <c r="V288" s="295" t="n"/>
      <c r="W288" s="282" t="n"/>
      <c r="X288" s="295" t="n"/>
      <c r="Y288" s="295" t="n"/>
      <c r="Z288" s="295" t="n"/>
      <c r="AA288" s="295" t="n"/>
      <c r="AB288" s="285" t="n"/>
      <c r="AC288" s="295" t="n"/>
      <c r="AD288" s="295" t="n"/>
      <c r="AE288" s="286" t="n"/>
    </row>
    <row r="289">
      <c r="B289" s="287" t="n"/>
      <c r="C289" s="288" t="n"/>
      <c r="D289" s="295" t="n"/>
      <c r="E289" s="295" t="n"/>
      <c r="F289" s="295" t="n"/>
      <c r="G289" s="290" t="n"/>
      <c r="H289" s="295" t="n"/>
      <c r="I289" s="295" t="n"/>
      <c r="J289" s="290" t="n"/>
      <c r="K289" s="347" t="n"/>
      <c r="L289" s="295" t="n"/>
      <c r="M289" s="348" t="n"/>
      <c r="N289" s="295" t="n"/>
      <c r="O289" s="293" t="n"/>
      <c r="P289" s="295" t="n"/>
      <c r="Q289" s="295" t="n"/>
      <c r="R289" s="290" t="n"/>
      <c r="S289" s="295" t="n"/>
      <c r="T289" s="295" t="n"/>
      <c r="U289" s="293" t="n"/>
      <c r="V289" s="295" t="n"/>
      <c r="W289" s="290" t="n"/>
      <c r="X289" s="295" t="n"/>
      <c r="Y289" s="295" t="n"/>
      <c r="Z289" s="295" t="n"/>
      <c r="AA289" s="295" t="n"/>
      <c r="AB289" s="293" t="n"/>
      <c r="AC289" s="295" t="n"/>
      <c r="AD289" s="295" t="n"/>
      <c r="AE289" s="294" t="n"/>
    </row>
    <row r="290">
      <c r="B290" s="279" t="n"/>
      <c r="C290" s="280" t="n"/>
      <c r="D290" s="295" t="n"/>
      <c r="E290" s="295" t="n"/>
      <c r="F290" s="295" t="n"/>
      <c r="G290" s="282" t="n"/>
      <c r="H290" s="295" t="n"/>
      <c r="I290" s="295" t="n"/>
      <c r="J290" s="282" t="n"/>
      <c r="K290" s="345" t="n"/>
      <c r="L290" s="295" t="n"/>
      <c r="M290" s="346" t="n"/>
      <c r="N290" s="295" t="n"/>
      <c r="O290" s="285" t="n"/>
      <c r="P290" s="295" t="n"/>
      <c r="Q290" s="295" t="n"/>
      <c r="R290" s="282" t="n"/>
      <c r="S290" s="295" t="n"/>
      <c r="T290" s="295" t="n"/>
      <c r="U290" s="285" t="n"/>
      <c r="V290" s="295" t="n"/>
      <c r="W290" s="282" t="n"/>
      <c r="X290" s="295" t="n"/>
      <c r="Y290" s="295" t="n"/>
      <c r="Z290" s="295" t="n"/>
      <c r="AA290" s="295" t="n"/>
      <c r="AB290" s="285" t="n"/>
      <c r="AC290" s="295" t="n"/>
      <c r="AD290" s="295" t="n"/>
      <c r="AE290" s="286" t="n"/>
    </row>
    <row r="291">
      <c r="B291" s="287" t="n"/>
      <c r="C291" s="288" t="n"/>
      <c r="D291" s="295" t="n"/>
      <c r="E291" s="295" t="n"/>
      <c r="F291" s="295" t="n"/>
      <c r="G291" s="290" t="n"/>
      <c r="H291" s="295" t="n"/>
      <c r="I291" s="295" t="n"/>
      <c r="J291" s="290" t="n"/>
      <c r="K291" s="347" t="n"/>
      <c r="L291" s="295" t="n"/>
      <c r="M291" s="348" t="n"/>
      <c r="N291" s="295" t="n"/>
      <c r="O291" s="293" t="n"/>
      <c r="P291" s="295" t="n"/>
      <c r="Q291" s="295" t="n"/>
      <c r="R291" s="290" t="n"/>
      <c r="S291" s="295" t="n"/>
      <c r="T291" s="295" t="n"/>
      <c r="U291" s="293" t="n"/>
      <c r="V291" s="295" t="n"/>
      <c r="W291" s="290" t="n"/>
      <c r="X291" s="295" t="n"/>
      <c r="Y291" s="295" t="n"/>
      <c r="Z291" s="295" t="n"/>
      <c r="AA291" s="295" t="n"/>
      <c r="AB291" s="293" t="n"/>
      <c r="AC291" s="295" t="n"/>
      <c r="AD291" s="295" t="n"/>
      <c r="AE291" s="294" t="n"/>
    </row>
    <row r="292">
      <c r="B292" s="279" t="n"/>
      <c r="C292" s="280" t="n"/>
      <c r="D292" s="295" t="n"/>
      <c r="E292" s="295" t="n"/>
      <c r="F292" s="295" t="n"/>
      <c r="G292" s="282" t="n"/>
      <c r="H292" s="295" t="n"/>
      <c r="I292" s="295" t="n"/>
      <c r="J292" s="282" t="n"/>
      <c r="K292" s="345" t="n"/>
      <c r="L292" s="295" t="n"/>
      <c r="M292" s="346" t="n"/>
      <c r="N292" s="295" t="n"/>
      <c r="O292" s="285" t="n"/>
      <c r="P292" s="295" t="n"/>
      <c r="Q292" s="295" t="n"/>
      <c r="R292" s="282" t="n"/>
      <c r="S292" s="295" t="n"/>
      <c r="T292" s="295" t="n"/>
      <c r="U292" s="285" t="n"/>
      <c r="V292" s="295" t="n"/>
      <c r="W292" s="282" t="n"/>
      <c r="X292" s="295" t="n"/>
      <c r="Y292" s="295" t="n"/>
      <c r="Z292" s="295" t="n"/>
      <c r="AA292" s="295" t="n"/>
      <c r="AB292" s="285" t="n"/>
      <c r="AC292" s="295" t="n"/>
      <c r="AD292" s="295" t="n"/>
      <c r="AE292" s="286" t="n"/>
    </row>
    <row r="293">
      <c r="B293" s="287" t="n"/>
      <c r="C293" s="288" t="n"/>
      <c r="D293" s="295" t="n"/>
      <c r="E293" s="295" t="n"/>
      <c r="F293" s="295" t="n"/>
      <c r="G293" s="290" t="n"/>
      <c r="H293" s="295" t="n"/>
      <c r="I293" s="295" t="n"/>
      <c r="J293" s="290" t="n"/>
      <c r="K293" s="347" t="n"/>
      <c r="L293" s="295" t="n"/>
      <c r="M293" s="348" t="n"/>
      <c r="N293" s="295" t="n"/>
      <c r="O293" s="293" t="n"/>
      <c r="P293" s="295" t="n"/>
      <c r="Q293" s="295" t="n"/>
      <c r="R293" s="290" t="n"/>
      <c r="S293" s="295" t="n"/>
      <c r="T293" s="295" t="n"/>
      <c r="U293" s="293" t="n"/>
      <c r="V293" s="295" t="n"/>
      <c r="W293" s="290" t="n"/>
      <c r="X293" s="295" t="n"/>
      <c r="Y293" s="295" t="n"/>
      <c r="Z293" s="295" t="n"/>
      <c r="AA293" s="295" t="n"/>
      <c r="AB293" s="293" t="n"/>
      <c r="AC293" s="295" t="n"/>
      <c r="AD293" s="295" t="n"/>
      <c r="AE293" s="294" t="n"/>
    </row>
    <row r="294">
      <c r="B294" s="279" t="n"/>
      <c r="C294" s="280" t="n"/>
      <c r="D294" s="295" t="n"/>
      <c r="E294" s="295" t="n"/>
      <c r="F294" s="295" t="n"/>
      <c r="G294" s="282" t="n"/>
      <c r="H294" s="295" t="n"/>
      <c r="I294" s="295" t="n"/>
      <c r="J294" s="282" t="n"/>
      <c r="K294" s="345" t="n"/>
      <c r="L294" s="295" t="n"/>
      <c r="M294" s="346" t="n"/>
      <c r="N294" s="295" t="n"/>
      <c r="O294" s="285" t="n"/>
      <c r="P294" s="295" t="n"/>
      <c r="Q294" s="295" t="n"/>
      <c r="R294" s="282" t="n"/>
      <c r="S294" s="295" t="n"/>
      <c r="T294" s="295" t="n"/>
      <c r="U294" s="285" t="n"/>
      <c r="V294" s="295" t="n"/>
      <c r="W294" s="282" t="n"/>
      <c r="X294" s="295" t="n"/>
      <c r="Y294" s="295" t="n"/>
      <c r="Z294" s="295" t="n"/>
      <c r="AA294" s="295" t="n"/>
      <c r="AB294" s="285" t="n"/>
      <c r="AC294" s="295" t="n"/>
      <c r="AD294" s="295" t="n"/>
      <c r="AE294" s="286" t="n"/>
    </row>
    <row r="295">
      <c r="B295" s="287" t="n"/>
      <c r="C295" s="288" t="n"/>
      <c r="D295" s="295" t="n"/>
      <c r="E295" s="295" t="n"/>
      <c r="F295" s="295" t="n"/>
      <c r="G295" s="290" t="n"/>
      <c r="H295" s="295" t="n"/>
      <c r="I295" s="295" t="n"/>
      <c r="J295" s="290" t="n"/>
      <c r="K295" s="347" t="n"/>
      <c r="L295" s="295" t="n"/>
      <c r="M295" s="348" t="n"/>
      <c r="N295" s="295" t="n"/>
      <c r="O295" s="293" t="n"/>
      <c r="P295" s="295" t="n"/>
      <c r="Q295" s="295" t="n"/>
      <c r="R295" s="290" t="n"/>
      <c r="S295" s="295" t="n"/>
      <c r="T295" s="295" t="n"/>
      <c r="U295" s="293" t="n"/>
      <c r="V295" s="295" t="n"/>
      <c r="W295" s="290" t="n"/>
      <c r="X295" s="295" t="n"/>
      <c r="Y295" s="295" t="n"/>
      <c r="Z295" s="295" t="n"/>
      <c r="AA295" s="295" t="n"/>
      <c r="AB295" s="293" t="n"/>
      <c r="AC295" s="295" t="n"/>
      <c r="AD295" s="295" t="n"/>
      <c r="AE295" s="294" t="n"/>
    </row>
    <row r="296">
      <c r="B296" s="279" t="n"/>
      <c r="C296" s="280" t="n"/>
      <c r="D296" s="295" t="n"/>
      <c r="E296" s="295" t="n"/>
      <c r="F296" s="295" t="n"/>
      <c r="G296" s="282" t="n"/>
      <c r="H296" s="295" t="n"/>
      <c r="I296" s="295" t="n"/>
      <c r="J296" s="282" t="n"/>
      <c r="K296" s="345" t="n"/>
      <c r="L296" s="295" t="n"/>
      <c r="M296" s="346" t="n"/>
      <c r="N296" s="295" t="n"/>
      <c r="O296" s="285" t="n"/>
      <c r="P296" s="295" t="n"/>
      <c r="Q296" s="295" t="n"/>
      <c r="R296" s="282" t="n"/>
      <c r="S296" s="295" t="n"/>
      <c r="T296" s="295" t="n"/>
      <c r="U296" s="285" t="n"/>
      <c r="V296" s="295" t="n"/>
      <c r="W296" s="282" t="n"/>
      <c r="X296" s="295" t="n"/>
      <c r="Y296" s="295" t="n"/>
      <c r="Z296" s="295" t="n"/>
      <c r="AA296" s="295" t="n"/>
      <c r="AB296" s="285" t="n"/>
      <c r="AC296" s="295" t="n"/>
      <c r="AD296" s="295" t="n"/>
      <c r="AE296" s="286" t="n"/>
    </row>
    <row r="297">
      <c r="B297" s="287" t="n"/>
      <c r="C297" s="288" t="n"/>
      <c r="D297" s="295" t="n"/>
      <c r="E297" s="295" t="n"/>
      <c r="F297" s="295" t="n"/>
      <c r="G297" s="290" t="n"/>
      <c r="H297" s="295" t="n"/>
      <c r="I297" s="295" t="n"/>
      <c r="J297" s="290" t="n"/>
      <c r="K297" s="347" t="n"/>
      <c r="L297" s="295" t="n"/>
      <c r="M297" s="348" t="n"/>
      <c r="N297" s="295" t="n"/>
      <c r="O297" s="293" t="n"/>
      <c r="P297" s="295" t="n"/>
      <c r="Q297" s="295" t="n"/>
      <c r="R297" s="290" t="n"/>
      <c r="S297" s="295" t="n"/>
      <c r="T297" s="295" t="n"/>
      <c r="U297" s="293" t="n"/>
      <c r="V297" s="295" t="n"/>
      <c r="W297" s="290" t="n"/>
      <c r="X297" s="295" t="n"/>
      <c r="Y297" s="295" t="n"/>
      <c r="Z297" s="295" t="n"/>
      <c r="AA297" s="295" t="n"/>
      <c r="AB297" s="293" t="n"/>
      <c r="AC297" s="295" t="n"/>
      <c r="AD297" s="295" t="n"/>
      <c r="AE297" s="294" t="n"/>
    </row>
    <row r="298">
      <c r="B298" s="279" t="n"/>
      <c r="C298" s="280" t="n"/>
      <c r="D298" s="295" t="n"/>
      <c r="E298" s="295" t="n"/>
      <c r="F298" s="295" t="n"/>
      <c r="G298" s="282" t="n"/>
      <c r="H298" s="295" t="n"/>
      <c r="I298" s="295" t="n"/>
      <c r="J298" s="282" t="n"/>
      <c r="K298" s="345" t="n"/>
      <c r="L298" s="295" t="n"/>
      <c r="M298" s="346" t="n"/>
      <c r="N298" s="295" t="n"/>
      <c r="O298" s="285" t="n"/>
      <c r="P298" s="295" t="n"/>
      <c r="Q298" s="295" t="n"/>
      <c r="R298" s="282" t="n"/>
      <c r="S298" s="295" t="n"/>
      <c r="T298" s="295" t="n"/>
      <c r="U298" s="285" t="n"/>
      <c r="V298" s="295" t="n"/>
      <c r="W298" s="282" t="n"/>
      <c r="X298" s="295" t="n"/>
      <c r="Y298" s="295" t="n"/>
      <c r="Z298" s="295" t="n"/>
      <c r="AA298" s="295" t="n"/>
      <c r="AB298" s="285" t="n"/>
      <c r="AC298" s="295" t="n"/>
      <c r="AD298" s="295" t="n"/>
      <c r="AE298" s="286" t="n"/>
    </row>
    <row r="299">
      <c r="B299" s="287" t="n"/>
      <c r="C299" s="288" t="n"/>
      <c r="D299" s="295" t="n"/>
      <c r="E299" s="295" t="n"/>
      <c r="F299" s="295" t="n"/>
      <c r="G299" s="290" t="n"/>
      <c r="H299" s="295" t="n"/>
      <c r="I299" s="295" t="n"/>
      <c r="J299" s="290" t="n"/>
      <c r="K299" s="347" t="n"/>
      <c r="L299" s="295" t="n"/>
      <c r="M299" s="348" t="n"/>
      <c r="N299" s="295" t="n"/>
      <c r="O299" s="293" t="n"/>
      <c r="P299" s="295" t="n"/>
      <c r="Q299" s="295" t="n"/>
      <c r="R299" s="290" t="n"/>
      <c r="S299" s="295" t="n"/>
      <c r="T299" s="295" t="n"/>
      <c r="U299" s="293" t="n"/>
      <c r="V299" s="295" t="n"/>
      <c r="W299" s="290" t="n"/>
      <c r="X299" s="295" t="n"/>
      <c r="Y299" s="295" t="n"/>
      <c r="Z299" s="295" t="n"/>
      <c r="AA299" s="295" t="n"/>
      <c r="AB299" s="293" t="n"/>
      <c r="AC299" s="295" t="n"/>
      <c r="AD299" s="295" t="n"/>
      <c r="AE299" s="294" t="n"/>
    </row>
    <row r="300">
      <c r="B300" s="279" t="n"/>
      <c r="C300" s="280" t="n"/>
      <c r="D300" s="295" t="n"/>
      <c r="E300" s="295" t="n"/>
      <c r="F300" s="295" t="n"/>
      <c r="G300" s="282" t="n"/>
      <c r="H300" s="295" t="n"/>
      <c r="I300" s="295" t="n"/>
      <c r="J300" s="282" t="n"/>
      <c r="K300" s="345" t="n"/>
      <c r="L300" s="295" t="n"/>
      <c r="M300" s="346" t="n"/>
      <c r="N300" s="295" t="n"/>
      <c r="O300" s="285" t="n"/>
      <c r="P300" s="295" t="n"/>
      <c r="Q300" s="295" t="n"/>
      <c r="R300" s="282" t="n"/>
      <c r="S300" s="295" t="n"/>
      <c r="T300" s="295" t="n"/>
      <c r="U300" s="285" t="n"/>
      <c r="V300" s="295" t="n"/>
      <c r="W300" s="282" t="n"/>
      <c r="X300" s="295" t="n"/>
      <c r="Y300" s="295" t="n"/>
      <c r="Z300" s="295" t="n"/>
      <c r="AA300" s="295" t="n"/>
      <c r="AB300" s="285" t="n"/>
      <c r="AC300" s="295" t="n"/>
      <c r="AD300" s="295" t="n"/>
      <c r="AE300" s="286" t="n"/>
    </row>
    <row r="301">
      <c r="B301" s="287" t="n"/>
      <c r="C301" s="288" t="n"/>
      <c r="D301" s="295" t="n"/>
      <c r="E301" s="295" t="n"/>
      <c r="F301" s="295" t="n"/>
      <c r="G301" s="290" t="n"/>
      <c r="H301" s="295" t="n"/>
      <c r="I301" s="295" t="n"/>
      <c r="J301" s="290" t="n"/>
      <c r="K301" s="347" t="n"/>
      <c r="L301" s="295" t="n"/>
      <c r="M301" s="348" t="n"/>
      <c r="N301" s="295" t="n"/>
      <c r="O301" s="293" t="n"/>
      <c r="P301" s="295" t="n"/>
      <c r="Q301" s="295" t="n"/>
      <c r="R301" s="290" t="n"/>
      <c r="S301" s="295" t="n"/>
      <c r="T301" s="295" t="n"/>
      <c r="U301" s="293" t="n"/>
      <c r="V301" s="295" t="n"/>
      <c r="W301" s="290" t="n"/>
      <c r="X301" s="295" t="n"/>
      <c r="Y301" s="295" t="n"/>
      <c r="Z301" s="295" t="n"/>
      <c r="AA301" s="295" t="n"/>
      <c r="AB301" s="293" t="n"/>
      <c r="AC301" s="295" t="n"/>
      <c r="AD301" s="295" t="n"/>
      <c r="AE301" s="294" t="n"/>
    </row>
    <row r="302">
      <c r="B302" s="279" t="n"/>
      <c r="C302" s="280" t="n"/>
      <c r="D302" s="295" t="n"/>
      <c r="E302" s="295" t="n"/>
      <c r="F302" s="295" t="n"/>
      <c r="G302" s="282" t="n"/>
      <c r="H302" s="295" t="n"/>
      <c r="I302" s="295" t="n"/>
      <c r="J302" s="282" t="n"/>
      <c r="K302" s="345" t="n"/>
      <c r="L302" s="295" t="n"/>
      <c r="M302" s="346" t="n"/>
      <c r="N302" s="295" t="n"/>
      <c r="O302" s="285" t="n"/>
      <c r="P302" s="295" t="n"/>
      <c r="Q302" s="295" t="n"/>
      <c r="R302" s="282" t="n"/>
      <c r="S302" s="295" t="n"/>
      <c r="T302" s="295" t="n"/>
      <c r="U302" s="285" t="n"/>
      <c r="V302" s="295" t="n"/>
      <c r="W302" s="282" t="n"/>
      <c r="X302" s="295" t="n"/>
      <c r="Y302" s="295" t="n"/>
      <c r="Z302" s="295" t="n"/>
      <c r="AA302" s="295" t="n"/>
      <c r="AB302" s="285" t="n"/>
      <c r="AC302" s="295" t="n"/>
      <c r="AD302" s="295" t="n"/>
      <c r="AE302" s="286" t="n"/>
    </row>
    <row r="303">
      <c r="B303" s="287" t="n"/>
      <c r="C303" s="288" t="n"/>
      <c r="D303" s="295" t="n"/>
      <c r="E303" s="295" t="n"/>
      <c r="F303" s="295" t="n"/>
      <c r="G303" s="290" t="n"/>
      <c r="H303" s="295" t="n"/>
      <c r="I303" s="295" t="n"/>
      <c r="J303" s="290" t="n"/>
      <c r="K303" s="347" t="n"/>
      <c r="L303" s="295" t="n"/>
      <c r="M303" s="348" t="n"/>
      <c r="N303" s="295" t="n"/>
      <c r="O303" s="293" t="n"/>
      <c r="P303" s="295" t="n"/>
      <c r="Q303" s="295" t="n"/>
      <c r="R303" s="290" t="n"/>
      <c r="S303" s="295" t="n"/>
      <c r="T303" s="295" t="n"/>
      <c r="U303" s="293" t="n"/>
      <c r="V303" s="295" t="n"/>
      <c r="W303" s="290" t="n"/>
      <c r="X303" s="295" t="n"/>
      <c r="Y303" s="295" t="n"/>
      <c r="Z303" s="295" t="n"/>
      <c r="AA303" s="295" t="n"/>
      <c r="AB303" s="293" t="n"/>
      <c r="AC303" s="295" t="n"/>
      <c r="AD303" s="295" t="n"/>
      <c r="AE303" s="294" t="n"/>
    </row>
    <row r="304">
      <c r="B304" s="279" t="n"/>
      <c r="C304" s="280" t="n"/>
      <c r="D304" s="295" t="n"/>
      <c r="E304" s="295" t="n"/>
      <c r="F304" s="295" t="n"/>
      <c r="G304" s="282" t="n"/>
      <c r="H304" s="295" t="n"/>
      <c r="I304" s="295" t="n"/>
      <c r="J304" s="282" t="n"/>
      <c r="K304" s="345" t="n"/>
      <c r="L304" s="295" t="n"/>
      <c r="M304" s="346" t="n"/>
      <c r="N304" s="295" t="n"/>
      <c r="O304" s="285" t="n"/>
      <c r="P304" s="295" t="n"/>
      <c r="Q304" s="295" t="n"/>
      <c r="R304" s="282" t="n"/>
      <c r="S304" s="295" t="n"/>
      <c r="T304" s="295" t="n"/>
      <c r="U304" s="285" t="n"/>
      <c r="V304" s="295" t="n"/>
      <c r="W304" s="282" t="n"/>
      <c r="X304" s="295" t="n"/>
      <c r="Y304" s="295" t="n"/>
      <c r="Z304" s="295" t="n"/>
      <c r="AA304" s="295" t="n"/>
      <c r="AB304" s="285" t="n"/>
      <c r="AC304" s="295" t="n"/>
      <c r="AD304" s="295" t="n"/>
      <c r="AE304" s="286" t="n"/>
    </row>
    <row r="305">
      <c r="B305" s="287" t="n"/>
      <c r="C305" s="288" t="n"/>
      <c r="D305" s="295" t="n"/>
      <c r="E305" s="295" t="n"/>
      <c r="F305" s="295" t="n"/>
      <c r="G305" s="290" t="n"/>
      <c r="H305" s="295" t="n"/>
      <c r="I305" s="295" t="n"/>
      <c r="J305" s="290" t="n"/>
      <c r="K305" s="347" t="n"/>
      <c r="L305" s="295" t="n"/>
      <c r="M305" s="348" t="n"/>
      <c r="N305" s="295" t="n"/>
      <c r="O305" s="293" t="n"/>
      <c r="P305" s="295" t="n"/>
      <c r="Q305" s="295" t="n"/>
      <c r="R305" s="290" t="n"/>
      <c r="S305" s="295" t="n"/>
      <c r="T305" s="295" t="n"/>
      <c r="U305" s="293" t="n"/>
      <c r="V305" s="295" t="n"/>
      <c r="W305" s="290" t="n"/>
      <c r="X305" s="295" t="n"/>
      <c r="Y305" s="295" t="n"/>
      <c r="Z305" s="295" t="n"/>
      <c r="AA305" s="295" t="n"/>
      <c r="AB305" s="293" t="n"/>
      <c r="AC305" s="295" t="n"/>
      <c r="AD305" s="295" t="n"/>
      <c r="AE305" s="294" t="n"/>
    </row>
    <row r="306">
      <c r="B306" s="279" t="n"/>
      <c r="C306" s="280" t="n"/>
      <c r="D306" s="295" t="n"/>
      <c r="E306" s="295" t="n"/>
      <c r="F306" s="295" t="n"/>
      <c r="G306" s="282" t="n"/>
      <c r="H306" s="295" t="n"/>
      <c r="I306" s="295" t="n"/>
      <c r="J306" s="282" t="n"/>
      <c r="K306" s="345" t="n"/>
      <c r="L306" s="295" t="n"/>
      <c r="M306" s="346" t="n"/>
      <c r="N306" s="295" t="n"/>
      <c r="O306" s="285" t="n"/>
      <c r="P306" s="295" t="n"/>
      <c r="Q306" s="295" t="n"/>
      <c r="R306" s="282" t="n"/>
      <c r="S306" s="295" t="n"/>
      <c r="T306" s="295" t="n"/>
      <c r="U306" s="285" t="n"/>
      <c r="V306" s="295" t="n"/>
      <c r="W306" s="282" t="n"/>
      <c r="X306" s="295" t="n"/>
      <c r="Y306" s="295" t="n"/>
      <c r="Z306" s="295" t="n"/>
      <c r="AA306" s="295" t="n"/>
      <c r="AB306" s="285" t="n"/>
      <c r="AC306" s="295" t="n"/>
      <c r="AD306" s="295" t="n"/>
      <c r="AE306" s="286" t="n"/>
    </row>
    <row r="307">
      <c r="B307" s="287" t="n"/>
      <c r="C307" s="288" t="n"/>
      <c r="D307" s="295" t="n"/>
      <c r="E307" s="295" t="n"/>
      <c r="F307" s="295" t="n"/>
      <c r="G307" s="290" t="n"/>
      <c r="H307" s="295" t="n"/>
      <c r="I307" s="295" t="n"/>
      <c r="J307" s="290" t="n"/>
      <c r="K307" s="347" t="n"/>
      <c r="L307" s="295" t="n"/>
      <c r="M307" s="348" t="n"/>
      <c r="N307" s="295" t="n"/>
      <c r="O307" s="293" t="n"/>
      <c r="P307" s="295" t="n"/>
      <c r="Q307" s="295" t="n"/>
      <c r="R307" s="290" t="n"/>
      <c r="S307" s="295" t="n"/>
      <c r="T307" s="295" t="n"/>
      <c r="U307" s="293" t="n"/>
      <c r="V307" s="295" t="n"/>
      <c r="W307" s="290" t="n"/>
      <c r="X307" s="295" t="n"/>
      <c r="Y307" s="295" t="n"/>
      <c r="Z307" s="295" t="n"/>
      <c r="AA307" s="295" t="n"/>
      <c r="AB307" s="293" t="n"/>
      <c r="AC307" s="295" t="n"/>
      <c r="AD307" s="295" t="n"/>
      <c r="AE307" s="294" t="n"/>
    </row>
    <row r="308">
      <c r="B308" s="279" t="n"/>
      <c r="C308" s="280" t="n"/>
      <c r="D308" s="295" t="n"/>
      <c r="E308" s="295" t="n"/>
      <c r="F308" s="295" t="n"/>
      <c r="G308" s="282" t="n"/>
      <c r="H308" s="295" t="n"/>
      <c r="I308" s="295" t="n"/>
      <c r="J308" s="282" t="n"/>
      <c r="K308" s="345" t="n"/>
      <c r="L308" s="295" t="n"/>
      <c r="M308" s="346" t="n"/>
      <c r="N308" s="295" t="n"/>
      <c r="O308" s="285" t="n"/>
      <c r="P308" s="295" t="n"/>
      <c r="Q308" s="295" t="n"/>
      <c r="R308" s="282" t="n"/>
      <c r="S308" s="295" t="n"/>
      <c r="T308" s="295" t="n"/>
      <c r="U308" s="285" t="n"/>
      <c r="V308" s="295" t="n"/>
      <c r="W308" s="282" t="n"/>
      <c r="X308" s="295" t="n"/>
      <c r="Y308" s="295" t="n"/>
      <c r="Z308" s="295" t="n"/>
      <c r="AA308" s="295" t="n"/>
      <c r="AB308" s="285" t="n"/>
      <c r="AC308" s="295" t="n"/>
      <c r="AD308" s="295" t="n"/>
      <c r="AE308" s="286" t="n"/>
    </row>
    <row r="309">
      <c r="B309" s="287" t="n"/>
      <c r="C309" s="288" t="n"/>
      <c r="D309" s="295" t="n"/>
      <c r="E309" s="295" t="n"/>
      <c r="F309" s="295" t="n"/>
      <c r="G309" s="290" t="n"/>
      <c r="H309" s="295" t="n"/>
      <c r="I309" s="295" t="n"/>
      <c r="J309" s="290" t="n"/>
      <c r="K309" s="347" t="n"/>
      <c r="L309" s="295" t="n"/>
      <c r="M309" s="348" t="n"/>
      <c r="N309" s="295" t="n"/>
      <c r="O309" s="293" t="n"/>
      <c r="P309" s="295" t="n"/>
      <c r="Q309" s="295" t="n"/>
      <c r="R309" s="290" t="n"/>
      <c r="S309" s="295" t="n"/>
      <c r="T309" s="295" t="n"/>
      <c r="U309" s="293" t="n"/>
      <c r="V309" s="295" t="n"/>
      <c r="W309" s="290" t="n"/>
      <c r="X309" s="295" t="n"/>
      <c r="Y309" s="295" t="n"/>
      <c r="Z309" s="295" t="n"/>
      <c r="AA309" s="295" t="n"/>
      <c r="AB309" s="293" t="n"/>
      <c r="AC309" s="295" t="n"/>
      <c r="AD309" s="295" t="n"/>
      <c r="AE309" s="294" t="n"/>
    </row>
    <row r="310">
      <c r="B310" s="279" t="n"/>
      <c r="C310" s="280" t="n"/>
      <c r="D310" s="295" t="n"/>
      <c r="E310" s="295" t="n"/>
      <c r="F310" s="295" t="n"/>
      <c r="G310" s="282" t="n"/>
      <c r="H310" s="295" t="n"/>
      <c r="I310" s="295" t="n"/>
      <c r="J310" s="282" t="n"/>
      <c r="K310" s="345" t="n"/>
      <c r="L310" s="295" t="n"/>
      <c r="M310" s="346" t="n"/>
      <c r="N310" s="295" t="n"/>
      <c r="O310" s="285" t="n"/>
      <c r="P310" s="295" t="n"/>
      <c r="Q310" s="295" t="n"/>
      <c r="R310" s="282" t="n"/>
      <c r="S310" s="295" t="n"/>
      <c r="T310" s="295" t="n"/>
      <c r="U310" s="285" t="n"/>
      <c r="V310" s="295" t="n"/>
      <c r="W310" s="282" t="n"/>
      <c r="X310" s="295" t="n"/>
      <c r="Y310" s="295" t="n"/>
      <c r="Z310" s="295" t="n"/>
      <c r="AA310" s="295" t="n"/>
      <c r="AB310" s="285" t="n"/>
      <c r="AC310" s="295" t="n"/>
      <c r="AD310" s="295" t="n"/>
      <c r="AE310" s="286" t="n"/>
    </row>
    <row r="311">
      <c r="B311" s="287" t="n"/>
      <c r="C311" s="288" t="n"/>
      <c r="D311" s="295" t="n"/>
      <c r="E311" s="295" t="n"/>
      <c r="F311" s="295" t="n"/>
      <c r="G311" s="290" t="n"/>
      <c r="H311" s="295" t="n"/>
      <c r="I311" s="295" t="n"/>
      <c r="J311" s="290" t="n"/>
      <c r="K311" s="347" t="n"/>
      <c r="L311" s="295" t="n"/>
      <c r="M311" s="348" t="n"/>
      <c r="N311" s="295" t="n"/>
      <c r="O311" s="293" t="n"/>
      <c r="P311" s="295" t="n"/>
      <c r="Q311" s="295" t="n"/>
      <c r="R311" s="290" t="n"/>
      <c r="S311" s="295" t="n"/>
      <c r="T311" s="295" t="n"/>
      <c r="U311" s="293" t="n"/>
      <c r="V311" s="295" t="n"/>
      <c r="W311" s="290" t="n"/>
      <c r="X311" s="295" t="n"/>
      <c r="Y311" s="295" t="n"/>
      <c r="Z311" s="295" t="n"/>
      <c r="AA311" s="295" t="n"/>
      <c r="AB311" s="293" t="n"/>
      <c r="AC311" s="295" t="n"/>
      <c r="AD311" s="295" t="n"/>
      <c r="AE311" s="294" t="n"/>
    </row>
    <row r="312">
      <c r="B312" s="279" t="n"/>
      <c r="C312" s="280" t="n"/>
      <c r="D312" s="295" t="n"/>
      <c r="E312" s="295" t="n"/>
      <c r="F312" s="295" t="n"/>
      <c r="G312" s="282" t="n"/>
      <c r="H312" s="295" t="n"/>
      <c r="I312" s="295" t="n"/>
      <c r="J312" s="282" t="n"/>
      <c r="K312" s="345" t="n"/>
      <c r="L312" s="295" t="n"/>
      <c r="M312" s="346" t="n"/>
      <c r="N312" s="295" t="n"/>
      <c r="O312" s="285" t="n"/>
      <c r="P312" s="295" t="n"/>
      <c r="Q312" s="295" t="n"/>
      <c r="R312" s="282" t="n"/>
      <c r="S312" s="295" t="n"/>
      <c r="T312" s="295" t="n"/>
      <c r="U312" s="285" t="n"/>
      <c r="V312" s="295" t="n"/>
      <c r="W312" s="282" t="n"/>
      <c r="X312" s="295" t="n"/>
      <c r="Y312" s="295" t="n"/>
      <c r="Z312" s="295" t="n"/>
      <c r="AA312" s="295" t="n"/>
      <c r="AB312" s="285" t="n"/>
      <c r="AC312" s="295" t="n"/>
      <c r="AD312" s="295" t="n"/>
      <c r="AE312" s="286" t="n"/>
    </row>
    <row r="313">
      <c r="B313" s="287" t="n"/>
      <c r="C313" s="288" t="n"/>
      <c r="D313" s="295" t="n"/>
      <c r="E313" s="295" t="n"/>
      <c r="F313" s="295" t="n"/>
      <c r="G313" s="290" t="n"/>
      <c r="H313" s="295" t="n"/>
      <c r="I313" s="295" t="n"/>
      <c r="J313" s="290" t="n"/>
      <c r="K313" s="347" t="n"/>
      <c r="L313" s="295" t="n"/>
      <c r="M313" s="348" t="n"/>
      <c r="N313" s="295" t="n"/>
      <c r="O313" s="293" t="n"/>
      <c r="P313" s="295" t="n"/>
      <c r="Q313" s="295" t="n"/>
      <c r="R313" s="290" t="n"/>
      <c r="S313" s="295" t="n"/>
      <c r="T313" s="295" t="n"/>
      <c r="U313" s="293" t="n"/>
      <c r="V313" s="295" t="n"/>
      <c r="W313" s="290" t="n"/>
      <c r="X313" s="295" t="n"/>
      <c r="Y313" s="295" t="n"/>
      <c r="Z313" s="295" t="n"/>
      <c r="AA313" s="295" t="n"/>
      <c r="AB313" s="293" t="n"/>
      <c r="AC313" s="295" t="n"/>
      <c r="AD313" s="295" t="n"/>
      <c r="AE313" s="294" t="n"/>
    </row>
    <row r="314">
      <c r="B314" s="279" t="n"/>
      <c r="C314" s="280" t="n"/>
      <c r="D314" s="295" t="n"/>
      <c r="E314" s="295" t="n"/>
      <c r="F314" s="295" t="n"/>
      <c r="G314" s="282" t="n"/>
      <c r="H314" s="295" t="n"/>
      <c r="I314" s="295" t="n"/>
      <c r="J314" s="282" t="n"/>
      <c r="K314" s="345" t="n"/>
      <c r="L314" s="295" t="n"/>
      <c r="M314" s="346" t="n"/>
      <c r="N314" s="295" t="n"/>
      <c r="O314" s="285" t="n"/>
      <c r="P314" s="295" t="n"/>
      <c r="Q314" s="295" t="n"/>
      <c r="R314" s="282" t="n"/>
      <c r="S314" s="295" t="n"/>
      <c r="T314" s="295" t="n"/>
      <c r="U314" s="285" t="n"/>
      <c r="V314" s="295" t="n"/>
      <c r="W314" s="282" t="n"/>
      <c r="X314" s="295" t="n"/>
      <c r="Y314" s="295" t="n"/>
      <c r="Z314" s="295" t="n"/>
      <c r="AA314" s="295" t="n"/>
      <c r="AB314" s="285" t="n"/>
      <c r="AC314" s="295" t="n"/>
      <c r="AD314" s="295" t="n"/>
      <c r="AE314" s="286" t="n"/>
    </row>
    <row r="315">
      <c r="B315" s="287" t="n"/>
      <c r="C315" s="288" t="n"/>
      <c r="D315" s="295" t="n"/>
      <c r="E315" s="295" t="n"/>
      <c r="F315" s="295" t="n"/>
      <c r="G315" s="290" t="n"/>
      <c r="H315" s="295" t="n"/>
      <c r="I315" s="295" t="n"/>
      <c r="J315" s="290" t="n"/>
      <c r="K315" s="347" t="n"/>
      <c r="L315" s="295" t="n"/>
      <c r="M315" s="348" t="n"/>
      <c r="N315" s="295" t="n"/>
      <c r="O315" s="293" t="n"/>
      <c r="P315" s="295" t="n"/>
      <c r="Q315" s="295" t="n"/>
      <c r="R315" s="290" t="n"/>
      <c r="S315" s="295" t="n"/>
      <c r="T315" s="295" t="n"/>
      <c r="U315" s="293" t="n"/>
      <c r="V315" s="295" t="n"/>
      <c r="W315" s="290" t="n"/>
      <c r="X315" s="295" t="n"/>
      <c r="Y315" s="295" t="n"/>
      <c r="Z315" s="295" t="n"/>
      <c r="AA315" s="295" t="n"/>
      <c r="AB315" s="293" t="n"/>
      <c r="AC315" s="295" t="n"/>
      <c r="AD315" s="295" t="n"/>
      <c r="AE315" s="294" t="n"/>
    </row>
    <row r="316">
      <c r="B316" s="279" t="n"/>
      <c r="C316" s="280" t="n"/>
      <c r="D316" s="295" t="n"/>
      <c r="E316" s="295" t="n"/>
      <c r="F316" s="295" t="n"/>
      <c r="G316" s="282" t="n"/>
      <c r="H316" s="295" t="n"/>
      <c r="I316" s="295" t="n"/>
      <c r="J316" s="282" t="n"/>
      <c r="K316" s="345" t="n"/>
      <c r="L316" s="295" t="n"/>
      <c r="M316" s="346" t="n"/>
      <c r="N316" s="295" t="n"/>
      <c r="O316" s="285" t="n"/>
      <c r="P316" s="295" t="n"/>
      <c r="Q316" s="295" t="n"/>
      <c r="R316" s="282" t="n"/>
      <c r="S316" s="295" t="n"/>
      <c r="T316" s="295" t="n"/>
      <c r="U316" s="285" t="n"/>
      <c r="V316" s="295" t="n"/>
      <c r="W316" s="282" t="n"/>
      <c r="X316" s="295" t="n"/>
      <c r="Y316" s="295" t="n"/>
      <c r="Z316" s="295" t="n"/>
      <c r="AA316" s="295" t="n"/>
      <c r="AB316" s="285" t="n"/>
      <c r="AC316" s="295" t="n"/>
      <c r="AD316" s="295" t="n"/>
      <c r="AE316" s="286" t="n"/>
    </row>
    <row r="317">
      <c r="B317" s="287" t="n"/>
      <c r="C317" s="288" t="n"/>
      <c r="D317" s="295" t="n"/>
      <c r="E317" s="295" t="n"/>
      <c r="F317" s="295" t="n"/>
      <c r="G317" s="290" t="n"/>
      <c r="H317" s="295" t="n"/>
      <c r="I317" s="295" t="n"/>
      <c r="J317" s="290" t="n"/>
      <c r="K317" s="347" t="n"/>
      <c r="L317" s="295" t="n"/>
      <c r="M317" s="348" t="n"/>
      <c r="N317" s="295" t="n"/>
      <c r="O317" s="293" t="n"/>
      <c r="P317" s="295" t="n"/>
      <c r="Q317" s="295" t="n"/>
      <c r="R317" s="290" t="n"/>
      <c r="S317" s="295" t="n"/>
      <c r="T317" s="295" t="n"/>
      <c r="U317" s="293" t="n"/>
      <c r="V317" s="295" t="n"/>
      <c r="W317" s="290" t="n"/>
      <c r="X317" s="295" t="n"/>
      <c r="Y317" s="295" t="n"/>
      <c r="Z317" s="295" t="n"/>
      <c r="AA317" s="295" t="n"/>
      <c r="AB317" s="293" t="n"/>
      <c r="AC317" s="295" t="n"/>
      <c r="AD317" s="295" t="n"/>
      <c r="AE317" s="294" t="n"/>
    </row>
    <row r="318">
      <c r="B318" s="279" t="n"/>
      <c r="C318" s="280" t="n"/>
      <c r="D318" s="295" t="n"/>
      <c r="E318" s="295" t="n"/>
      <c r="F318" s="295" t="n"/>
      <c r="G318" s="282" t="n"/>
      <c r="H318" s="295" t="n"/>
      <c r="I318" s="295" t="n"/>
      <c r="J318" s="282" t="n"/>
      <c r="K318" s="345" t="n"/>
      <c r="L318" s="295" t="n"/>
      <c r="M318" s="346" t="n"/>
      <c r="N318" s="295" t="n"/>
      <c r="O318" s="285" t="n"/>
      <c r="P318" s="295" t="n"/>
      <c r="Q318" s="295" t="n"/>
      <c r="R318" s="282" t="n"/>
      <c r="S318" s="295" t="n"/>
      <c r="T318" s="295" t="n"/>
      <c r="U318" s="285" t="n"/>
      <c r="V318" s="295" t="n"/>
      <c r="W318" s="282" t="n"/>
      <c r="X318" s="295" t="n"/>
      <c r="Y318" s="295" t="n"/>
      <c r="Z318" s="295" t="n"/>
      <c r="AA318" s="295" t="n"/>
      <c r="AB318" s="285" t="n"/>
      <c r="AC318" s="295" t="n"/>
      <c r="AD318" s="295" t="n"/>
      <c r="AE318" s="286" t="n"/>
    </row>
    <row r="319">
      <c r="B319" s="287" t="n"/>
      <c r="C319" s="288" t="n"/>
      <c r="D319" s="295" t="n"/>
      <c r="E319" s="295" t="n"/>
      <c r="F319" s="295" t="n"/>
      <c r="G319" s="290" t="n"/>
      <c r="H319" s="295" t="n"/>
      <c r="I319" s="295" t="n"/>
      <c r="J319" s="290" t="n"/>
      <c r="K319" s="347" t="n"/>
      <c r="L319" s="295" t="n"/>
      <c r="M319" s="348" t="n"/>
      <c r="N319" s="295" t="n"/>
      <c r="O319" s="293" t="n"/>
      <c r="P319" s="295" t="n"/>
      <c r="Q319" s="295" t="n"/>
      <c r="R319" s="290" t="n"/>
      <c r="S319" s="295" t="n"/>
      <c r="T319" s="295" t="n"/>
      <c r="U319" s="293" t="n"/>
      <c r="V319" s="295" t="n"/>
      <c r="W319" s="290" t="n"/>
      <c r="X319" s="295" t="n"/>
      <c r="Y319" s="295" t="n"/>
      <c r="Z319" s="295" t="n"/>
      <c r="AA319" s="295" t="n"/>
      <c r="AB319" s="293" t="n"/>
      <c r="AC319" s="295" t="n"/>
      <c r="AD319" s="295" t="n"/>
      <c r="AE319" s="294" t="n"/>
    </row>
    <row r="320">
      <c r="B320" s="279" t="n"/>
      <c r="C320" s="280" t="n"/>
      <c r="D320" s="295" t="n"/>
      <c r="E320" s="295" t="n"/>
      <c r="F320" s="295" t="n"/>
      <c r="G320" s="282" t="n"/>
      <c r="H320" s="295" t="n"/>
      <c r="I320" s="295" t="n"/>
      <c r="J320" s="282" t="n"/>
      <c r="K320" s="345" t="n"/>
      <c r="L320" s="295" t="n"/>
      <c r="M320" s="346" t="n"/>
      <c r="N320" s="295" t="n"/>
      <c r="O320" s="285" t="n"/>
      <c r="P320" s="295" t="n"/>
      <c r="Q320" s="295" t="n"/>
      <c r="R320" s="282" t="n"/>
      <c r="S320" s="295" t="n"/>
      <c r="T320" s="295" t="n"/>
      <c r="U320" s="285" t="n"/>
      <c r="V320" s="295" t="n"/>
      <c r="W320" s="282" t="n"/>
      <c r="X320" s="295" t="n"/>
      <c r="Y320" s="295" t="n"/>
      <c r="Z320" s="295" t="n"/>
      <c r="AA320" s="295" t="n"/>
      <c r="AB320" s="285" t="n"/>
      <c r="AC320" s="295" t="n"/>
      <c r="AD320" s="295" t="n"/>
      <c r="AE320" s="286" t="n"/>
    </row>
    <row r="321">
      <c r="B321" s="287" t="n"/>
      <c r="C321" s="288" t="n"/>
      <c r="D321" s="295" t="n"/>
      <c r="E321" s="295" t="n"/>
      <c r="F321" s="295" t="n"/>
      <c r="G321" s="290" t="n"/>
      <c r="H321" s="295" t="n"/>
      <c r="I321" s="295" t="n"/>
      <c r="J321" s="290" t="n"/>
      <c r="K321" s="347" t="n"/>
      <c r="L321" s="295" t="n"/>
      <c r="M321" s="348" t="n"/>
      <c r="N321" s="295" t="n"/>
      <c r="O321" s="293" t="n"/>
      <c r="P321" s="295" t="n"/>
      <c r="Q321" s="295" t="n"/>
      <c r="R321" s="290" t="n"/>
      <c r="S321" s="295" t="n"/>
      <c r="T321" s="295" t="n"/>
      <c r="U321" s="293" t="n"/>
      <c r="V321" s="295" t="n"/>
      <c r="W321" s="290" t="n"/>
      <c r="X321" s="295" t="n"/>
      <c r="Y321" s="295" t="n"/>
      <c r="Z321" s="295" t="n"/>
      <c r="AA321" s="295" t="n"/>
      <c r="AB321" s="293" t="n"/>
      <c r="AC321" s="295" t="n"/>
      <c r="AD321" s="295" t="n"/>
      <c r="AE321" s="294" t="n"/>
    </row>
    <row r="322">
      <c r="B322" s="279" t="n"/>
      <c r="C322" s="280" t="n"/>
      <c r="D322" s="295" t="n"/>
      <c r="E322" s="295" t="n"/>
      <c r="F322" s="295" t="n"/>
      <c r="G322" s="282" t="n"/>
      <c r="H322" s="295" t="n"/>
      <c r="I322" s="295" t="n"/>
      <c r="J322" s="282" t="n"/>
      <c r="K322" s="345" t="n"/>
      <c r="L322" s="295" t="n"/>
      <c r="M322" s="346" t="n"/>
      <c r="N322" s="295" t="n"/>
      <c r="O322" s="285" t="n"/>
      <c r="P322" s="295" t="n"/>
      <c r="Q322" s="295" t="n"/>
      <c r="R322" s="282" t="n"/>
      <c r="S322" s="295" t="n"/>
      <c r="T322" s="295" t="n"/>
      <c r="U322" s="285" t="n"/>
      <c r="V322" s="295" t="n"/>
      <c r="W322" s="282" t="n"/>
      <c r="X322" s="295" t="n"/>
      <c r="Y322" s="295" t="n"/>
      <c r="Z322" s="295" t="n"/>
      <c r="AA322" s="295" t="n"/>
      <c r="AB322" s="285" t="n"/>
      <c r="AC322" s="295" t="n"/>
      <c r="AD322" s="295" t="n"/>
      <c r="AE322" s="286" t="n"/>
    </row>
    <row r="323">
      <c r="B323" s="287" t="n"/>
      <c r="C323" s="288" t="n"/>
      <c r="D323" s="295" t="n"/>
      <c r="E323" s="295" t="n"/>
      <c r="F323" s="295" t="n"/>
      <c r="G323" s="290" t="n"/>
      <c r="H323" s="295" t="n"/>
      <c r="I323" s="295" t="n"/>
      <c r="J323" s="290" t="n"/>
      <c r="K323" s="347" t="n"/>
      <c r="L323" s="295" t="n"/>
      <c r="M323" s="348" t="n"/>
      <c r="N323" s="295" t="n"/>
      <c r="O323" s="293" t="n"/>
      <c r="P323" s="295" t="n"/>
      <c r="Q323" s="295" t="n"/>
      <c r="R323" s="290" t="n"/>
      <c r="S323" s="295" t="n"/>
      <c r="T323" s="295" t="n"/>
      <c r="U323" s="293" t="n"/>
      <c r="V323" s="295" t="n"/>
      <c r="W323" s="290" t="n"/>
      <c r="X323" s="295" t="n"/>
      <c r="Y323" s="295" t="n"/>
      <c r="Z323" s="295" t="n"/>
      <c r="AA323" s="295" t="n"/>
      <c r="AB323" s="293" t="n"/>
      <c r="AC323" s="295" t="n"/>
      <c r="AD323" s="295" t="n"/>
      <c r="AE323" s="294" t="n"/>
    </row>
    <row r="324">
      <c r="B324" s="279" t="n"/>
      <c r="C324" s="280" t="n"/>
      <c r="D324" s="295" t="n"/>
      <c r="E324" s="295" t="n"/>
      <c r="F324" s="295" t="n"/>
      <c r="G324" s="282" t="n"/>
      <c r="H324" s="295" t="n"/>
      <c r="I324" s="295" t="n"/>
      <c r="J324" s="282" t="n"/>
      <c r="K324" s="345" t="n"/>
      <c r="L324" s="295" t="n"/>
      <c r="M324" s="346" t="n"/>
      <c r="N324" s="295" t="n"/>
      <c r="O324" s="285" t="n"/>
      <c r="P324" s="295" t="n"/>
      <c r="Q324" s="295" t="n"/>
      <c r="R324" s="282" t="n"/>
      <c r="S324" s="295" t="n"/>
      <c r="T324" s="295" t="n"/>
      <c r="U324" s="285" t="n"/>
      <c r="V324" s="295" t="n"/>
      <c r="W324" s="282" t="n"/>
      <c r="X324" s="295" t="n"/>
      <c r="Y324" s="295" t="n"/>
      <c r="Z324" s="295" t="n"/>
      <c r="AA324" s="295" t="n"/>
      <c r="AB324" s="285" t="n"/>
      <c r="AC324" s="295" t="n"/>
      <c r="AD324" s="295" t="n"/>
      <c r="AE324" s="286" t="n"/>
    </row>
    <row r="325">
      <c r="B325" s="287" t="n"/>
      <c r="C325" s="288" t="n"/>
      <c r="D325" s="295" t="n"/>
      <c r="E325" s="295" t="n"/>
      <c r="F325" s="295" t="n"/>
      <c r="G325" s="290" t="n"/>
      <c r="H325" s="295" t="n"/>
      <c r="I325" s="295" t="n"/>
      <c r="J325" s="290" t="n"/>
      <c r="K325" s="347" t="n"/>
      <c r="L325" s="295" t="n"/>
      <c r="M325" s="348" t="n"/>
      <c r="N325" s="295" t="n"/>
      <c r="O325" s="293" t="n"/>
      <c r="P325" s="295" t="n"/>
      <c r="Q325" s="295" t="n"/>
      <c r="R325" s="290" t="n"/>
      <c r="S325" s="295" t="n"/>
      <c r="T325" s="295" t="n"/>
      <c r="U325" s="293" t="n"/>
      <c r="V325" s="295" t="n"/>
      <c r="W325" s="290" t="n"/>
      <c r="X325" s="295" t="n"/>
      <c r="Y325" s="295" t="n"/>
      <c r="Z325" s="295" t="n"/>
      <c r="AA325" s="295" t="n"/>
      <c r="AB325" s="293" t="n"/>
      <c r="AC325" s="295" t="n"/>
      <c r="AD325" s="295" t="n"/>
      <c r="AE325" s="294" t="n"/>
    </row>
    <row r="326">
      <c r="B326" s="279" t="n"/>
      <c r="C326" s="280" t="n"/>
      <c r="D326" s="295" t="n"/>
      <c r="E326" s="295" t="n"/>
      <c r="F326" s="295" t="n"/>
      <c r="G326" s="282" t="n"/>
      <c r="H326" s="295" t="n"/>
      <c r="I326" s="295" t="n"/>
      <c r="J326" s="282" t="n"/>
      <c r="K326" s="345" t="n"/>
      <c r="L326" s="295" t="n"/>
      <c r="M326" s="346" t="n"/>
      <c r="N326" s="295" t="n"/>
      <c r="O326" s="285" t="n"/>
      <c r="P326" s="295" t="n"/>
      <c r="Q326" s="295" t="n"/>
      <c r="R326" s="282" t="n"/>
      <c r="S326" s="295" t="n"/>
      <c r="T326" s="295" t="n"/>
      <c r="U326" s="285" t="n"/>
      <c r="V326" s="295" t="n"/>
      <c r="W326" s="282" t="n"/>
      <c r="X326" s="295" t="n"/>
      <c r="Y326" s="295" t="n"/>
      <c r="Z326" s="295" t="n"/>
      <c r="AA326" s="295" t="n"/>
      <c r="AB326" s="285" t="n"/>
      <c r="AC326" s="295" t="n"/>
      <c r="AD326" s="295" t="n"/>
      <c r="AE326" s="286" t="n"/>
    </row>
    <row r="327">
      <c r="B327" s="287" t="n"/>
      <c r="C327" s="288" t="n"/>
      <c r="D327" s="295" t="n"/>
      <c r="E327" s="295" t="n"/>
      <c r="F327" s="295" t="n"/>
      <c r="G327" s="290" t="n"/>
      <c r="H327" s="295" t="n"/>
      <c r="I327" s="295" t="n"/>
      <c r="J327" s="290" t="n"/>
      <c r="K327" s="347" t="n"/>
      <c r="L327" s="295" t="n"/>
      <c r="M327" s="348" t="n"/>
      <c r="N327" s="295" t="n"/>
      <c r="O327" s="293" t="n"/>
      <c r="P327" s="295" t="n"/>
      <c r="Q327" s="295" t="n"/>
      <c r="R327" s="290" t="n"/>
      <c r="S327" s="295" t="n"/>
      <c r="T327" s="295" t="n"/>
      <c r="U327" s="293" t="n"/>
      <c r="V327" s="295" t="n"/>
      <c r="W327" s="290" t="n"/>
      <c r="X327" s="295" t="n"/>
      <c r="Y327" s="295" t="n"/>
      <c r="Z327" s="295" t="n"/>
      <c r="AA327" s="295" t="n"/>
      <c r="AB327" s="293" t="n"/>
      <c r="AC327" s="295" t="n"/>
      <c r="AD327" s="295" t="n"/>
      <c r="AE327" s="294" t="n"/>
    </row>
    <row r="328">
      <c r="B328" s="279" t="n"/>
      <c r="C328" s="280" t="n"/>
      <c r="D328" s="295" t="n"/>
      <c r="E328" s="295" t="n"/>
      <c r="F328" s="295" t="n"/>
      <c r="G328" s="282" t="n"/>
      <c r="H328" s="295" t="n"/>
      <c r="I328" s="295" t="n"/>
      <c r="J328" s="282" t="n"/>
      <c r="K328" s="345" t="n"/>
      <c r="L328" s="295" t="n"/>
      <c r="M328" s="346" t="n"/>
      <c r="N328" s="295" t="n"/>
      <c r="O328" s="285" t="n"/>
      <c r="P328" s="295" t="n"/>
      <c r="Q328" s="295" t="n"/>
      <c r="R328" s="282" t="n"/>
      <c r="S328" s="295" t="n"/>
      <c r="T328" s="295" t="n"/>
      <c r="U328" s="285" t="n"/>
      <c r="V328" s="295" t="n"/>
      <c r="W328" s="282" t="n"/>
      <c r="X328" s="295" t="n"/>
      <c r="Y328" s="295" t="n"/>
      <c r="Z328" s="295" t="n"/>
      <c r="AA328" s="295" t="n"/>
      <c r="AB328" s="285" t="n"/>
      <c r="AC328" s="295" t="n"/>
      <c r="AD328" s="295" t="n"/>
      <c r="AE328" s="286" t="n"/>
    </row>
    <row r="329">
      <c r="B329" s="287" t="n"/>
      <c r="C329" s="288" t="n"/>
      <c r="D329" s="295" t="n"/>
      <c r="E329" s="295" t="n"/>
      <c r="F329" s="295" t="n"/>
      <c r="G329" s="290" t="n"/>
      <c r="H329" s="295" t="n"/>
      <c r="I329" s="295" t="n"/>
      <c r="J329" s="290" t="n"/>
      <c r="K329" s="347" t="n"/>
      <c r="L329" s="295" t="n"/>
      <c r="M329" s="348" t="n"/>
      <c r="N329" s="295" t="n"/>
      <c r="O329" s="293" t="n"/>
      <c r="P329" s="295" t="n"/>
      <c r="Q329" s="295" t="n"/>
      <c r="R329" s="290" t="n"/>
      <c r="S329" s="295" t="n"/>
      <c r="T329" s="295" t="n"/>
      <c r="U329" s="293" t="n"/>
      <c r="V329" s="295" t="n"/>
      <c r="W329" s="290" t="n"/>
      <c r="X329" s="295" t="n"/>
      <c r="Y329" s="295" t="n"/>
      <c r="Z329" s="295" t="n"/>
      <c r="AA329" s="295" t="n"/>
      <c r="AB329" s="293" t="n"/>
      <c r="AC329" s="295" t="n"/>
      <c r="AD329" s="295" t="n"/>
      <c r="AE329" s="294" t="n"/>
    </row>
    <row r="330">
      <c r="B330" s="279" t="n"/>
      <c r="C330" s="280" t="n"/>
      <c r="D330" s="295" t="n"/>
      <c r="E330" s="295" t="n"/>
      <c r="F330" s="295" t="n"/>
      <c r="G330" s="282" t="n"/>
      <c r="H330" s="295" t="n"/>
      <c r="I330" s="295" t="n"/>
      <c r="J330" s="282" t="n"/>
      <c r="K330" s="345" t="n"/>
      <c r="L330" s="295" t="n"/>
      <c r="M330" s="346" t="n"/>
      <c r="N330" s="295" t="n"/>
      <c r="O330" s="285" t="n"/>
      <c r="P330" s="295" t="n"/>
      <c r="Q330" s="295" t="n"/>
      <c r="R330" s="282" t="n"/>
      <c r="S330" s="295" t="n"/>
      <c r="T330" s="295" t="n"/>
      <c r="U330" s="285" t="n"/>
      <c r="V330" s="295" t="n"/>
      <c r="W330" s="282" t="n"/>
      <c r="X330" s="295" t="n"/>
      <c r="Y330" s="295" t="n"/>
      <c r="Z330" s="295" t="n"/>
      <c r="AA330" s="295" t="n"/>
      <c r="AB330" s="285" t="n"/>
      <c r="AC330" s="295" t="n"/>
      <c r="AD330" s="295" t="n"/>
      <c r="AE330" s="286" t="n"/>
    </row>
    <row r="331">
      <c r="B331" s="287" t="n"/>
      <c r="C331" s="288" t="n"/>
      <c r="D331" s="295" t="n"/>
      <c r="E331" s="295" t="n"/>
      <c r="F331" s="295" t="n"/>
      <c r="G331" s="290" t="n"/>
      <c r="H331" s="295" t="n"/>
      <c r="I331" s="295" t="n"/>
      <c r="J331" s="290" t="n"/>
      <c r="K331" s="347" t="n"/>
      <c r="L331" s="295" t="n"/>
      <c r="M331" s="348" t="n"/>
      <c r="N331" s="295" t="n"/>
      <c r="O331" s="293" t="n"/>
      <c r="P331" s="295" t="n"/>
      <c r="Q331" s="295" t="n"/>
      <c r="R331" s="290" t="n"/>
      <c r="S331" s="295" t="n"/>
      <c r="T331" s="295" t="n"/>
      <c r="U331" s="293" t="n"/>
      <c r="V331" s="295" t="n"/>
      <c r="W331" s="290" t="n"/>
      <c r="X331" s="295" t="n"/>
      <c r="Y331" s="295" t="n"/>
      <c r="Z331" s="295" t="n"/>
      <c r="AA331" s="295" t="n"/>
      <c r="AB331" s="293" t="n"/>
      <c r="AC331" s="295" t="n"/>
      <c r="AD331" s="295" t="n"/>
      <c r="AE331" s="294" t="n"/>
    </row>
    <row r="332">
      <c r="B332" s="279" t="n"/>
      <c r="C332" s="280" t="n"/>
      <c r="D332" s="295" t="n"/>
      <c r="E332" s="295" t="n"/>
      <c r="F332" s="295" t="n"/>
      <c r="G332" s="282" t="n"/>
      <c r="H332" s="295" t="n"/>
      <c r="I332" s="295" t="n"/>
      <c r="J332" s="282" t="n"/>
      <c r="K332" s="345" t="n"/>
      <c r="L332" s="295" t="n"/>
      <c r="M332" s="346" t="n"/>
      <c r="N332" s="295" t="n"/>
      <c r="O332" s="285" t="n"/>
      <c r="P332" s="295" t="n"/>
      <c r="Q332" s="295" t="n"/>
      <c r="R332" s="282" t="n"/>
      <c r="S332" s="295" t="n"/>
      <c r="T332" s="295" t="n"/>
      <c r="U332" s="285" t="n"/>
      <c r="V332" s="295" t="n"/>
      <c r="W332" s="282" t="n"/>
      <c r="X332" s="295" t="n"/>
      <c r="Y332" s="295" t="n"/>
      <c r="Z332" s="295" t="n"/>
      <c r="AA332" s="295" t="n"/>
      <c r="AB332" s="285" t="n"/>
      <c r="AC332" s="295" t="n"/>
      <c r="AD332" s="295" t="n"/>
      <c r="AE332" s="286" t="n"/>
    </row>
    <row r="333">
      <c r="B333" s="287" t="n"/>
      <c r="C333" s="288" t="n"/>
      <c r="D333" s="295" t="n"/>
      <c r="E333" s="295" t="n"/>
      <c r="F333" s="295" t="n"/>
      <c r="G333" s="290" t="n"/>
      <c r="H333" s="295" t="n"/>
      <c r="I333" s="295" t="n"/>
      <c r="J333" s="290" t="n"/>
      <c r="K333" s="347" t="n"/>
      <c r="L333" s="295" t="n"/>
      <c r="M333" s="348" t="n"/>
      <c r="N333" s="295" t="n"/>
      <c r="O333" s="293" t="n"/>
      <c r="P333" s="295" t="n"/>
      <c r="Q333" s="295" t="n"/>
      <c r="R333" s="290" t="n"/>
      <c r="S333" s="295" t="n"/>
      <c r="T333" s="295" t="n"/>
      <c r="U333" s="293" t="n"/>
      <c r="V333" s="295" t="n"/>
      <c r="W333" s="290" t="n"/>
      <c r="X333" s="295" t="n"/>
      <c r="Y333" s="295" t="n"/>
      <c r="Z333" s="295" t="n"/>
      <c r="AA333" s="295" t="n"/>
      <c r="AB333" s="293" t="n"/>
      <c r="AC333" s="295" t="n"/>
      <c r="AD333" s="295" t="n"/>
      <c r="AE333" s="294" t="n"/>
    </row>
    <row r="334">
      <c r="B334" s="279" t="n"/>
      <c r="C334" s="280" t="n"/>
      <c r="D334" s="295" t="n"/>
      <c r="E334" s="295" t="n"/>
      <c r="F334" s="295" t="n"/>
      <c r="G334" s="282" t="n"/>
      <c r="H334" s="295" t="n"/>
      <c r="I334" s="295" t="n"/>
      <c r="J334" s="282" t="n"/>
      <c r="K334" s="345" t="n"/>
      <c r="L334" s="295" t="n"/>
      <c r="M334" s="346" t="n"/>
      <c r="N334" s="295" t="n"/>
      <c r="O334" s="285" t="n"/>
      <c r="P334" s="295" t="n"/>
      <c r="Q334" s="295" t="n"/>
      <c r="R334" s="282" t="n"/>
      <c r="S334" s="295" t="n"/>
      <c r="T334" s="295" t="n"/>
      <c r="U334" s="285" t="n"/>
      <c r="V334" s="295" t="n"/>
      <c r="W334" s="282" t="n"/>
      <c r="X334" s="295" t="n"/>
      <c r="Y334" s="295" t="n"/>
      <c r="Z334" s="295" t="n"/>
      <c r="AA334" s="295" t="n"/>
      <c r="AB334" s="285" t="n"/>
      <c r="AC334" s="295" t="n"/>
      <c r="AD334" s="295" t="n"/>
      <c r="AE334" s="286" t="n"/>
    </row>
    <row r="335">
      <c r="B335" s="287" t="n"/>
      <c r="C335" s="288" t="n"/>
      <c r="D335" s="295" t="n"/>
      <c r="E335" s="295" t="n"/>
      <c r="F335" s="295" t="n"/>
      <c r="G335" s="290" t="n"/>
      <c r="H335" s="295" t="n"/>
      <c r="I335" s="295" t="n"/>
      <c r="J335" s="290" t="n"/>
      <c r="K335" s="347" t="n"/>
      <c r="L335" s="295" t="n"/>
      <c r="M335" s="348" t="n"/>
      <c r="N335" s="295" t="n"/>
      <c r="O335" s="293" t="n"/>
      <c r="P335" s="295" t="n"/>
      <c r="Q335" s="295" t="n"/>
      <c r="R335" s="290" t="n"/>
      <c r="S335" s="295" t="n"/>
      <c r="T335" s="295" t="n"/>
      <c r="U335" s="293" t="n"/>
      <c r="V335" s="295" t="n"/>
      <c r="W335" s="290" t="n"/>
      <c r="X335" s="295" t="n"/>
      <c r="Y335" s="295" t="n"/>
      <c r="Z335" s="295" t="n"/>
      <c r="AA335" s="295" t="n"/>
      <c r="AB335" s="293" t="n"/>
      <c r="AC335" s="295" t="n"/>
      <c r="AD335" s="295" t="n"/>
      <c r="AE335" s="294" t="n"/>
    </row>
    <row r="336">
      <c r="B336" s="279" t="n"/>
      <c r="C336" s="280" t="n"/>
      <c r="D336" s="295" t="n"/>
      <c r="E336" s="295" t="n"/>
      <c r="F336" s="295" t="n"/>
      <c r="G336" s="282" t="n"/>
      <c r="H336" s="295" t="n"/>
      <c r="I336" s="295" t="n"/>
      <c r="J336" s="282" t="n"/>
      <c r="K336" s="345" t="n"/>
      <c r="L336" s="295" t="n"/>
      <c r="M336" s="346" t="n"/>
      <c r="N336" s="295" t="n"/>
      <c r="O336" s="285" t="n"/>
      <c r="P336" s="295" t="n"/>
      <c r="Q336" s="295" t="n"/>
      <c r="R336" s="282" t="n"/>
      <c r="S336" s="295" t="n"/>
      <c r="T336" s="295" t="n"/>
      <c r="U336" s="285" t="n"/>
      <c r="V336" s="295" t="n"/>
      <c r="W336" s="282" t="n"/>
      <c r="X336" s="295" t="n"/>
      <c r="Y336" s="295" t="n"/>
      <c r="Z336" s="295" t="n"/>
      <c r="AA336" s="295" t="n"/>
      <c r="AB336" s="285" t="n"/>
      <c r="AC336" s="295" t="n"/>
      <c r="AD336" s="295" t="n"/>
      <c r="AE336" s="286" t="n"/>
    </row>
    <row r="337">
      <c r="B337" s="287" t="n"/>
      <c r="C337" s="288" t="n"/>
      <c r="D337" s="295" t="n"/>
      <c r="E337" s="295" t="n"/>
      <c r="F337" s="295" t="n"/>
      <c r="G337" s="290" t="n"/>
      <c r="H337" s="295" t="n"/>
      <c r="I337" s="295" t="n"/>
      <c r="J337" s="290" t="n"/>
      <c r="K337" s="347" t="n"/>
      <c r="L337" s="295" t="n"/>
      <c r="M337" s="348" t="n"/>
      <c r="N337" s="295" t="n"/>
      <c r="O337" s="293" t="n"/>
      <c r="P337" s="295" t="n"/>
      <c r="Q337" s="295" t="n"/>
      <c r="R337" s="290" t="n"/>
      <c r="S337" s="295" t="n"/>
      <c r="T337" s="295" t="n"/>
      <c r="U337" s="293" t="n"/>
      <c r="V337" s="295" t="n"/>
      <c r="W337" s="290" t="n"/>
      <c r="X337" s="295" t="n"/>
      <c r="Y337" s="295" t="n"/>
      <c r="Z337" s="295" t="n"/>
      <c r="AA337" s="295" t="n"/>
      <c r="AB337" s="293" t="n"/>
      <c r="AC337" s="295" t="n"/>
      <c r="AD337" s="295" t="n"/>
      <c r="AE337" s="294" t="n"/>
    </row>
    <row r="338">
      <c r="B338" s="279" t="n"/>
      <c r="C338" s="280" t="n"/>
      <c r="D338" s="295" t="n"/>
      <c r="E338" s="295" t="n"/>
      <c r="F338" s="295" t="n"/>
      <c r="G338" s="282" t="n"/>
      <c r="H338" s="295" t="n"/>
      <c r="I338" s="295" t="n"/>
      <c r="J338" s="282" t="n"/>
      <c r="K338" s="345" t="n"/>
      <c r="L338" s="295" t="n"/>
      <c r="M338" s="346" t="n"/>
      <c r="N338" s="295" t="n"/>
      <c r="O338" s="285" t="n"/>
      <c r="P338" s="295" t="n"/>
      <c r="Q338" s="295" t="n"/>
      <c r="R338" s="282" t="n"/>
      <c r="S338" s="295" t="n"/>
      <c r="T338" s="295" t="n"/>
      <c r="U338" s="285" t="n"/>
      <c r="V338" s="295" t="n"/>
      <c r="W338" s="282" t="n"/>
      <c r="X338" s="295" t="n"/>
      <c r="Y338" s="295" t="n"/>
      <c r="Z338" s="295" t="n"/>
      <c r="AA338" s="295" t="n"/>
      <c r="AB338" s="285" t="n"/>
      <c r="AC338" s="295" t="n"/>
      <c r="AD338" s="295" t="n"/>
      <c r="AE338" s="286" t="n"/>
    </row>
    <row r="339">
      <c r="B339" s="287" t="n"/>
      <c r="C339" s="288" t="n"/>
      <c r="D339" s="295" t="n"/>
      <c r="E339" s="295" t="n"/>
      <c r="F339" s="295" t="n"/>
      <c r="G339" s="290" t="n"/>
      <c r="H339" s="295" t="n"/>
      <c r="I339" s="295" t="n"/>
      <c r="J339" s="290" t="n"/>
      <c r="K339" s="347" t="n"/>
      <c r="L339" s="295" t="n"/>
      <c r="M339" s="348" t="n"/>
      <c r="N339" s="295" t="n"/>
      <c r="O339" s="293" t="n"/>
      <c r="P339" s="295" t="n"/>
      <c r="Q339" s="295" t="n"/>
      <c r="R339" s="290" t="n"/>
      <c r="S339" s="295" t="n"/>
      <c r="T339" s="295" t="n"/>
      <c r="U339" s="293" t="n"/>
      <c r="V339" s="295" t="n"/>
      <c r="W339" s="290" t="n"/>
      <c r="X339" s="295" t="n"/>
      <c r="Y339" s="295" t="n"/>
      <c r="Z339" s="295" t="n"/>
      <c r="AA339" s="295" t="n"/>
      <c r="AB339" s="293" t="n"/>
      <c r="AC339" s="295" t="n"/>
      <c r="AD339" s="295" t="n"/>
      <c r="AE339" s="294" t="n"/>
    </row>
    <row r="340">
      <c r="B340" s="279" t="n"/>
      <c r="C340" s="280" t="n"/>
      <c r="D340" s="295" t="n"/>
      <c r="E340" s="295" t="n"/>
      <c r="F340" s="295" t="n"/>
      <c r="G340" s="282" t="n"/>
      <c r="H340" s="295" t="n"/>
      <c r="I340" s="295" t="n"/>
      <c r="J340" s="282" t="n"/>
      <c r="K340" s="345" t="n"/>
      <c r="L340" s="295" t="n"/>
      <c r="M340" s="346" t="n"/>
      <c r="N340" s="295" t="n"/>
      <c r="O340" s="285" t="n"/>
      <c r="P340" s="295" t="n"/>
      <c r="Q340" s="295" t="n"/>
      <c r="R340" s="282" t="n"/>
      <c r="S340" s="295" t="n"/>
      <c r="T340" s="295" t="n"/>
      <c r="U340" s="285" t="n"/>
      <c r="V340" s="295" t="n"/>
      <c r="W340" s="282" t="n"/>
      <c r="X340" s="295" t="n"/>
      <c r="Y340" s="295" t="n"/>
      <c r="Z340" s="295" t="n"/>
      <c r="AA340" s="295" t="n"/>
      <c r="AB340" s="285" t="n"/>
      <c r="AC340" s="295" t="n"/>
      <c r="AD340" s="295" t="n"/>
      <c r="AE340" s="286" t="n"/>
    </row>
    <row r="341">
      <c r="B341" s="287" t="n"/>
      <c r="C341" s="288" t="n"/>
      <c r="D341" s="295" t="n"/>
      <c r="E341" s="295" t="n"/>
      <c r="F341" s="295" t="n"/>
      <c r="G341" s="290" t="n"/>
      <c r="H341" s="295" t="n"/>
      <c r="I341" s="295" t="n"/>
      <c r="J341" s="290" t="n"/>
      <c r="K341" s="347" t="n"/>
      <c r="L341" s="295" t="n"/>
      <c r="M341" s="348" t="n"/>
      <c r="N341" s="295" t="n"/>
      <c r="O341" s="293" t="n"/>
      <c r="P341" s="295" t="n"/>
      <c r="Q341" s="295" t="n"/>
      <c r="R341" s="290" t="n"/>
      <c r="S341" s="295" t="n"/>
      <c r="T341" s="295" t="n"/>
      <c r="U341" s="293" t="n"/>
      <c r="V341" s="295" t="n"/>
      <c r="W341" s="290" t="n"/>
      <c r="X341" s="295" t="n"/>
      <c r="Y341" s="295" t="n"/>
      <c r="Z341" s="295" t="n"/>
      <c r="AA341" s="295" t="n"/>
      <c r="AB341" s="293" t="n"/>
      <c r="AC341" s="295" t="n"/>
      <c r="AD341" s="295" t="n"/>
      <c r="AE341" s="294" t="n"/>
    </row>
    <row r="342">
      <c r="B342" s="279" t="n"/>
      <c r="C342" s="280" t="n"/>
      <c r="D342" s="295" t="n"/>
      <c r="E342" s="295" t="n"/>
      <c r="F342" s="295" t="n"/>
      <c r="G342" s="282" t="n"/>
      <c r="H342" s="295" t="n"/>
      <c r="I342" s="295" t="n"/>
      <c r="J342" s="282" t="n"/>
      <c r="K342" s="345" t="n"/>
      <c r="L342" s="295" t="n"/>
      <c r="M342" s="346" t="n"/>
      <c r="N342" s="295" t="n"/>
      <c r="O342" s="285" t="n"/>
      <c r="P342" s="295" t="n"/>
      <c r="Q342" s="295" t="n"/>
      <c r="R342" s="282" t="n"/>
      <c r="S342" s="295" t="n"/>
      <c r="T342" s="295" t="n"/>
      <c r="U342" s="285" t="n"/>
      <c r="V342" s="295" t="n"/>
      <c r="W342" s="282" t="n"/>
      <c r="X342" s="295" t="n"/>
      <c r="Y342" s="295" t="n"/>
      <c r="Z342" s="295" t="n"/>
      <c r="AA342" s="295" t="n"/>
      <c r="AB342" s="285" t="n"/>
      <c r="AC342" s="295" t="n"/>
      <c r="AD342" s="295" t="n"/>
      <c r="AE342" s="286" t="n"/>
    </row>
    <row r="343">
      <c r="B343" s="287" t="n"/>
      <c r="C343" s="288" t="n"/>
      <c r="D343" s="295" t="n"/>
      <c r="E343" s="295" t="n"/>
      <c r="F343" s="295" t="n"/>
      <c r="G343" s="290" t="n"/>
      <c r="H343" s="295" t="n"/>
      <c r="I343" s="295" t="n"/>
      <c r="J343" s="290" t="n"/>
      <c r="K343" s="347" t="n"/>
      <c r="L343" s="295" t="n"/>
      <c r="M343" s="348" t="n"/>
      <c r="N343" s="295" t="n"/>
      <c r="O343" s="293" t="n"/>
      <c r="P343" s="295" t="n"/>
      <c r="Q343" s="295" t="n"/>
      <c r="R343" s="290" t="n"/>
      <c r="S343" s="295" t="n"/>
      <c r="T343" s="295" t="n"/>
      <c r="U343" s="293" t="n"/>
      <c r="V343" s="295" t="n"/>
      <c r="W343" s="290" t="n"/>
      <c r="X343" s="295" t="n"/>
      <c r="Y343" s="295" t="n"/>
      <c r="Z343" s="295" t="n"/>
      <c r="AA343" s="295" t="n"/>
      <c r="AB343" s="293" t="n"/>
      <c r="AC343" s="295" t="n"/>
      <c r="AD343" s="295" t="n"/>
      <c r="AE343" s="294" t="n"/>
    </row>
    <row r="344">
      <c r="B344" s="279" t="n"/>
      <c r="C344" s="280" t="n"/>
      <c r="D344" s="295" t="n"/>
      <c r="E344" s="295" t="n"/>
      <c r="F344" s="295" t="n"/>
      <c r="G344" s="282" t="n"/>
      <c r="H344" s="295" t="n"/>
      <c r="I344" s="295" t="n"/>
      <c r="J344" s="282" t="n"/>
      <c r="K344" s="345" t="n"/>
      <c r="L344" s="295" t="n"/>
      <c r="M344" s="346" t="n"/>
      <c r="N344" s="295" t="n"/>
      <c r="O344" s="285" t="n"/>
      <c r="P344" s="295" t="n"/>
      <c r="Q344" s="295" t="n"/>
      <c r="R344" s="282" t="n"/>
      <c r="S344" s="295" t="n"/>
      <c r="T344" s="295" t="n"/>
      <c r="U344" s="285" t="n"/>
      <c r="V344" s="295" t="n"/>
      <c r="W344" s="282" t="n"/>
      <c r="X344" s="295" t="n"/>
      <c r="Y344" s="295" t="n"/>
      <c r="Z344" s="295" t="n"/>
      <c r="AA344" s="295" t="n"/>
      <c r="AB344" s="285" t="n"/>
      <c r="AC344" s="295" t="n"/>
      <c r="AD344" s="295" t="n"/>
      <c r="AE344" s="286" t="n"/>
    </row>
    <row r="345">
      <c r="B345" s="287" t="n"/>
      <c r="C345" s="288" t="n"/>
      <c r="D345" s="295" t="n"/>
      <c r="E345" s="295" t="n"/>
      <c r="F345" s="295" t="n"/>
      <c r="G345" s="290" t="n"/>
      <c r="H345" s="295" t="n"/>
      <c r="I345" s="295" t="n"/>
      <c r="J345" s="290" t="n"/>
      <c r="K345" s="347" t="n"/>
      <c r="L345" s="295" t="n"/>
      <c r="M345" s="348" t="n"/>
      <c r="N345" s="295" t="n"/>
      <c r="O345" s="293" t="n"/>
      <c r="P345" s="295" t="n"/>
      <c r="Q345" s="295" t="n"/>
      <c r="R345" s="290" t="n"/>
      <c r="S345" s="295" t="n"/>
      <c r="T345" s="295" t="n"/>
      <c r="U345" s="293" t="n"/>
      <c r="V345" s="295" t="n"/>
      <c r="W345" s="290" t="n"/>
      <c r="X345" s="295" t="n"/>
      <c r="Y345" s="295" t="n"/>
      <c r="Z345" s="295" t="n"/>
      <c r="AA345" s="295" t="n"/>
      <c r="AB345" s="293" t="n"/>
      <c r="AC345" s="295" t="n"/>
      <c r="AD345" s="295" t="n"/>
      <c r="AE345" s="294" t="n"/>
    </row>
    <row r="346">
      <c r="B346" s="279" t="n"/>
      <c r="C346" s="280" t="n"/>
      <c r="D346" s="295" t="n"/>
      <c r="E346" s="295" t="n"/>
      <c r="F346" s="295" t="n"/>
      <c r="G346" s="282" t="n"/>
      <c r="H346" s="295" t="n"/>
      <c r="I346" s="295" t="n"/>
      <c r="J346" s="282" t="n"/>
      <c r="K346" s="345" t="n"/>
      <c r="L346" s="295" t="n"/>
      <c r="M346" s="346" t="n"/>
      <c r="N346" s="295" t="n"/>
      <c r="O346" s="285" t="n"/>
      <c r="P346" s="295" t="n"/>
      <c r="Q346" s="295" t="n"/>
      <c r="R346" s="282" t="n"/>
      <c r="S346" s="295" t="n"/>
      <c r="T346" s="295" t="n"/>
      <c r="U346" s="285" t="n"/>
      <c r="V346" s="295" t="n"/>
      <c r="W346" s="282" t="n"/>
      <c r="X346" s="295" t="n"/>
      <c r="Y346" s="295" t="n"/>
      <c r="Z346" s="295" t="n"/>
      <c r="AA346" s="295" t="n"/>
      <c r="AB346" s="285" t="n"/>
      <c r="AC346" s="295" t="n"/>
      <c r="AD346" s="295" t="n"/>
      <c r="AE346" s="286" t="n"/>
    </row>
    <row r="347">
      <c r="B347" s="287" t="n"/>
      <c r="C347" s="288" t="n"/>
      <c r="D347" s="295" t="n"/>
      <c r="E347" s="295" t="n"/>
      <c r="F347" s="295" t="n"/>
      <c r="G347" s="290" t="n"/>
      <c r="H347" s="295" t="n"/>
      <c r="I347" s="295" t="n"/>
      <c r="J347" s="290" t="n"/>
      <c r="K347" s="347" t="n"/>
      <c r="L347" s="295" t="n"/>
      <c r="M347" s="348" t="n"/>
      <c r="N347" s="295" t="n"/>
      <c r="O347" s="293" t="n"/>
      <c r="P347" s="295" t="n"/>
      <c r="Q347" s="295" t="n"/>
      <c r="R347" s="290" t="n"/>
      <c r="S347" s="295" t="n"/>
      <c r="T347" s="295" t="n"/>
      <c r="U347" s="293" t="n"/>
      <c r="V347" s="295" t="n"/>
      <c r="W347" s="290" t="n"/>
      <c r="X347" s="295" t="n"/>
      <c r="Y347" s="295" t="n"/>
      <c r="Z347" s="295" t="n"/>
      <c r="AA347" s="295" t="n"/>
      <c r="AB347" s="293" t="n"/>
      <c r="AC347" s="295" t="n"/>
      <c r="AD347" s="295" t="n"/>
      <c r="AE347" s="294" t="n"/>
    </row>
    <row r="348">
      <c r="B348" s="279" t="n"/>
      <c r="C348" s="280" t="n"/>
      <c r="D348" s="295" t="n"/>
      <c r="E348" s="295" t="n"/>
      <c r="F348" s="295" t="n"/>
      <c r="G348" s="282" t="n"/>
      <c r="H348" s="295" t="n"/>
      <c r="I348" s="295" t="n"/>
      <c r="J348" s="282" t="n"/>
      <c r="K348" s="345" t="n"/>
      <c r="L348" s="295" t="n"/>
      <c r="M348" s="346" t="n"/>
      <c r="N348" s="295" t="n"/>
      <c r="O348" s="285" t="n"/>
      <c r="P348" s="295" t="n"/>
      <c r="Q348" s="295" t="n"/>
      <c r="R348" s="282" t="n"/>
      <c r="S348" s="295" t="n"/>
      <c r="T348" s="295" t="n"/>
      <c r="U348" s="285" t="n"/>
      <c r="V348" s="295" t="n"/>
      <c r="W348" s="282" t="n"/>
      <c r="X348" s="295" t="n"/>
      <c r="Y348" s="295" t="n"/>
      <c r="Z348" s="295" t="n"/>
      <c r="AA348" s="295" t="n"/>
      <c r="AB348" s="285" t="n"/>
      <c r="AC348" s="295" t="n"/>
      <c r="AD348" s="295" t="n"/>
      <c r="AE348" s="286" t="n"/>
    </row>
    <row r="349">
      <c r="B349" s="287" t="n"/>
      <c r="C349" s="288" t="n"/>
      <c r="D349" s="295" t="n"/>
      <c r="E349" s="295" t="n"/>
      <c r="F349" s="295" t="n"/>
      <c r="G349" s="290" t="n"/>
      <c r="H349" s="295" t="n"/>
      <c r="I349" s="295" t="n"/>
      <c r="J349" s="290" t="n"/>
      <c r="K349" s="347" t="n"/>
      <c r="L349" s="295" t="n"/>
      <c r="M349" s="348" t="n"/>
      <c r="N349" s="295" t="n"/>
      <c r="O349" s="293" t="n"/>
      <c r="P349" s="295" t="n"/>
      <c r="Q349" s="295" t="n"/>
      <c r="R349" s="290" t="n"/>
      <c r="S349" s="295" t="n"/>
      <c r="T349" s="295" t="n"/>
      <c r="U349" s="293" t="n"/>
      <c r="V349" s="295" t="n"/>
      <c r="W349" s="290" t="n"/>
      <c r="X349" s="295" t="n"/>
      <c r="Y349" s="295" t="n"/>
      <c r="Z349" s="295" t="n"/>
      <c r="AA349" s="295" t="n"/>
      <c r="AB349" s="293" t="n"/>
      <c r="AC349" s="295" t="n"/>
      <c r="AD349" s="295" t="n"/>
      <c r="AE349" s="294" t="n"/>
    </row>
    <row r="350">
      <c r="B350" s="279" t="n"/>
      <c r="C350" s="280" t="n"/>
      <c r="D350" s="295" t="n"/>
      <c r="E350" s="295" t="n"/>
      <c r="F350" s="295" t="n"/>
      <c r="G350" s="282" t="n"/>
      <c r="H350" s="295" t="n"/>
      <c r="I350" s="295" t="n"/>
      <c r="J350" s="282" t="n"/>
      <c r="K350" s="345" t="n"/>
      <c r="L350" s="295" t="n"/>
      <c r="M350" s="346" t="n"/>
      <c r="N350" s="295" t="n"/>
      <c r="O350" s="285" t="n"/>
      <c r="P350" s="295" t="n"/>
      <c r="Q350" s="295" t="n"/>
      <c r="R350" s="282" t="n"/>
      <c r="S350" s="295" t="n"/>
      <c r="T350" s="295" t="n"/>
      <c r="U350" s="285" t="n"/>
      <c r="V350" s="295" t="n"/>
      <c r="W350" s="282" t="n"/>
      <c r="X350" s="295" t="n"/>
      <c r="Y350" s="295" t="n"/>
      <c r="Z350" s="295" t="n"/>
      <c r="AA350" s="295" t="n"/>
      <c r="AB350" s="285" t="n"/>
      <c r="AC350" s="295" t="n"/>
      <c r="AD350" s="295" t="n"/>
      <c r="AE350" s="286" t="n"/>
    </row>
    <row r="351">
      <c r="B351" s="287" t="n"/>
      <c r="C351" s="288" t="n"/>
      <c r="D351" s="295" t="n"/>
      <c r="E351" s="295" t="n"/>
      <c r="F351" s="295" t="n"/>
      <c r="G351" s="290" t="n"/>
      <c r="H351" s="295" t="n"/>
      <c r="I351" s="295" t="n"/>
      <c r="J351" s="290" t="n"/>
      <c r="K351" s="347" t="n"/>
      <c r="L351" s="295" t="n"/>
      <c r="M351" s="348" t="n"/>
      <c r="N351" s="295" t="n"/>
      <c r="O351" s="293" t="n"/>
      <c r="P351" s="295" t="n"/>
      <c r="Q351" s="295" t="n"/>
      <c r="R351" s="290" t="n"/>
      <c r="S351" s="295" t="n"/>
      <c r="T351" s="295" t="n"/>
      <c r="U351" s="293" t="n"/>
      <c r="V351" s="295" t="n"/>
      <c r="W351" s="290" t="n"/>
      <c r="X351" s="295" t="n"/>
      <c r="Y351" s="295" t="n"/>
      <c r="Z351" s="295" t="n"/>
      <c r="AA351" s="295" t="n"/>
      <c r="AB351" s="293" t="n"/>
      <c r="AC351" s="295" t="n"/>
      <c r="AD351" s="295" t="n"/>
      <c r="AE351" s="294" t="n"/>
    </row>
    <row r="352">
      <c r="B352" s="279" t="n"/>
      <c r="C352" s="280" t="n"/>
      <c r="D352" s="295" t="n"/>
      <c r="E352" s="295" t="n"/>
      <c r="F352" s="295" t="n"/>
      <c r="G352" s="282" t="n"/>
      <c r="H352" s="295" t="n"/>
      <c r="I352" s="295" t="n"/>
      <c r="J352" s="282" t="n"/>
      <c r="K352" s="345" t="n"/>
      <c r="L352" s="295" t="n"/>
      <c r="M352" s="346" t="n"/>
      <c r="N352" s="295" t="n"/>
      <c r="O352" s="285" t="n"/>
      <c r="P352" s="295" t="n"/>
      <c r="Q352" s="295" t="n"/>
      <c r="R352" s="282" t="n"/>
      <c r="S352" s="295" t="n"/>
      <c r="T352" s="295" t="n"/>
      <c r="U352" s="285" t="n"/>
      <c r="V352" s="295" t="n"/>
      <c r="W352" s="282" t="n"/>
      <c r="X352" s="295" t="n"/>
      <c r="Y352" s="295" t="n"/>
      <c r="Z352" s="295" t="n"/>
      <c r="AA352" s="295" t="n"/>
      <c r="AB352" s="285" t="n"/>
      <c r="AC352" s="295" t="n"/>
      <c r="AD352" s="295" t="n"/>
      <c r="AE352" s="286" t="n"/>
    </row>
    <row r="353">
      <c r="B353" s="287" t="n"/>
      <c r="C353" s="288" t="n"/>
      <c r="D353" s="295" t="n"/>
      <c r="E353" s="295" t="n"/>
      <c r="F353" s="295" t="n"/>
      <c r="G353" s="290" t="n"/>
      <c r="H353" s="295" t="n"/>
      <c r="I353" s="295" t="n"/>
      <c r="J353" s="290" t="n"/>
      <c r="K353" s="347" t="n"/>
      <c r="L353" s="295" t="n"/>
      <c r="M353" s="348" t="n"/>
      <c r="N353" s="295" t="n"/>
      <c r="O353" s="293" t="n"/>
      <c r="P353" s="295" t="n"/>
      <c r="Q353" s="295" t="n"/>
      <c r="R353" s="290" t="n"/>
      <c r="S353" s="295" t="n"/>
      <c r="T353" s="295" t="n"/>
      <c r="U353" s="293" t="n"/>
      <c r="V353" s="295" t="n"/>
      <c r="W353" s="290" t="n"/>
      <c r="X353" s="295" t="n"/>
      <c r="Y353" s="295" t="n"/>
      <c r="Z353" s="295" t="n"/>
      <c r="AA353" s="295" t="n"/>
      <c r="AB353" s="293" t="n"/>
      <c r="AC353" s="295" t="n"/>
      <c r="AD353" s="295" t="n"/>
      <c r="AE353" s="294" t="n"/>
    </row>
    <row r="354">
      <c r="B354" s="279" t="n"/>
      <c r="C354" s="280" t="n"/>
      <c r="D354" s="295" t="n"/>
      <c r="E354" s="295" t="n"/>
      <c r="F354" s="295" t="n"/>
      <c r="G354" s="282" t="n"/>
      <c r="H354" s="295" t="n"/>
      <c r="I354" s="295" t="n"/>
      <c r="J354" s="282" t="n"/>
      <c r="K354" s="345" t="n"/>
      <c r="L354" s="295" t="n"/>
      <c r="M354" s="346" t="n"/>
      <c r="N354" s="295" t="n"/>
      <c r="O354" s="285" t="n"/>
      <c r="P354" s="295" t="n"/>
      <c r="Q354" s="295" t="n"/>
      <c r="R354" s="282" t="n"/>
      <c r="S354" s="295" t="n"/>
      <c r="T354" s="295" t="n"/>
      <c r="U354" s="285" t="n"/>
      <c r="V354" s="295" t="n"/>
      <c r="W354" s="282" t="n"/>
      <c r="X354" s="295" t="n"/>
      <c r="Y354" s="295" t="n"/>
      <c r="Z354" s="295" t="n"/>
      <c r="AA354" s="295" t="n"/>
      <c r="AB354" s="285" t="n"/>
      <c r="AC354" s="295" t="n"/>
      <c r="AD354" s="295" t="n"/>
      <c r="AE354" s="286" t="n"/>
    </row>
    <row r="355">
      <c r="B355" s="287" t="n"/>
      <c r="C355" s="288" t="n"/>
      <c r="D355" s="295" t="n"/>
      <c r="E355" s="295" t="n"/>
      <c r="F355" s="295" t="n"/>
      <c r="G355" s="290" t="n"/>
      <c r="H355" s="295" t="n"/>
      <c r="I355" s="295" t="n"/>
      <c r="J355" s="290" t="n"/>
      <c r="K355" s="347" t="n"/>
      <c r="L355" s="295" t="n"/>
      <c r="M355" s="348" t="n"/>
      <c r="N355" s="295" t="n"/>
      <c r="O355" s="293" t="n"/>
      <c r="P355" s="295" t="n"/>
      <c r="Q355" s="295" t="n"/>
      <c r="R355" s="290" t="n"/>
      <c r="S355" s="295" t="n"/>
      <c r="T355" s="295" t="n"/>
      <c r="U355" s="293" t="n"/>
      <c r="V355" s="295" t="n"/>
      <c r="W355" s="290" t="n"/>
      <c r="X355" s="295" t="n"/>
      <c r="Y355" s="295" t="n"/>
      <c r="Z355" s="295" t="n"/>
      <c r="AA355" s="295" t="n"/>
      <c r="AB355" s="293" t="n"/>
      <c r="AC355" s="295" t="n"/>
      <c r="AD355" s="295" t="n"/>
      <c r="AE355" s="294" t="n"/>
    </row>
    <row r="356">
      <c r="B356" s="279" t="n"/>
      <c r="C356" s="280" t="n"/>
      <c r="D356" s="295" t="n"/>
      <c r="E356" s="295" t="n"/>
      <c r="F356" s="295" t="n"/>
      <c r="G356" s="282" t="n"/>
      <c r="H356" s="295" t="n"/>
      <c r="I356" s="295" t="n"/>
      <c r="J356" s="282" t="n"/>
      <c r="K356" s="345" t="n"/>
      <c r="L356" s="295" t="n"/>
      <c r="M356" s="346" t="n"/>
      <c r="N356" s="295" t="n"/>
      <c r="O356" s="285" t="n"/>
      <c r="P356" s="295" t="n"/>
      <c r="Q356" s="295" t="n"/>
      <c r="R356" s="282" t="n"/>
      <c r="S356" s="295" t="n"/>
      <c r="T356" s="295" t="n"/>
      <c r="U356" s="285" t="n"/>
      <c r="V356" s="295" t="n"/>
      <c r="W356" s="282" t="n"/>
      <c r="X356" s="295" t="n"/>
      <c r="Y356" s="295" t="n"/>
      <c r="Z356" s="295" t="n"/>
      <c r="AA356" s="295" t="n"/>
      <c r="AB356" s="285" t="n"/>
      <c r="AC356" s="295" t="n"/>
      <c r="AD356" s="295" t="n"/>
      <c r="AE356" s="286" t="n"/>
    </row>
    <row r="357">
      <c r="B357" s="287" t="n"/>
      <c r="C357" s="288" t="n"/>
      <c r="D357" s="295" t="n"/>
      <c r="E357" s="295" t="n"/>
      <c r="F357" s="295" t="n"/>
      <c r="G357" s="290" t="n"/>
      <c r="H357" s="295" t="n"/>
      <c r="I357" s="295" t="n"/>
      <c r="J357" s="290" t="n"/>
      <c r="K357" s="347" t="n"/>
      <c r="L357" s="295" t="n"/>
      <c r="M357" s="348" t="n"/>
      <c r="N357" s="295" t="n"/>
      <c r="O357" s="293" t="n"/>
      <c r="P357" s="295" t="n"/>
      <c r="Q357" s="295" t="n"/>
      <c r="R357" s="290" t="n"/>
      <c r="S357" s="295" t="n"/>
      <c r="T357" s="295" t="n"/>
      <c r="U357" s="293" t="n"/>
      <c r="V357" s="295" t="n"/>
      <c r="W357" s="290" t="n"/>
      <c r="X357" s="295" t="n"/>
      <c r="Y357" s="295" t="n"/>
      <c r="Z357" s="295" t="n"/>
      <c r="AA357" s="295" t="n"/>
      <c r="AB357" s="293" t="n"/>
      <c r="AC357" s="295" t="n"/>
      <c r="AD357" s="295" t="n"/>
      <c r="AE357" s="294" t="n"/>
    </row>
    <row r="358">
      <c r="B358" s="279" t="n"/>
      <c r="C358" s="280" t="n"/>
      <c r="D358" s="295" t="n"/>
      <c r="E358" s="295" t="n"/>
      <c r="F358" s="295" t="n"/>
      <c r="G358" s="282" t="n"/>
      <c r="H358" s="295" t="n"/>
      <c r="I358" s="295" t="n"/>
      <c r="J358" s="282" t="n"/>
      <c r="K358" s="345" t="n"/>
      <c r="L358" s="295" t="n"/>
      <c r="M358" s="346" t="n"/>
      <c r="N358" s="295" t="n"/>
      <c r="O358" s="285" t="n"/>
      <c r="P358" s="295" t="n"/>
      <c r="Q358" s="295" t="n"/>
      <c r="R358" s="282" t="n"/>
      <c r="S358" s="295" t="n"/>
      <c r="T358" s="295" t="n"/>
      <c r="U358" s="285" t="n"/>
      <c r="V358" s="295" t="n"/>
      <c r="W358" s="282" t="n"/>
      <c r="X358" s="295" t="n"/>
      <c r="Y358" s="295" t="n"/>
      <c r="Z358" s="295" t="n"/>
      <c r="AA358" s="295" t="n"/>
      <c r="AB358" s="285" t="n"/>
      <c r="AC358" s="295" t="n"/>
      <c r="AD358" s="295" t="n"/>
      <c r="AE358" s="286" t="n"/>
    </row>
    <row r="359">
      <c r="B359" s="287" t="n"/>
      <c r="C359" s="288" t="n"/>
      <c r="D359" s="295" t="n"/>
      <c r="E359" s="295" t="n"/>
      <c r="F359" s="295" t="n"/>
      <c r="G359" s="290" t="n"/>
      <c r="H359" s="295" t="n"/>
      <c r="I359" s="295" t="n"/>
      <c r="J359" s="290" t="n"/>
      <c r="K359" s="347" t="n"/>
      <c r="L359" s="295" t="n"/>
      <c r="M359" s="348" t="n"/>
      <c r="N359" s="295" t="n"/>
      <c r="O359" s="293" t="n"/>
      <c r="P359" s="295" t="n"/>
      <c r="Q359" s="295" t="n"/>
      <c r="R359" s="290" t="n"/>
      <c r="S359" s="295" t="n"/>
      <c r="T359" s="295" t="n"/>
      <c r="U359" s="293" t="n"/>
      <c r="V359" s="295" t="n"/>
      <c r="W359" s="290" t="n"/>
      <c r="X359" s="295" t="n"/>
      <c r="Y359" s="295" t="n"/>
      <c r="Z359" s="295" t="n"/>
      <c r="AA359" s="295" t="n"/>
      <c r="AB359" s="293" t="n"/>
      <c r="AC359" s="295" t="n"/>
      <c r="AD359" s="295" t="n"/>
      <c r="AE359" s="294" t="n"/>
    </row>
    <row r="360">
      <c r="B360" s="279" t="n"/>
      <c r="C360" s="280" t="n"/>
      <c r="D360" s="295" t="n"/>
      <c r="E360" s="295" t="n"/>
      <c r="F360" s="295" t="n"/>
      <c r="G360" s="282" t="n"/>
      <c r="H360" s="295" t="n"/>
      <c r="I360" s="295" t="n"/>
      <c r="J360" s="282" t="n"/>
      <c r="K360" s="345" t="n"/>
      <c r="L360" s="295" t="n"/>
      <c r="M360" s="346" t="n"/>
      <c r="N360" s="295" t="n"/>
      <c r="O360" s="285" t="n"/>
      <c r="P360" s="295" t="n"/>
      <c r="Q360" s="295" t="n"/>
      <c r="R360" s="282" t="n"/>
      <c r="S360" s="295" t="n"/>
      <c r="T360" s="295" t="n"/>
      <c r="U360" s="285" t="n"/>
      <c r="V360" s="295" t="n"/>
      <c r="W360" s="282" t="n"/>
      <c r="X360" s="295" t="n"/>
      <c r="Y360" s="295" t="n"/>
      <c r="Z360" s="295" t="n"/>
      <c r="AA360" s="295" t="n"/>
      <c r="AB360" s="285" t="n"/>
      <c r="AC360" s="295" t="n"/>
      <c r="AD360" s="295" t="n"/>
      <c r="AE360" s="286" t="n"/>
    </row>
    <row r="361">
      <c r="B361" s="287" t="n"/>
      <c r="C361" s="288" t="n"/>
      <c r="D361" s="295" t="n"/>
      <c r="E361" s="295" t="n"/>
      <c r="F361" s="295" t="n"/>
      <c r="G361" s="290" t="n"/>
      <c r="H361" s="295" t="n"/>
      <c r="I361" s="295" t="n"/>
      <c r="J361" s="290" t="n"/>
      <c r="K361" s="347" t="n"/>
      <c r="L361" s="295" t="n"/>
      <c r="M361" s="348" t="n"/>
      <c r="N361" s="295" t="n"/>
      <c r="O361" s="293" t="n"/>
      <c r="P361" s="295" t="n"/>
      <c r="Q361" s="295" t="n"/>
      <c r="R361" s="290" t="n"/>
      <c r="S361" s="295" t="n"/>
      <c r="T361" s="295" t="n"/>
      <c r="U361" s="293" t="n"/>
      <c r="V361" s="295" t="n"/>
      <c r="W361" s="290" t="n"/>
      <c r="X361" s="295" t="n"/>
      <c r="Y361" s="295" t="n"/>
      <c r="Z361" s="295" t="n"/>
      <c r="AA361" s="295" t="n"/>
      <c r="AB361" s="293" t="n"/>
      <c r="AC361" s="295" t="n"/>
      <c r="AD361" s="295" t="n"/>
      <c r="AE361" s="294" t="n"/>
    </row>
    <row r="362">
      <c r="B362" s="279" t="n"/>
      <c r="C362" s="280" t="n"/>
      <c r="D362" s="295" t="n"/>
      <c r="E362" s="295" t="n"/>
      <c r="F362" s="295" t="n"/>
      <c r="G362" s="282" t="n"/>
      <c r="H362" s="295" t="n"/>
      <c r="I362" s="295" t="n"/>
      <c r="J362" s="282" t="n"/>
      <c r="K362" s="345" t="n"/>
      <c r="L362" s="295" t="n"/>
      <c r="M362" s="346" t="n"/>
      <c r="N362" s="295" t="n"/>
      <c r="O362" s="285" t="n"/>
      <c r="P362" s="295" t="n"/>
      <c r="Q362" s="295" t="n"/>
      <c r="R362" s="282" t="n"/>
      <c r="S362" s="295" t="n"/>
      <c r="T362" s="295" t="n"/>
      <c r="U362" s="285" t="n"/>
      <c r="V362" s="295" t="n"/>
      <c r="W362" s="282" t="n"/>
      <c r="X362" s="295" t="n"/>
      <c r="Y362" s="295" t="n"/>
      <c r="Z362" s="295" t="n"/>
      <c r="AA362" s="295" t="n"/>
      <c r="AB362" s="285" t="n"/>
      <c r="AC362" s="295" t="n"/>
      <c r="AD362" s="295" t="n"/>
      <c r="AE362" s="286" t="n"/>
    </row>
    <row r="363">
      <c r="B363" s="287" t="n"/>
      <c r="C363" s="288" t="n"/>
      <c r="D363" s="295" t="n"/>
      <c r="E363" s="295" t="n"/>
      <c r="F363" s="295" t="n"/>
      <c r="G363" s="290" t="n"/>
      <c r="H363" s="295" t="n"/>
      <c r="I363" s="295" t="n"/>
      <c r="J363" s="290" t="n"/>
      <c r="K363" s="347" t="n"/>
      <c r="L363" s="295" t="n"/>
      <c r="M363" s="348" t="n"/>
      <c r="N363" s="295" t="n"/>
      <c r="O363" s="293" t="n"/>
      <c r="P363" s="295" t="n"/>
      <c r="Q363" s="295" t="n"/>
      <c r="R363" s="290" t="n"/>
      <c r="S363" s="295" t="n"/>
      <c r="T363" s="295" t="n"/>
      <c r="U363" s="293" t="n"/>
      <c r="V363" s="295" t="n"/>
      <c r="W363" s="290" t="n"/>
      <c r="X363" s="295" t="n"/>
      <c r="Y363" s="295" t="n"/>
      <c r="Z363" s="295" t="n"/>
      <c r="AA363" s="295" t="n"/>
      <c r="AB363" s="293" t="n"/>
      <c r="AC363" s="295" t="n"/>
      <c r="AD363" s="295" t="n"/>
      <c r="AE363" s="294" t="n"/>
    </row>
    <row r="364">
      <c r="B364" s="279" t="n"/>
      <c r="C364" s="280" t="n"/>
      <c r="D364" s="295" t="n"/>
      <c r="E364" s="295" t="n"/>
      <c r="F364" s="295" t="n"/>
      <c r="G364" s="282" t="n"/>
      <c r="H364" s="295" t="n"/>
      <c r="I364" s="295" t="n"/>
      <c r="J364" s="282" t="n"/>
      <c r="K364" s="345" t="n"/>
      <c r="L364" s="295" t="n"/>
      <c r="M364" s="346" t="n"/>
      <c r="N364" s="295" t="n"/>
      <c r="O364" s="285" t="n"/>
      <c r="P364" s="295" t="n"/>
      <c r="Q364" s="295" t="n"/>
      <c r="R364" s="282" t="n"/>
      <c r="S364" s="295" t="n"/>
      <c r="T364" s="295" t="n"/>
      <c r="U364" s="285" t="n"/>
      <c r="V364" s="295" t="n"/>
      <c r="W364" s="282" t="n"/>
      <c r="X364" s="295" t="n"/>
      <c r="Y364" s="295" t="n"/>
      <c r="Z364" s="295" t="n"/>
      <c r="AA364" s="295" t="n"/>
      <c r="AB364" s="285" t="n"/>
      <c r="AC364" s="295" t="n"/>
      <c r="AD364" s="295" t="n"/>
      <c r="AE364" s="286" t="n"/>
    </row>
    <row r="365">
      <c r="B365" s="287" t="n"/>
      <c r="C365" s="288" t="n"/>
      <c r="D365" s="295" t="n"/>
      <c r="E365" s="295" t="n"/>
      <c r="F365" s="295" t="n"/>
      <c r="G365" s="290" t="n"/>
      <c r="H365" s="295" t="n"/>
      <c r="I365" s="295" t="n"/>
      <c r="J365" s="290" t="n"/>
      <c r="K365" s="347" t="n"/>
      <c r="L365" s="295" t="n"/>
      <c r="M365" s="348" t="n"/>
      <c r="N365" s="295" t="n"/>
      <c r="O365" s="293" t="n"/>
      <c r="P365" s="295" t="n"/>
      <c r="Q365" s="295" t="n"/>
      <c r="R365" s="290" t="n"/>
      <c r="S365" s="295" t="n"/>
      <c r="T365" s="295" t="n"/>
      <c r="U365" s="293" t="n"/>
      <c r="V365" s="295" t="n"/>
      <c r="W365" s="290" t="n"/>
      <c r="X365" s="295" t="n"/>
      <c r="Y365" s="295" t="n"/>
      <c r="Z365" s="295" t="n"/>
      <c r="AA365" s="295" t="n"/>
      <c r="AB365" s="293" t="n"/>
      <c r="AC365" s="295" t="n"/>
      <c r="AD365" s="295" t="n"/>
      <c r="AE365" s="294" t="n"/>
    </row>
    <row r="366">
      <c r="B366" s="279" t="n"/>
      <c r="C366" s="280" t="n"/>
      <c r="D366" s="295" t="n"/>
      <c r="E366" s="295" t="n"/>
      <c r="F366" s="295" t="n"/>
      <c r="G366" s="282" t="n"/>
      <c r="H366" s="295" t="n"/>
      <c r="I366" s="295" t="n"/>
      <c r="J366" s="282" t="n"/>
      <c r="K366" s="345" t="n"/>
      <c r="L366" s="295" t="n"/>
      <c r="M366" s="346" t="n"/>
      <c r="N366" s="295" t="n"/>
      <c r="O366" s="285" t="n"/>
      <c r="P366" s="295" t="n"/>
      <c r="Q366" s="295" t="n"/>
      <c r="R366" s="282" t="n"/>
      <c r="S366" s="295" t="n"/>
      <c r="T366" s="295" t="n"/>
      <c r="U366" s="285" t="n"/>
      <c r="V366" s="295" t="n"/>
      <c r="W366" s="282" t="n"/>
      <c r="X366" s="295" t="n"/>
      <c r="Y366" s="295" t="n"/>
      <c r="Z366" s="295" t="n"/>
      <c r="AA366" s="295" t="n"/>
      <c r="AB366" s="285" t="n"/>
      <c r="AC366" s="295" t="n"/>
      <c r="AD366" s="295" t="n"/>
      <c r="AE366" s="286" t="n"/>
    </row>
    <row r="367">
      <c r="B367" s="287" t="n"/>
      <c r="C367" s="288" t="n"/>
      <c r="D367" s="295" t="n"/>
      <c r="E367" s="295" t="n"/>
      <c r="F367" s="295" t="n"/>
      <c r="G367" s="290" t="n"/>
      <c r="H367" s="295" t="n"/>
      <c r="I367" s="295" t="n"/>
      <c r="J367" s="290" t="n"/>
      <c r="K367" s="347" t="n"/>
      <c r="L367" s="295" t="n"/>
      <c r="M367" s="348" t="n"/>
      <c r="N367" s="295" t="n"/>
      <c r="O367" s="293" t="n"/>
      <c r="P367" s="295" t="n"/>
      <c r="Q367" s="295" t="n"/>
      <c r="R367" s="290" t="n"/>
      <c r="S367" s="295" t="n"/>
      <c r="T367" s="295" t="n"/>
      <c r="U367" s="293" t="n"/>
      <c r="V367" s="295" t="n"/>
      <c r="W367" s="290" t="n"/>
      <c r="X367" s="295" t="n"/>
      <c r="Y367" s="295" t="n"/>
      <c r="Z367" s="295" t="n"/>
      <c r="AA367" s="295" t="n"/>
      <c r="AB367" s="293" t="n"/>
      <c r="AC367" s="295" t="n"/>
      <c r="AD367" s="295" t="n"/>
      <c r="AE367" s="294" t="n"/>
    </row>
    <row r="368">
      <c r="B368" s="279" t="n"/>
      <c r="C368" s="280" t="n"/>
      <c r="D368" s="295" t="n"/>
      <c r="E368" s="295" t="n"/>
      <c r="F368" s="295" t="n"/>
      <c r="G368" s="282" t="n"/>
      <c r="H368" s="295" t="n"/>
      <c r="I368" s="295" t="n"/>
      <c r="J368" s="282" t="n"/>
      <c r="K368" s="345" t="n"/>
      <c r="L368" s="295" t="n"/>
      <c r="M368" s="346" t="n"/>
      <c r="N368" s="295" t="n"/>
      <c r="O368" s="285" t="n"/>
      <c r="P368" s="295" t="n"/>
      <c r="Q368" s="295" t="n"/>
      <c r="R368" s="282" t="n"/>
      <c r="S368" s="295" t="n"/>
      <c r="T368" s="295" t="n"/>
      <c r="U368" s="285" t="n"/>
      <c r="V368" s="295" t="n"/>
      <c r="W368" s="282" t="n"/>
      <c r="X368" s="295" t="n"/>
      <c r="Y368" s="295" t="n"/>
      <c r="Z368" s="295" t="n"/>
      <c r="AA368" s="295" t="n"/>
      <c r="AB368" s="285" t="n"/>
      <c r="AC368" s="295" t="n"/>
      <c r="AD368" s="295" t="n"/>
      <c r="AE368" s="286" t="n"/>
    </row>
    <row r="369">
      <c r="B369" s="287" t="n"/>
      <c r="C369" s="288" t="n"/>
      <c r="D369" s="295" t="n"/>
      <c r="E369" s="295" t="n"/>
      <c r="F369" s="295" t="n"/>
      <c r="G369" s="290" t="n"/>
      <c r="H369" s="295" t="n"/>
      <c r="I369" s="295" t="n"/>
      <c r="J369" s="290" t="n"/>
      <c r="K369" s="347" t="n"/>
      <c r="L369" s="295" t="n"/>
      <c r="M369" s="348" t="n"/>
      <c r="N369" s="295" t="n"/>
      <c r="O369" s="293" t="n"/>
      <c r="P369" s="295" t="n"/>
      <c r="Q369" s="295" t="n"/>
      <c r="R369" s="290" t="n"/>
      <c r="S369" s="295" t="n"/>
      <c r="T369" s="295" t="n"/>
      <c r="U369" s="293" t="n"/>
      <c r="V369" s="295" t="n"/>
      <c r="W369" s="290" t="n"/>
      <c r="X369" s="295" t="n"/>
      <c r="Y369" s="295" t="n"/>
      <c r="Z369" s="295" t="n"/>
      <c r="AA369" s="295" t="n"/>
      <c r="AB369" s="293" t="n"/>
      <c r="AC369" s="295" t="n"/>
      <c r="AD369" s="295" t="n"/>
      <c r="AE369" s="294" t="n"/>
    </row>
    <row r="370">
      <c r="B370" s="279" t="n"/>
      <c r="C370" s="280" t="n"/>
      <c r="D370" s="295" t="n"/>
      <c r="E370" s="295" t="n"/>
      <c r="F370" s="295" t="n"/>
      <c r="G370" s="282" t="n"/>
      <c r="H370" s="295" t="n"/>
      <c r="I370" s="295" t="n"/>
      <c r="J370" s="282" t="n"/>
      <c r="K370" s="345" t="n"/>
      <c r="L370" s="295" t="n"/>
      <c r="M370" s="346" t="n"/>
      <c r="N370" s="295" t="n"/>
      <c r="O370" s="285" t="n"/>
      <c r="P370" s="295" t="n"/>
      <c r="Q370" s="295" t="n"/>
      <c r="R370" s="282" t="n"/>
      <c r="S370" s="295" t="n"/>
      <c r="T370" s="295" t="n"/>
      <c r="U370" s="285" t="n"/>
      <c r="V370" s="295" t="n"/>
      <c r="W370" s="282" t="n"/>
      <c r="X370" s="295" t="n"/>
      <c r="Y370" s="295" t="n"/>
      <c r="Z370" s="295" t="n"/>
      <c r="AA370" s="295" t="n"/>
      <c r="AB370" s="285" t="n"/>
      <c r="AC370" s="295" t="n"/>
      <c r="AD370" s="295" t="n"/>
      <c r="AE370" s="286" t="n"/>
    </row>
    <row r="371">
      <c r="B371" s="287" t="n"/>
      <c r="C371" s="288" t="n"/>
      <c r="D371" s="295" t="n"/>
      <c r="E371" s="295" t="n"/>
      <c r="F371" s="295" t="n"/>
      <c r="G371" s="290" t="n"/>
      <c r="H371" s="295" t="n"/>
      <c r="I371" s="295" t="n"/>
      <c r="J371" s="290" t="n"/>
      <c r="K371" s="347" t="n"/>
      <c r="L371" s="295" t="n"/>
      <c r="M371" s="348" t="n"/>
      <c r="N371" s="295" t="n"/>
      <c r="O371" s="293" t="n"/>
      <c r="P371" s="295" t="n"/>
      <c r="Q371" s="295" t="n"/>
      <c r="R371" s="290" t="n"/>
      <c r="S371" s="295" t="n"/>
      <c r="T371" s="295" t="n"/>
      <c r="U371" s="293" t="n"/>
      <c r="V371" s="295" t="n"/>
      <c r="W371" s="290" t="n"/>
      <c r="X371" s="295" t="n"/>
      <c r="Y371" s="295" t="n"/>
      <c r="Z371" s="295" t="n"/>
      <c r="AA371" s="295" t="n"/>
      <c r="AB371" s="293" t="n"/>
      <c r="AC371" s="295" t="n"/>
      <c r="AD371" s="295" t="n"/>
      <c r="AE371" s="294" t="n"/>
    </row>
    <row r="372">
      <c r="B372" s="279" t="n"/>
      <c r="C372" s="280" t="n"/>
      <c r="D372" s="295" t="n"/>
      <c r="E372" s="295" t="n"/>
      <c r="F372" s="295" t="n"/>
      <c r="G372" s="282" t="n"/>
      <c r="H372" s="295" t="n"/>
      <c r="I372" s="295" t="n"/>
      <c r="J372" s="282" t="n"/>
      <c r="K372" s="345" t="n"/>
      <c r="L372" s="295" t="n"/>
      <c r="M372" s="346" t="n"/>
      <c r="N372" s="295" t="n"/>
      <c r="O372" s="285" t="n"/>
      <c r="P372" s="295" t="n"/>
      <c r="Q372" s="295" t="n"/>
      <c r="R372" s="282" t="n"/>
      <c r="S372" s="295" t="n"/>
      <c r="T372" s="295" t="n"/>
      <c r="U372" s="285" t="n"/>
      <c r="V372" s="295" t="n"/>
      <c r="W372" s="282" t="n"/>
      <c r="X372" s="295" t="n"/>
      <c r="Y372" s="295" t="n"/>
      <c r="Z372" s="295" t="n"/>
      <c r="AA372" s="295" t="n"/>
      <c r="AB372" s="285" t="n"/>
      <c r="AC372" s="295" t="n"/>
      <c r="AD372" s="295" t="n"/>
      <c r="AE372" s="286" t="n"/>
    </row>
    <row r="373">
      <c r="B373" s="287" t="n"/>
      <c r="C373" s="288" t="n"/>
      <c r="D373" s="295" t="n"/>
      <c r="E373" s="295" t="n"/>
      <c r="F373" s="295" t="n"/>
      <c r="G373" s="290" t="n"/>
      <c r="H373" s="295" t="n"/>
      <c r="I373" s="295" t="n"/>
      <c r="J373" s="290" t="n"/>
      <c r="K373" s="347" t="n"/>
      <c r="L373" s="295" t="n"/>
      <c r="M373" s="348" t="n"/>
      <c r="N373" s="295" t="n"/>
      <c r="O373" s="293" t="n"/>
      <c r="P373" s="295" t="n"/>
      <c r="Q373" s="295" t="n"/>
      <c r="R373" s="290" t="n"/>
      <c r="S373" s="295" t="n"/>
      <c r="T373" s="295" t="n"/>
      <c r="U373" s="293" t="n"/>
      <c r="V373" s="295" t="n"/>
      <c r="W373" s="290" t="n"/>
      <c r="X373" s="295" t="n"/>
      <c r="Y373" s="295" t="n"/>
      <c r="Z373" s="295" t="n"/>
      <c r="AA373" s="295" t="n"/>
      <c r="AB373" s="293" t="n"/>
      <c r="AC373" s="295" t="n"/>
      <c r="AD373" s="295" t="n"/>
      <c r="AE373" s="294" t="n"/>
    </row>
    <row r="374">
      <c r="B374" s="279" t="n"/>
      <c r="C374" s="280" t="n"/>
      <c r="D374" s="295" t="n"/>
      <c r="E374" s="295" t="n"/>
      <c r="F374" s="295" t="n"/>
      <c r="G374" s="282" t="n"/>
      <c r="H374" s="295" t="n"/>
      <c r="I374" s="295" t="n"/>
      <c r="J374" s="282" t="n"/>
      <c r="K374" s="345" t="n"/>
      <c r="L374" s="295" t="n"/>
      <c r="M374" s="346" t="n"/>
      <c r="N374" s="295" t="n"/>
      <c r="O374" s="285" t="n"/>
      <c r="P374" s="295" t="n"/>
      <c r="Q374" s="295" t="n"/>
      <c r="R374" s="282" t="n"/>
      <c r="S374" s="295" t="n"/>
      <c r="T374" s="295" t="n"/>
      <c r="U374" s="285" t="n"/>
      <c r="V374" s="295" t="n"/>
      <c r="W374" s="282" t="n"/>
      <c r="X374" s="295" t="n"/>
      <c r="Y374" s="295" t="n"/>
      <c r="Z374" s="295" t="n"/>
      <c r="AA374" s="295" t="n"/>
      <c r="AB374" s="285" t="n"/>
      <c r="AC374" s="295" t="n"/>
      <c r="AD374" s="295" t="n"/>
      <c r="AE374" s="286" t="n"/>
    </row>
    <row r="375">
      <c r="B375" s="287" t="n"/>
      <c r="C375" s="288" t="n"/>
      <c r="D375" s="295" t="n"/>
      <c r="E375" s="295" t="n"/>
      <c r="F375" s="295" t="n"/>
      <c r="G375" s="290" t="n"/>
      <c r="H375" s="295" t="n"/>
      <c r="I375" s="295" t="n"/>
      <c r="J375" s="290" t="n"/>
      <c r="K375" s="347" t="n"/>
      <c r="L375" s="295" t="n"/>
      <c r="M375" s="348" t="n"/>
      <c r="N375" s="295" t="n"/>
      <c r="O375" s="293" t="n"/>
      <c r="P375" s="295" t="n"/>
      <c r="Q375" s="295" t="n"/>
      <c r="R375" s="290" t="n"/>
      <c r="S375" s="295" t="n"/>
      <c r="T375" s="295" t="n"/>
      <c r="U375" s="293" t="n"/>
      <c r="V375" s="295" t="n"/>
      <c r="W375" s="290" t="n"/>
      <c r="X375" s="295" t="n"/>
      <c r="Y375" s="295" t="n"/>
      <c r="Z375" s="295" t="n"/>
      <c r="AA375" s="295" t="n"/>
      <c r="AB375" s="293" t="n"/>
      <c r="AC375" s="295" t="n"/>
      <c r="AD375" s="295" t="n"/>
      <c r="AE375" s="294" t="n"/>
    </row>
    <row r="376">
      <c r="B376" s="279" t="n"/>
      <c r="C376" s="280" t="n"/>
      <c r="D376" s="295" t="n"/>
      <c r="E376" s="295" t="n"/>
      <c r="F376" s="295" t="n"/>
      <c r="G376" s="282" t="n"/>
      <c r="H376" s="295" t="n"/>
      <c r="I376" s="295" t="n"/>
      <c r="J376" s="282" t="n"/>
      <c r="K376" s="345" t="n"/>
      <c r="L376" s="295" t="n"/>
      <c r="M376" s="346" t="n"/>
      <c r="N376" s="295" t="n"/>
      <c r="O376" s="285" t="n"/>
      <c r="P376" s="295" t="n"/>
      <c r="Q376" s="295" t="n"/>
      <c r="R376" s="282" t="n"/>
      <c r="S376" s="295" t="n"/>
      <c r="T376" s="295" t="n"/>
      <c r="U376" s="285" t="n"/>
      <c r="V376" s="295" t="n"/>
      <c r="W376" s="282" t="n"/>
      <c r="X376" s="295" t="n"/>
      <c r="Y376" s="295" t="n"/>
      <c r="Z376" s="295" t="n"/>
      <c r="AA376" s="295" t="n"/>
      <c r="AB376" s="285" t="n"/>
      <c r="AC376" s="295" t="n"/>
      <c r="AD376" s="295" t="n"/>
      <c r="AE376" s="286" t="n"/>
    </row>
    <row r="377">
      <c r="B377" s="287" t="n"/>
      <c r="C377" s="288" t="n"/>
      <c r="D377" s="295" t="n"/>
      <c r="E377" s="295" t="n"/>
      <c r="F377" s="295" t="n"/>
      <c r="G377" s="290" t="n"/>
      <c r="H377" s="295" t="n"/>
      <c r="I377" s="295" t="n"/>
      <c r="J377" s="290" t="n"/>
      <c r="K377" s="347" t="n"/>
      <c r="L377" s="295" t="n"/>
      <c r="M377" s="348" t="n"/>
      <c r="N377" s="295" t="n"/>
      <c r="O377" s="293" t="n"/>
      <c r="P377" s="295" t="n"/>
      <c r="Q377" s="295" t="n"/>
      <c r="R377" s="290" t="n"/>
      <c r="S377" s="295" t="n"/>
      <c r="T377" s="295" t="n"/>
      <c r="U377" s="293" t="n"/>
      <c r="V377" s="295" t="n"/>
      <c r="W377" s="290" t="n"/>
      <c r="X377" s="295" t="n"/>
      <c r="Y377" s="295" t="n"/>
      <c r="Z377" s="295" t="n"/>
      <c r="AA377" s="295" t="n"/>
      <c r="AB377" s="293" t="n"/>
      <c r="AC377" s="295" t="n"/>
      <c r="AD377" s="295" t="n"/>
      <c r="AE377" s="294" t="n"/>
    </row>
    <row r="378">
      <c r="B378" s="279" t="n"/>
      <c r="C378" s="280" t="n"/>
      <c r="D378" s="295" t="n"/>
      <c r="E378" s="295" t="n"/>
      <c r="F378" s="295" t="n"/>
      <c r="G378" s="282" t="n"/>
      <c r="H378" s="295" t="n"/>
      <c r="I378" s="295" t="n"/>
      <c r="J378" s="282" t="n"/>
      <c r="K378" s="345" t="n"/>
      <c r="L378" s="295" t="n"/>
      <c r="M378" s="346" t="n"/>
      <c r="N378" s="295" t="n"/>
      <c r="O378" s="285" t="n"/>
      <c r="P378" s="295" t="n"/>
      <c r="Q378" s="295" t="n"/>
      <c r="R378" s="282" t="n"/>
      <c r="S378" s="295" t="n"/>
      <c r="T378" s="295" t="n"/>
      <c r="U378" s="285" t="n"/>
      <c r="V378" s="295" t="n"/>
      <c r="W378" s="282" t="n"/>
      <c r="X378" s="295" t="n"/>
      <c r="Y378" s="295" t="n"/>
      <c r="Z378" s="295" t="n"/>
      <c r="AA378" s="295" t="n"/>
      <c r="AB378" s="285" t="n"/>
      <c r="AC378" s="295" t="n"/>
      <c r="AD378" s="295" t="n"/>
      <c r="AE378" s="286" t="n"/>
    </row>
    <row r="379">
      <c r="B379" s="287" t="n"/>
      <c r="C379" s="288" t="n"/>
      <c r="D379" s="295" t="n"/>
      <c r="E379" s="295" t="n"/>
      <c r="F379" s="295" t="n"/>
      <c r="G379" s="290" t="n"/>
      <c r="H379" s="295" t="n"/>
      <c r="I379" s="295" t="n"/>
      <c r="J379" s="290" t="n"/>
      <c r="K379" s="347" t="n"/>
      <c r="L379" s="295" t="n"/>
      <c r="M379" s="348" t="n"/>
      <c r="N379" s="295" t="n"/>
      <c r="O379" s="293" t="n"/>
      <c r="P379" s="295" t="n"/>
      <c r="Q379" s="295" t="n"/>
      <c r="R379" s="290" t="n"/>
      <c r="S379" s="295" t="n"/>
      <c r="T379" s="295" t="n"/>
      <c r="U379" s="293" t="n"/>
      <c r="V379" s="295" t="n"/>
      <c r="W379" s="290" t="n"/>
      <c r="X379" s="295" t="n"/>
      <c r="Y379" s="295" t="n"/>
      <c r="Z379" s="295" t="n"/>
      <c r="AA379" s="295" t="n"/>
      <c r="AB379" s="293" t="n"/>
      <c r="AC379" s="295" t="n"/>
      <c r="AD379" s="295" t="n"/>
      <c r="AE379" s="294" t="n"/>
    </row>
    <row r="380">
      <c r="B380" s="279" t="n"/>
      <c r="C380" s="280" t="n"/>
      <c r="D380" s="295" t="n"/>
      <c r="E380" s="295" t="n"/>
      <c r="F380" s="295" t="n"/>
      <c r="G380" s="282" t="n"/>
      <c r="H380" s="295" t="n"/>
      <c r="I380" s="295" t="n"/>
      <c r="J380" s="282" t="n"/>
      <c r="K380" s="345" t="n"/>
      <c r="L380" s="295" t="n"/>
      <c r="M380" s="346" t="n"/>
      <c r="N380" s="295" t="n"/>
      <c r="O380" s="285" t="n"/>
      <c r="P380" s="295" t="n"/>
      <c r="Q380" s="295" t="n"/>
      <c r="R380" s="282" t="n"/>
      <c r="S380" s="295" t="n"/>
      <c r="T380" s="295" t="n"/>
      <c r="U380" s="285" t="n"/>
      <c r="V380" s="295" t="n"/>
      <c r="W380" s="282" t="n"/>
      <c r="X380" s="295" t="n"/>
      <c r="Y380" s="295" t="n"/>
      <c r="Z380" s="295" t="n"/>
      <c r="AA380" s="295" t="n"/>
      <c r="AB380" s="285" t="n"/>
      <c r="AC380" s="295" t="n"/>
      <c r="AD380" s="295" t="n"/>
      <c r="AE380" s="286" t="n"/>
    </row>
    <row r="381">
      <c r="B381" s="287" t="n"/>
      <c r="C381" s="288" t="n"/>
      <c r="D381" s="295" t="n"/>
      <c r="E381" s="295" t="n"/>
      <c r="F381" s="295" t="n"/>
      <c r="G381" s="290" t="n"/>
      <c r="H381" s="295" t="n"/>
      <c r="I381" s="295" t="n"/>
      <c r="J381" s="290" t="n"/>
      <c r="K381" s="347" t="n"/>
      <c r="L381" s="295" t="n"/>
      <c r="M381" s="348" t="n"/>
      <c r="N381" s="295" t="n"/>
      <c r="O381" s="293" t="n"/>
      <c r="P381" s="295" t="n"/>
      <c r="Q381" s="295" t="n"/>
      <c r="R381" s="290" t="n"/>
      <c r="S381" s="295" t="n"/>
      <c r="T381" s="295" t="n"/>
      <c r="U381" s="293" t="n"/>
      <c r="V381" s="295" t="n"/>
      <c r="W381" s="290" t="n"/>
      <c r="X381" s="295" t="n"/>
      <c r="Y381" s="295" t="n"/>
      <c r="Z381" s="295" t="n"/>
      <c r="AA381" s="295" t="n"/>
      <c r="AB381" s="293" t="n"/>
      <c r="AC381" s="295" t="n"/>
      <c r="AD381" s="295" t="n"/>
      <c r="AE381" s="294" t="n"/>
    </row>
    <row r="382">
      <c r="B382" s="279" t="n"/>
      <c r="C382" s="280" t="n"/>
      <c r="D382" s="295" t="n"/>
      <c r="E382" s="295" t="n"/>
      <c r="F382" s="295" t="n"/>
      <c r="G382" s="282" t="n"/>
      <c r="H382" s="295" t="n"/>
      <c r="I382" s="295" t="n"/>
      <c r="J382" s="282" t="n"/>
      <c r="K382" s="345" t="n"/>
      <c r="L382" s="295" t="n"/>
      <c r="M382" s="346" t="n"/>
      <c r="N382" s="295" t="n"/>
      <c r="O382" s="285" t="n"/>
      <c r="P382" s="295" t="n"/>
      <c r="Q382" s="295" t="n"/>
      <c r="R382" s="282" t="n"/>
      <c r="S382" s="295" t="n"/>
      <c r="T382" s="295" t="n"/>
      <c r="U382" s="285" t="n"/>
      <c r="V382" s="295" t="n"/>
      <c r="W382" s="282" t="n"/>
      <c r="X382" s="295" t="n"/>
      <c r="Y382" s="295" t="n"/>
      <c r="Z382" s="295" t="n"/>
      <c r="AA382" s="295" t="n"/>
      <c r="AB382" s="285" t="n"/>
      <c r="AC382" s="295" t="n"/>
      <c r="AD382" s="295" t="n"/>
      <c r="AE382" s="286" t="n"/>
    </row>
    <row r="383">
      <c r="B383" s="287" t="n"/>
      <c r="C383" s="288" t="n"/>
      <c r="D383" s="295" t="n"/>
      <c r="E383" s="295" t="n"/>
      <c r="F383" s="295" t="n"/>
      <c r="G383" s="290" t="n"/>
      <c r="H383" s="295" t="n"/>
      <c r="I383" s="295" t="n"/>
      <c r="J383" s="290" t="n"/>
      <c r="K383" s="347" t="n"/>
      <c r="L383" s="295" t="n"/>
      <c r="M383" s="348" t="n"/>
      <c r="N383" s="295" t="n"/>
      <c r="O383" s="293" t="n"/>
      <c r="P383" s="295" t="n"/>
      <c r="Q383" s="295" t="n"/>
      <c r="R383" s="290" t="n"/>
      <c r="S383" s="295" t="n"/>
      <c r="T383" s="295" t="n"/>
      <c r="U383" s="293" t="n"/>
      <c r="V383" s="295" t="n"/>
      <c r="W383" s="290" t="n"/>
      <c r="X383" s="295" t="n"/>
      <c r="Y383" s="295" t="n"/>
      <c r="Z383" s="295" t="n"/>
      <c r="AA383" s="295" t="n"/>
      <c r="AB383" s="293" t="n"/>
      <c r="AC383" s="295" t="n"/>
      <c r="AD383" s="295" t="n"/>
      <c r="AE383" s="294" t="n"/>
    </row>
    <row r="384">
      <c r="B384" s="279" t="n"/>
      <c r="C384" s="280" t="n"/>
      <c r="D384" s="295" t="n"/>
      <c r="E384" s="295" t="n"/>
      <c r="F384" s="295" t="n"/>
      <c r="G384" s="282" t="n"/>
      <c r="H384" s="295" t="n"/>
      <c r="I384" s="295" t="n"/>
      <c r="J384" s="282" t="n"/>
      <c r="K384" s="345" t="n"/>
      <c r="L384" s="295" t="n"/>
      <c r="M384" s="346" t="n"/>
      <c r="N384" s="295" t="n"/>
      <c r="O384" s="285" t="n"/>
      <c r="P384" s="295" t="n"/>
      <c r="Q384" s="295" t="n"/>
      <c r="R384" s="282" t="n"/>
      <c r="S384" s="295" t="n"/>
      <c r="T384" s="295" t="n"/>
      <c r="U384" s="285" t="n"/>
      <c r="V384" s="295" t="n"/>
      <c r="W384" s="282" t="n"/>
      <c r="X384" s="295" t="n"/>
      <c r="Y384" s="295" t="n"/>
      <c r="Z384" s="295" t="n"/>
      <c r="AA384" s="295" t="n"/>
      <c r="AB384" s="285" t="n"/>
      <c r="AC384" s="295" t="n"/>
      <c r="AD384" s="295" t="n"/>
      <c r="AE384" s="286" t="n"/>
    </row>
    <row r="385">
      <c r="B385" s="287" t="n"/>
      <c r="C385" s="288" t="n"/>
      <c r="D385" s="295" t="n"/>
      <c r="E385" s="295" t="n"/>
      <c r="F385" s="295" t="n"/>
      <c r="G385" s="290" t="n"/>
      <c r="H385" s="295" t="n"/>
      <c r="I385" s="295" t="n"/>
      <c r="J385" s="290" t="n"/>
      <c r="K385" s="347" t="n"/>
      <c r="L385" s="295" t="n"/>
      <c r="M385" s="348" t="n"/>
      <c r="N385" s="295" t="n"/>
      <c r="O385" s="293" t="n"/>
      <c r="P385" s="295" t="n"/>
      <c r="Q385" s="295" t="n"/>
      <c r="R385" s="290" t="n"/>
      <c r="S385" s="295" t="n"/>
      <c r="T385" s="295" t="n"/>
      <c r="U385" s="293" t="n"/>
      <c r="V385" s="295" t="n"/>
      <c r="W385" s="290" t="n"/>
      <c r="X385" s="295" t="n"/>
      <c r="Y385" s="295" t="n"/>
      <c r="Z385" s="295" t="n"/>
      <c r="AA385" s="295" t="n"/>
      <c r="AB385" s="293" t="n"/>
      <c r="AC385" s="295" t="n"/>
      <c r="AD385" s="295" t="n"/>
      <c r="AE385" s="294" t="n"/>
    </row>
    <row r="386">
      <c r="B386" s="279" t="n"/>
      <c r="C386" s="280" t="n"/>
      <c r="D386" s="295" t="n"/>
      <c r="E386" s="295" t="n"/>
      <c r="F386" s="295" t="n"/>
      <c r="G386" s="282" t="n"/>
      <c r="H386" s="295" t="n"/>
      <c r="I386" s="295" t="n"/>
      <c r="J386" s="282" t="n"/>
      <c r="K386" s="345" t="n"/>
      <c r="L386" s="295" t="n"/>
      <c r="M386" s="346" t="n"/>
      <c r="N386" s="295" t="n"/>
      <c r="O386" s="285" t="n"/>
      <c r="P386" s="295" t="n"/>
      <c r="Q386" s="295" t="n"/>
      <c r="R386" s="282" t="n"/>
      <c r="S386" s="295" t="n"/>
      <c r="T386" s="295" t="n"/>
      <c r="U386" s="285" t="n"/>
      <c r="V386" s="295" t="n"/>
      <c r="W386" s="282" t="n"/>
      <c r="X386" s="295" t="n"/>
      <c r="Y386" s="295" t="n"/>
      <c r="Z386" s="295" t="n"/>
      <c r="AA386" s="295" t="n"/>
      <c r="AB386" s="285" t="n"/>
      <c r="AC386" s="295" t="n"/>
      <c r="AD386" s="295" t="n"/>
      <c r="AE386" s="286" t="n"/>
    </row>
    <row r="387">
      <c r="B387" s="287" t="n"/>
      <c r="C387" s="288" t="n"/>
      <c r="D387" s="295" t="n"/>
      <c r="E387" s="295" t="n"/>
      <c r="F387" s="295" t="n"/>
      <c r="G387" s="290" t="n"/>
      <c r="H387" s="295" t="n"/>
      <c r="I387" s="295" t="n"/>
      <c r="J387" s="290" t="n"/>
      <c r="K387" s="347" t="n"/>
      <c r="L387" s="295" t="n"/>
      <c r="M387" s="348" t="n"/>
      <c r="N387" s="295" t="n"/>
      <c r="O387" s="293" t="n"/>
      <c r="P387" s="295" t="n"/>
      <c r="Q387" s="295" t="n"/>
      <c r="R387" s="290" t="n"/>
      <c r="S387" s="295" t="n"/>
      <c r="T387" s="295" t="n"/>
      <c r="U387" s="293" t="n"/>
      <c r="V387" s="295" t="n"/>
      <c r="W387" s="290" t="n"/>
      <c r="X387" s="295" t="n"/>
      <c r="Y387" s="295" t="n"/>
      <c r="Z387" s="295" t="n"/>
      <c r="AA387" s="295" t="n"/>
      <c r="AB387" s="293" t="n"/>
      <c r="AC387" s="295" t="n"/>
      <c r="AD387" s="295" t="n"/>
      <c r="AE387" s="294" t="n"/>
    </row>
    <row r="388">
      <c r="B388" s="279" t="n"/>
      <c r="C388" s="280" t="n"/>
      <c r="D388" s="295" t="n"/>
      <c r="E388" s="295" t="n"/>
      <c r="F388" s="295" t="n"/>
      <c r="G388" s="282" t="n"/>
      <c r="H388" s="295" t="n"/>
      <c r="I388" s="295" t="n"/>
      <c r="J388" s="282" t="n"/>
      <c r="K388" s="345" t="n"/>
      <c r="L388" s="295" t="n"/>
      <c r="M388" s="346" t="n"/>
      <c r="N388" s="295" t="n"/>
      <c r="O388" s="285" t="n"/>
      <c r="P388" s="295" t="n"/>
      <c r="Q388" s="295" t="n"/>
      <c r="R388" s="282" t="n"/>
      <c r="S388" s="295" t="n"/>
      <c r="T388" s="295" t="n"/>
      <c r="U388" s="285" t="n"/>
      <c r="V388" s="295" t="n"/>
      <c r="W388" s="282" t="n"/>
      <c r="X388" s="295" t="n"/>
      <c r="Y388" s="295" t="n"/>
      <c r="Z388" s="295" t="n"/>
      <c r="AA388" s="295" t="n"/>
      <c r="AB388" s="285" t="n"/>
      <c r="AC388" s="295" t="n"/>
      <c r="AD388" s="295" t="n"/>
      <c r="AE388" s="286" t="n"/>
    </row>
    <row r="389">
      <c r="B389" s="287" t="n"/>
      <c r="C389" s="288" t="n"/>
      <c r="D389" s="295" t="n"/>
      <c r="E389" s="295" t="n"/>
      <c r="F389" s="295" t="n"/>
      <c r="G389" s="290" t="n"/>
      <c r="H389" s="295" t="n"/>
      <c r="I389" s="295" t="n"/>
      <c r="J389" s="290" t="n"/>
      <c r="K389" s="347" t="n"/>
      <c r="L389" s="295" t="n"/>
      <c r="M389" s="348" t="n"/>
      <c r="N389" s="295" t="n"/>
      <c r="O389" s="293" t="n"/>
      <c r="P389" s="295" t="n"/>
      <c r="Q389" s="295" t="n"/>
      <c r="R389" s="290" t="n"/>
      <c r="S389" s="295" t="n"/>
      <c r="T389" s="295" t="n"/>
      <c r="U389" s="293" t="n"/>
      <c r="V389" s="295" t="n"/>
      <c r="W389" s="290" t="n"/>
      <c r="X389" s="295" t="n"/>
      <c r="Y389" s="295" t="n"/>
      <c r="Z389" s="295" t="n"/>
      <c r="AA389" s="295" t="n"/>
      <c r="AB389" s="293" t="n"/>
      <c r="AC389" s="295" t="n"/>
      <c r="AD389" s="295" t="n"/>
      <c r="AE389" s="294" t="n"/>
    </row>
    <row r="390">
      <c r="B390" s="279" t="n"/>
      <c r="C390" s="280" t="n"/>
      <c r="D390" s="295" t="n"/>
      <c r="E390" s="295" t="n"/>
      <c r="F390" s="295" t="n"/>
      <c r="G390" s="282" t="n"/>
      <c r="H390" s="295" t="n"/>
      <c r="I390" s="295" t="n"/>
      <c r="J390" s="282" t="n"/>
      <c r="K390" s="345" t="n"/>
      <c r="L390" s="295" t="n"/>
      <c r="M390" s="346" t="n"/>
      <c r="N390" s="295" t="n"/>
      <c r="O390" s="285" t="n"/>
      <c r="P390" s="295" t="n"/>
      <c r="Q390" s="295" t="n"/>
      <c r="R390" s="282" t="n"/>
      <c r="S390" s="295" t="n"/>
      <c r="T390" s="295" t="n"/>
      <c r="U390" s="285" t="n"/>
      <c r="V390" s="295" t="n"/>
      <c r="W390" s="282" t="n"/>
      <c r="X390" s="295" t="n"/>
      <c r="Y390" s="295" t="n"/>
      <c r="Z390" s="295" t="n"/>
      <c r="AA390" s="295" t="n"/>
      <c r="AB390" s="285" t="n"/>
      <c r="AC390" s="295" t="n"/>
      <c r="AD390" s="295" t="n"/>
      <c r="AE390" s="286" t="n"/>
    </row>
    <row r="391">
      <c r="B391" s="287" t="n"/>
      <c r="C391" s="288" t="n"/>
      <c r="D391" s="295" t="n"/>
      <c r="E391" s="295" t="n"/>
      <c r="F391" s="295" t="n"/>
      <c r="G391" s="290" t="n"/>
      <c r="H391" s="295" t="n"/>
      <c r="I391" s="295" t="n"/>
      <c r="J391" s="290" t="n"/>
      <c r="K391" s="347" t="n"/>
      <c r="L391" s="295" t="n"/>
      <c r="M391" s="348" t="n"/>
      <c r="N391" s="295" t="n"/>
      <c r="O391" s="293" t="n"/>
      <c r="P391" s="295" t="n"/>
      <c r="Q391" s="295" t="n"/>
      <c r="R391" s="290" t="n"/>
      <c r="S391" s="295" t="n"/>
      <c r="T391" s="295" t="n"/>
      <c r="U391" s="293" t="n"/>
      <c r="V391" s="295" t="n"/>
      <c r="W391" s="290" t="n"/>
      <c r="X391" s="295" t="n"/>
      <c r="Y391" s="295" t="n"/>
      <c r="Z391" s="295" t="n"/>
      <c r="AA391" s="295" t="n"/>
      <c r="AB391" s="293" t="n"/>
      <c r="AC391" s="295" t="n"/>
      <c r="AD391" s="295" t="n"/>
      <c r="AE391" s="294" t="n"/>
    </row>
    <row r="392">
      <c r="B392" s="279" t="n"/>
      <c r="C392" s="280" t="n"/>
      <c r="D392" s="295" t="n"/>
      <c r="E392" s="295" t="n"/>
      <c r="F392" s="295" t="n"/>
      <c r="G392" s="282" t="n"/>
      <c r="H392" s="295" t="n"/>
      <c r="I392" s="295" t="n"/>
      <c r="J392" s="282" t="n"/>
      <c r="K392" s="345" t="n"/>
      <c r="L392" s="295" t="n"/>
      <c r="M392" s="346" t="n"/>
      <c r="N392" s="295" t="n"/>
      <c r="O392" s="285" t="n"/>
      <c r="P392" s="295" t="n"/>
      <c r="Q392" s="295" t="n"/>
      <c r="R392" s="282" t="n"/>
      <c r="S392" s="295" t="n"/>
      <c r="T392" s="295" t="n"/>
      <c r="U392" s="285" t="n"/>
      <c r="V392" s="295" t="n"/>
      <c r="W392" s="282" t="n"/>
      <c r="X392" s="295" t="n"/>
      <c r="Y392" s="295" t="n"/>
      <c r="Z392" s="295" t="n"/>
      <c r="AA392" s="295" t="n"/>
      <c r="AB392" s="285" t="n"/>
      <c r="AC392" s="295" t="n"/>
      <c r="AD392" s="295" t="n"/>
      <c r="AE392" s="286" t="n"/>
    </row>
    <row r="393">
      <c r="B393" s="287" t="n"/>
      <c r="C393" s="288" t="n"/>
      <c r="D393" s="295" t="n"/>
      <c r="E393" s="295" t="n"/>
      <c r="F393" s="295" t="n"/>
      <c r="G393" s="290" t="n"/>
      <c r="H393" s="295" t="n"/>
      <c r="I393" s="295" t="n"/>
      <c r="J393" s="290" t="n"/>
      <c r="K393" s="347" t="n"/>
      <c r="L393" s="295" t="n"/>
      <c r="M393" s="348" t="n"/>
      <c r="N393" s="295" t="n"/>
      <c r="O393" s="293" t="n"/>
      <c r="P393" s="295" t="n"/>
      <c r="Q393" s="295" t="n"/>
      <c r="R393" s="290" t="n"/>
      <c r="S393" s="295" t="n"/>
      <c r="T393" s="295" t="n"/>
      <c r="U393" s="293" t="n"/>
      <c r="V393" s="295" t="n"/>
      <c r="W393" s="290" t="n"/>
      <c r="X393" s="295" t="n"/>
      <c r="Y393" s="295" t="n"/>
      <c r="Z393" s="295" t="n"/>
      <c r="AA393" s="295" t="n"/>
      <c r="AB393" s="293" t="n"/>
      <c r="AC393" s="295" t="n"/>
      <c r="AD393" s="295" t="n"/>
      <c r="AE393" s="294" t="n"/>
    </row>
    <row r="394">
      <c r="B394" s="279" t="n"/>
      <c r="C394" s="280" t="n"/>
      <c r="D394" s="295" t="n"/>
      <c r="E394" s="295" t="n"/>
      <c r="F394" s="295" t="n"/>
      <c r="G394" s="282" t="n"/>
      <c r="H394" s="295" t="n"/>
      <c r="I394" s="295" t="n"/>
      <c r="J394" s="282" t="n"/>
      <c r="K394" s="345" t="n"/>
      <c r="L394" s="295" t="n"/>
      <c r="M394" s="346" t="n"/>
      <c r="N394" s="295" t="n"/>
      <c r="O394" s="285" t="n"/>
      <c r="P394" s="295" t="n"/>
      <c r="Q394" s="295" t="n"/>
      <c r="R394" s="282" t="n"/>
      <c r="S394" s="295" t="n"/>
      <c r="T394" s="295" t="n"/>
      <c r="U394" s="285" t="n"/>
      <c r="V394" s="295" t="n"/>
      <c r="W394" s="282" t="n"/>
      <c r="X394" s="295" t="n"/>
      <c r="Y394" s="295" t="n"/>
      <c r="Z394" s="295" t="n"/>
      <c r="AA394" s="295" t="n"/>
      <c r="AB394" s="285" t="n"/>
      <c r="AC394" s="295" t="n"/>
      <c r="AD394" s="295" t="n"/>
      <c r="AE394" s="286" t="n"/>
    </row>
    <row r="395">
      <c r="B395" s="287" t="n"/>
      <c r="C395" s="288" t="n"/>
      <c r="D395" s="295" t="n"/>
      <c r="E395" s="295" t="n"/>
      <c r="F395" s="295" t="n"/>
      <c r="G395" s="290" t="n"/>
      <c r="H395" s="295" t="n"/>
      <c r="I395" s="295" t="n"/>
      <c r="J395" s="290" t="n"/>
      <c r="K395" s="347" t="n"/>
      <c r="L395" s="295" t="n"/>
      <c r="M395" s="348" t="n"/>
      <c r="N395" s="295" t="n"/>
      <c r="O395" s="293" t="n"/>
      <c r="P395" s="295" t="n"/>
      <c r="Q395" s="295" t="n"/>
      <c r="R395" s="290" t="n"/>
      <c r="S395" s="295" t="n"/>
      <c r="T395" s="295" t="n"/>
      <c r="U395" s="293" t="n"/>
      <c r="V395" s="295" t="n"/>
      <c r="W395" s="290" t="n"/>
      <c r="X395" s="295" t="n"/>
      <c r="Y395" s="295" t="n"/>
      <c r="Z395" s="295" t="n"/>
      <c r="AA395" s="295" t="n"/>
      <c r="AB395" s="293" t="n"/>
      <c r="AC395" s="295" t="n"/>
      <c r="AD395" s="295" t="n"/>
      <c r="AE395" s="294" t="n"/>
    </row>
    <row r="396">
      <c r="B396" s="279" t="n"/>
      <c r="C396" s="280" t="n"/>
      <c r="D396" s="295" t="n"/>
      <c r="E396" s="295" t="n"/>
      <c r="F396" s="295" t="n"/>
      <c r="G396" s="282" t="n"/>
      <c r="H396" s="295" t="n"/>
      <c r="I396" s="295" t="n"/>
      <c r="J396" s="282" t="n"/>
      <c r="K396" s="345" t="n"/>
      <c r="L396" s="295" t="n"/>
      <c r="M396" s="346" t="n"/>
      <c r="N396" s="295" t="n"/>
      <c r="O396" s="285" t="n"/>
      <c r="P396" s="295" t="n"/>
      <c r="Q396" s="295" t="n"/>
      <c r="R396" s="282" t="n"/>
      <c r="S396" s="295" t="n"/>
      <c r="T396" s="295" t="n"/>
      <c r="U396" s="285" t="n"/>
      <c r="V396" s="295" t="n"/>
      <c r="W396" s="282" t="n"/>
      <c r="X396" s="295" t="n"/>
      <c r="Y396" s="295" t="n"/>
      <c r="Z396" s="295" t="n"/>
      <c r="AA396" s="295" t="n"/>
      <c r="AB396" s="285" t="n"/>
      <c r="AC396" s="295" t="n"/>
      <c r="AD396" s="295" t="n"/>
      <c r="AE396" s="286" t="n"/>
    </row>
    <row r="397">
      <c r="B397" s="287" t="n"/>
      <c r="C397" s="288" t="n"/>
      <c r="D397" s="295" t="n"/>
      <c r="E397" s="295" t="n"/>
      <c r="F397" s="295" t="n"/>
      <c r="G397" s="290" t="n"/>
      <c r="H397" s="295" t="n"/>
      <c r="I397" s="295" t="n"/>
      <c r="J397" s="290" t="n"/>
      <c r="K397" s="347" t="n"/>
      <c r="L397" s="295" t="n"/>
      <c r="M397" s="348" t="n"/>
      <c r="N397" s="295" t="n"/>
      <c r="O397" s="293" t="n"/>
      <c r="P397" s="295" t="n"/>
      <c r="Q397" s="295" t="n"/>
      <c r="R397" s="290" t="n"/>
      <c r="S397" s="295" t="n"/>
      <c r="T397" s="295" t="n"/>
      <c r="U397" s="293" t="n"/>
      <c r="V397" s="295" t="n"/>
      <c r="W397" s="290" t="n"/>
      <c r="X397" s="295" t="n"/>
      <c r="Y397" s="295" t="n"/>
      <c r="Z397" s="295" t="n"/>
      <c r="AA397" s="295" t="n"/>
      <c r="AB397" s="293" t="n"/>
      <c r="AC397" s="295" t="n"/>
      <c r="AD397" s="295" t="n"/>
      <c r="AE397" s="294" t="n"/>
    </row>
    <row r="398">
      <c r="B398" s="279" t="n"/>
      <c r="C398" s="280" t="n"/>
      <c r="D398" s="295" t="n"/>
      <c r="E398" s="295" t="n"/>
      <c r="F398" s="295" t="n"/>
      <c r="G398" s="282" t="n"/>
      <c r="H398" s="295" t="n"/>
      <c r="I398" s="295" t="n"/>
      <c r="J398" s="282" t="n"/>
      <c r="K398" s="345" t="n"/>
      <c r="L398" s="295" t="n"/>
      <c r="M398" s="346" t="n"/>
      <c r="N398" s="295" t="n"/>
      <c r="O398" s="285" t="n"/>
      <c r="P398" s="295" t="n"/>
      <c r="Q398" s="295" t="n"/>
      <c r="R398" s="282" t="n"/>
      <c r="S398" s="295" t="n"/>
      <c r="T398" s="295" t="n"/>
      <c r="U398" s="285" t="n"/>
      <c r="V398" s="295" t="n"/>
      <c r="W398" s="282" t="n"/>
      <c r="X398" s="295" t="n"/>
      <c r="Y398" s="295" t="n"/>
      <c r="Z398" s="295" t="n"/>
      <c r="AA398" s="295" t="n"/>
      <c r="AB398" s="285" t="n"/>
      <c r="AC398" s="295" t="n"/>
      <c r="AD398" s="295" t="n"/>
      <c r="AE398" s="286" t="n"/>
    </row>
    <row r="399">
      <c r="B399" s="287" t="n"/>
      <c r="C399" s="288" t="n"/>
      <c r="D399" s="295" t="n"/>
      <c r="E399" s="295" t="n"/>
      <c r="F399" s="295" t="n"/>
      <c r="G399" s="290" t="n"/>
      <c r="H399" s="295" t="n"/>
      <c r="I399" s="295" t="n"/>
      <c r="J399" s="290" t="n"/>
      <c r="K399" s="347" t="n"/>
      <c r="L399" s="295" t="n"/>
      <c r="M399" s="348" t="n"/>
      <c r="N399" s="295" t="n"/>
      <c r="O399" s="293" t="n"/>
      <c r="P399" s="295" t="n"/>
      <c r="Q399" s="295" t="n"/>
      <c r="R399" s="290" t="n"/>
      <c r="S399" s="295" t="n"/>
      <c r="T399" s="295" t="n"/>
      <c r="U399" s="293" t="n"/>
      <c r="V399" s="295" t="n"/>
      <c r="W399" s="290" t="n"/>
      <c r="X399" s="295" t="n"/>
      <c r="Y399" s="295" t="n"/>
      <c r="Z399" s="295" t="n"/>
      <c r="AA399" s="295" t="n"/>
      <c r="AB399" s="293" t="n"/>
      <c r="AC399" s="295" t="n"/>
      <c r="AD399" s="295" t="n"/>
      <c r="AE399" s="294" t="n"/>
    </row>
    <row r="400">
      <c r="B400" s="279" t="n"/>
      <c r="C400" s="280" t="n"/>
      <c r="D400" s="295" t="n"/>
      <c r="E400" s="295" t="n"/>
      <c r="F400" s="295" t="n"/>
      <c r="G400" s="282" t="n"/>
      <c r="H400" s="295" t="n"/>
      <c r="I400" s="295" t="n"/>
      <c r="J400" s="282" t="n"/>
      <c r="K400" s="345" t="n"/>
      <c r="L400" s="295" t="n"/>
      <c r="M400" s="346" t="n"/>
      <c r="N400" s="295" t="n"/>
      <c r="O400" s="285" t="n"/>
      <c r="P400" s="295" t="n"/>
      <c r="Q400" s="295" t="n"/>
      <c r="R400" s="282" t="n"/>
      <c r="S400" s="295" t="n"/>
      <c r="T400" s="295" t="n"/>
      <c r="U400" s="285" t="n"/>
      <c r="V400" s="295" t="n"/>
      <c r="W400" s="282" t="n"/>
      <c r="X400" s="295" t="n"/>
      <c r="Y400" s="295" t="n"/>
      <c r="Z400" s="295" t="n"/>
      <c r="AA400" s="295" t="n"/>
      <c r="AB400" s="285" t="n"/>
      <c r="AC400" s="295" t="n"/>
      <c r="AD400" s="295" t="n"/>
      <c r="AE400" s="286" t="n"/>
    </row>
    <row r="401">
      <c r="B401" s="287" t="n"/>
      <c r="C401" s="288" t="n"/>
      <c r="D401" s="295" t="n"/>
      <c r="E401" s="295" t="n"/>
      <c r="F401" s="295" t="n"/>
      <c r="G401" s="290" t="n"/>
      <c r="H401" s="295" t="n"/>
      <c r="I401" s="295" t="n"/>
      <c r="J401" s="290" t="n"/>
      <c r="K401" s="347" t="n"/>
      <c r="L401" s="295" t="n"/>
      <c r="M401" s="348" t="n"/>
      <c r="N401" s="295" t="n"/>
      <c r="O401" s="293" t="n"/>
      <c r="P401" s="295" t="n"/>
      <c r="Q401" s="295" t="n"/>
      <c r="R401" s="290" t="n"/>
      <c r="S401" s="295" t="n"/>
      <c r="T401" s="295" t="n"/>
      <c r="U401" s="293" t="n"/>
      <c r="V401" s="295" t="n"/>
      <c r="W401" s="290" t="n"/>
      <c r="X401" s="295" t="n"/>
      <c r="Y401" s="295" t="n"/>
      <c r="Z401" s="295" t="n"/>
      <c r="AA401" s="295" t="n"/>
      <c r="AB401" s="293" t="n"/>
      <c r="AC401" s="295" t="n"/>
      <c r="AD401" s="295" t="n"/>
      <c r="AE401" s="294" t="n"/>
    </row>
    <row r="402">
      <c r="B402" s="279" t="n"/>
      <c r="C402" s="280" t="n"/>
      <c r="D402" s="295" t="n"/>
      <c r="E402" s="295" t="n"/>
      <c r="F402" s="295" t="n"/>
      <c r="G402" s="282" t="n"/>
      <c r="H402" s="295" t="n"/>
      <c r="I402" s="295" t="n"/>
      <c r="J402" s="282" t="n"/>
      <c r="K402" s="345" t="n"/>
      <c r="L402" s="295" t="n"/>
      <c r="M402" s="346" t="n"/>
      <c r="N402" s="295" t="n"/>
      <c r="O402" s="285" t="n"/>
      <c r="P402" s="295" t="n"/>
      <c r="Q402" s="295" t="n"/>
      <c r="R402" s="282" t="n"/>
      <c r="S402" s="295" t="n"/>
      <c r="T402" s="295" t="n"/>
      <c r="U402" s="285" t="n"/>
      <c r="V402" s="295" t="n"/>
      <c r="W402" s="282" t="n"/>
      <c r="X402" s="295" t="n"/>
      <c r="Y402" s="295" t="n"/>
      <c r="Z402" s="295" t="n"/>
      <c r="AA402" s="295" t="n"/>
      <c r="AB402" s="285" t="n"/>
      <c r="AC402" s="295" t="n"/>
      <c r="AD402" s="295" t="n"/>
      <c r="AE402" s="286" t="n"/>
    </row>
    <row r="403">
      <c r="B403" s="287" t="n"/>
      <c r="C403" s="288" t="n"/>
      <c r="D403" s="295" t="n"/>
      <c r="E403" s="295" t="n"/>
      <c r="F403" s="295" t="n"/>
      <c r="G403" s="290" t="n"/>
      <c r="H403" s="295" t="n"/>
      <c r="I403" s="295" t="n"/>
      <c r="J403" s="290" t="n"/>
      <c r="K403" s="347" t="n"/>
      <c r="L403" s="295" t="n"/>
      <c r="M403" s="348" t="n"/>
      <c r="N403" s="295" t="n"/>
      <c r="O403" s="293" t="n"/>
      <c r="P403" s="295" t="n"/>
      <c r="Q403" s="295" t="n"/>
      <c r="R403" s="290" t="n"/>
      <c r="S403" s="295" t="n"/>
      <c r="T403" s="295" t="n"/>
      <c r="U403" s="293" t="n"/>
      <c r="V403" s="295" t="n"/>
      <c r="W403" s="290" t="n"/>
      <c r="X403" s="295" t="n"/>
      <c r="Y403" s="295" t="n"/>
      <c r="Z403" s="295" t="n"/>
      <c r="AA403" s="295" t="n"/>
      <c r="AB403" s="293" t="n"/>
      <c r="AC403" s="295" t="n"/>
      <c r="AD403" s="295" t="n"/>
      <c r="AE403" s="294" t="n"/>
    </row>
    <row r="404">
      <c r="B404" s="279" t="n"/>
      <c r="C404" s="280" t="n"/>
      <c r="D404" s="295" t="n"/>
      <c r="E404" s="295" t="n"/>
      <c r="F404" s="295" t="n"/>
      <c r="G404" s="282" t="n"/>
      <c r="H404" s="295" t="n"/>
      <c r="I404" s="295" t="n"/>
      <c r="J404" s="282" t="n"/>
      <c r="K404" s="345" t="n"/>
      <c r="L404" s="295" t="n"/>
      <c r="M404" s="346" t="n"/>
      <c r="N404" s="295" t="n"/>
      <c r="O404" s="285" t="n"/>
      <c r="P404" s="295" t="n"/>
      <c r="Q404" s="295" t="n"/>
      <c r="R404" s="282" t="n"/>
      <c r="S404" s="295" t="n"/>
      <c r="T404" s="295" t="n"/>
      <c r="U404" s="285" t="n"/>
      <c r="V404" s="295" t="n"/>
      <c r="W404" s="282" t="n"/>
      <c r="X404" s="295" t="n"/>
      <c r="Y404" s="295" t="n"/>
      <c r="Z404" s="295" t="n"/>
      <c r="AA404" s="295" t="n"/>
      <c r="AB404" s="285" t="n"/>
      <c r="AC404" s="295" t="n"/>
      <c r="AD404" s="295" t="n"/>
      <c r="AE404" s="286" t="n"/>
    </row>
    <row r="405">
      <c r="B405" s="287" t="n"/>
      <c r="C405" s="288" t="n"/>
      <c r="D405" s="295" t="n"/>
      <c r="E405" s="295" t="n"/>
      <c r="F405" s="295" t="n"/>
      <c r="G405" s="290" t="n"/>
      <c r="H405" s="295" t="n"/>
      <c r="I405" s="295" t="n"/>
      <c r="J405" s="290" t="n"/>
      <c r="K405" s="347" t="n"/>
      <c r="L405" s="295" t="n"/>
      <c r="M405" s="348" t="n"/>
      <c r="N405" s="295" t="n"/>
      <c r="O405" s="293" t="n"/>
      <c r="P405" s="295" t="n"/>
      <c r="Q405" s="295" t="n"/>
      <c r="R405" s="290" t="n"/>
      <c r="S405" s="295" t="n"/>
      <c r="T405" s="295" t="n"/>
      <c r="U405" s="293" t="n"/>
      <c r="V405" s="295" t="n"/>
      <c r="W405" s="290" t="n"/>
      <c r="X405" s="295" t="n"/>
      <c r="Y405" s="295" t="n"/>
      <c r="Z405" s="295" t="n"/>
      <c r="AA405" s="295" t="n"/>
      <c r="AB405" s="293" t="n"/>
      <c r="AC405" s="295" t="n"/>
      <c r="AD405" s="295" t="n"/>
      <c r="AE405" s="294" t="n"/>
    </row>
    <row r="406">
      <c r="B406" s="279" t="n"/>
      <c r="C406" s="280" t="n"/>
      <c r="D406" s="295" t="n"/>
      <c r="E406" s="295" t="n"/>
      <c r="F406" s="295" t="n"/>
      <c r="G406" s="282" t="n"/>
      <c r="H406" s="295" t="n"/>
      <c r="I406" s="295" t="n"/>
      <c r="J406" s="282" t="n"/>
      <c r="K406" s="345" t="n"/>
      <c r="L406" s="295" t="n"/>
      <c r="M406" s="346" t="n"/>
      <c r="N406" s="295" t="n"/>
      <c r="O406" s="285" t="n"/>
      <c r="P406" s="295" t="n"/>
      <c r="Q406" s="295" t="n"/>
      <c r="R406" s="282" t="n"/>
      <c r="S406" s="295" t="n"/>
      <c r="T406" s="295" t="n"/>
      <c r="U406" s="285" t="n"/>
      <c r="V406" s="295" t="n"/>
      <c r="W406" s="282" t="n"/>
      <c r="X406" s="295" t="n"/>
      <c r="Y406" s="295" t="n"/>
      <c r="Z406" s="295" t="n"/>
      <c r="AA406" s="295" t="n"/>
      <c r="AB406" s="285" t="n"/>
      <c r="AC406" s="295" t="n"/>
      <c r="AD406" s="295" t="n"/>
      <c r="AE406" s="286" t="n"/>
    </row>
    <row r="407">
      <c r="B407" s="287" t="n"/>
      <c r="C407" s="288" t="n"/>
      <c r="D407" s="295" t="n"/>
      <c r="E407" s="295" t="n"/>
      <c r="F407" s="295" t="n"/>
      <c r="G407" s="290" t="n"/>
      <c r="H407" s="295" t="n"/>
      <c r="I407" s="295" t="n"/>
      <c r="J407" s="290" t="n"/>
      <c r="K407" s="347" t="n"/>
      <c r="L407" s="295" t="n"/>
      <c r="M407" s="348" t="n"/>
      <c r="N407" s="295" t="n"/>
      <c r="O407" s="293" t="n"/>
      <c r="P407" s="295" t="n"/>
      <c r="Q407" s="295" t="n"/>
      <c r="R407" s="290" t="n"/>
      <c r="S407" s="295" t="n"/>
      <c r="T407" s="295" t="n"/>
      <c r="U407" s="293" t="n"/>
      <c r="V407" s="295" t="n"/>
      <c r="W407" s="290" t="n"/>
      <c r="X407" s="295" t="n"/>
      <c r="Y407" s="295" t="n"/>
      <c r="Z407" s="295" t="n"/>
      <c r="AA407" s="295" t="n"/>
      <c r="AB407" s="293" t="n"/>
      <c r="AC407" s="295" t="n"/>
      <c r="AD407" s="295" t="n"/>
      <c r="AE407" s="294" t="n"/>
    </row>
    <row r="408">
      <c r="B408" s="279" t="n"/>
      <c r="C408" s="280" t="n"/>
      <c r="D408" s="295" t="n"/>
      <c r="E408" s="295" t="n"/>
      <c r="F408" s="295" t="n"/>
      <c r="G408" s="282" t="n"/>
      <c r="H408" s="295" t="n"/>
      <c r="I408" s="295" t="n"/>
      <c r="J408" s="282" t="n"/>
      <c r="K408" s="345" t="n"/>
      <c r="L408" s="295" t="n"/>
      <c r="M408" s="346" t="n"/>
      <c r="N408" s="295" t="n"/>
      <c r="O408" s="285" t="n"/>
      <c r="P408" s="295" t="n"/>
      <c r="Q408" s="295" t="n"/>
      <c r="R408" s="282" t="n"/>
      <c r="S408" s="295" t="n"/>
      <c r="T408" s="295" t="n"/>
      <c r="U408" s="285" t="n"/>
      <c r="V408" s="295" t="n"/>
      <c r="W408" s="282" t="n"/>
      <c r="X408" s="295" t="n"/>
      <c r="Y408" s="295" t="n"/>
      <c r="Z408" s="295" t="n"/>
      <c r="AA408" s="295" t="n"/>
      <c r="AB408" s="285" t="n"/>
      <c r="AC408" s="295" t="n"/>
      <c r="AD408" s="295" t="n"/>
      <c r="AE408" s="286" t="n"/>
    </row>
    <row r="409">
      <c r="B409" s="287" t="n"/>
      <c r="C409" s="288" t="n"/>
      <c r="D409" s="295" t="n"/>
      <c r="E409" s="295" t="n"/>
      <c r="F409" s="295" t="n"/>
      <c r="G409" s="290" t="n"/>
      <c r="H409" s="295" t="n"/>
      <c r="I409" s="295" t="n"/>
      <c r="J409" s="290" t="n"/>
      <c r="K409" s="347" t="n"/>
      <c r="L409" s="295" t="n"/>
      <c r="M409" s="348" t="n"/>
      <c r="N409" s="295" t="n"/>
      <c r="O409" s="293" t="n"/>
      <c r="P409" s="295" t="n"/>
      <c r="Q409" s="295" t="n"/>
      <c r="R409" s="290" t="n"/>
      <c r="S409" s="295" t="n"/>
      <c r="T409" s="295" t="n"/>
      <c r="U409" s="293" t="n"/>
      <c r="V409" s="295" t="n"/>
      <c r="W409" s="290" t="n"/>
      <c r="X409" s="295" t="n"/>
      <c r="Y409" s="295" t="n"/>
      <c r="Z409" s="295" t="n"/>
      <c r="AA409" s="295" t="n"/>
      <c r="AB409" s="293" t="n"/>
      <c r="AC409" s="295" t="n"/>
      <c r="AD409" s="295" t="n"/>
      <c r="AE409" s="294" t="n"/>
    </row>
    <row r="410">
      <c r="B410" s="279" t="n"/>
      <c r="C410" s="280" t="n"/>
      <c r="D410" s="295" t="n"/>
      <c r="E410" s="295" t="n"/>
      <c r="F410" s="295" t="n"/>
      <c r="G410" s="282" t="n"/>
      <c r="H410" s="295" t="n"/>
      <c r="I410" s="295" t="n"/>
      <c r="J410" s="282" t="n"/>
      <c r="K410" s="345" t="n"/>
      <c r="L410" s="295" t="n"/>
      <c r="M410" s="346" t="n"/>
      <c r="N410" s="295" t="n"/>
      <c r="O410" s="285" t="n"/>
      <c r="P410" s="295" t="n"/>
      <c r="Q410" s="295" t="n"/>
      <c r="R410" s="282" t="n"/>
      <c r="S410" s="295" t="n"/>
      <c r="T410" s="295" t="n"/>
      <c r="U410" s="285" t="n"/>
      <c r="V410" s="295" t="n"/>
      <c r="W410" s="282" t="n"/>
      <c r="X410" s="295" t="n"/>
      <c r="Y410" s="295" t="n"/>
      <c r="Z410" s="295" t="n"/>
      <c r="AA410" s="295" t="n"/>
      <c r="AB410" s="285" t="n"/>
      <c r="AC410" s="295" t="n"/>
      <c r="AD410" s="295" t="n"/>
      <c r="AE410" s="286" t="n"/>
    </row>
    <row r="411">
      <c r="B411" s="287" t="n"/>
      <c r="C411" s="288" t="n"/>
      <c r="D411" s="295" t="n"/>
      <c r="E411" s="295" t="n"/>
      <c r="F411" s="295" t="n"/>
      <c r="G411" s="290" t="n"/>
      <c r="H411" s="295" t="n"/>
      <c r="I411" s="295" t="n"/>
      <c r="J411" s="290" t="n"/>
      <c r="K411" s="347" t="n"/>
      <c r="L411" s="295" t="n"/>
      <c r="M411" s="348" t="n"/>
      <c r="N411" s="295" t="n"/>
      <c r="O411" s="293" t="n"/>
      <c r="P411" s="295" t="n"/>
      <c r="Q411" s="295" t="n"/>
      <c r="R411" s="290" t="n"/>
      <c r="S411" s="295" t="n"/>
      <c r="T411" s="295" t="n"/>
      <c r="U411" s="293" t="n"/>
      <c r="V411" s="295" t="n"/>
      <c r="W411" s="290" t="n"/>
      <c r="X411" s="295" t="n"/>
      <c r="Y411" s="295" t="n"/>
      <c r="Z411" s="295" t="n"/>
      <c r="AA411" s="295" t="n"/>
      <c r="AB411" s="293" t="n"/>
      <c r="AC411" s="295" t="n"/>
      <c r="AD411" s="295" t="n"/>
      <c r="AE411" s="294" t="n"/>
    </row>
    <row r="412">
      <c r="B412" s="279" t="n"/>
      <c r="C412" s="280" t="n"/>
      <c r="D412" s="295" t="n"/>
      <c r="E412" s="295" t="n"/>
      <c r="F412" s="295" t="n"/>
      <c r="G412" s="282" t="n"/>
      <c r="H412" s="295" t="n"/>
      <c r="I412" s="295" t="n"/>
      <c r="J412" s="282" t="n"/>
      <c r="K412" s="345" t="n"/>
      <c r="L412" s="295" t="n"/>
      <c r="M412" s="346" t="n"/>
      <c r="N412" s="295" t="n"/>
      <c r="O412" s="285" t="n"/>
      <c r="P412" s="295" t="n"/>
      <c r="Q412" s="295" t="n"/>
      <c r="R412" s="282" t="n"/>
      <c r="S412" s="295" t="n"/>
      <c r="T412" s="295" t="n"/>
      <c r="U412" s="285" t="n"/>
      <c r="V412" s="295" t="n"/>
      <c r="W412" s="282" t="n"/>
      <c r="X412" s="295" t="n"/>
      <c r="Y412" s="295" t="n"/>
      <c r="Z412" s="295" t="n"/>
      <c r="AA412" s="295" t="n"/>
      <c r="AB412" s="285" t="n"/>
      <c r="AC412" s="295" t="n"/>
      <c r="AD412" s="295" t="n"/>
      <c r="AE412" s="286" t="n"/>
    </row>
    <row r="413">
      <c r="B413" s="287" t="n"/>
      <c r="C413" s="288" t="n"/>
      <c r="D413" s="295" t="n"/>
      <c r="E413" s="295" t="n"/>
      <c r="F413" s="295" t="n"/>
      <c r="G413" s="290" t="n"/>
      <c r="H413" s="295" t="n"/>
      <c r="I413" s="295" t="n"/>
      <c r="J413" s="290" t="n"/>
      <c r="K413" s="347" t="n"/>
      <c r="L413" s="295" t="n"/>
      <c r="M413" s="348" t="n"/>
      <c r="N413" s="295" t="n"/>
      <c r="O413" s="293" t="n"/>
      <c r="P413" s="295" t="n"/>
      <c r="Q413" s="295" t="n"/>
      <c r="R413" s="290" t="n"/>
      <c r="S413" s="295" t="n"/>
      <c r="T413" s="295" t="n"/>
      <c r="U413" s="293" t="n"/>
      <c r="V413" s="295" t="n"/>
      <c r="W413" s="290" t="n"/>
      <c r="X413" s="295" t="n"/>
      <c r="Y413" s="295" t="n"/>
      <c r="Z413" s="295" t="n"/>
      <c r="AA413" s="295" t="n"/>
      <c r="AB413" s="293" t="n"/>
      <c r="AC413" s="295" t="n"/>
      <c r="AD413" s="295" t="n"/>
      <c r="AE413" s="294" t="n"/>
    </row>
    <row r="414">
      <c r="B414" s="279" t="n"/>
      <c r="C414" s="280" t="n"/>
      <c r="D414" s="295" t="n"/>
      <c r="E414" s="295" t="n"/>
      <c r="F414" s="295" t="n"/>
      <c r="G414" s="282" t="n"/>
      <c r="H414" s="295" t="n"/>
      <c r="I414" s="295" t="n"/>
      <c r="J414" s="282" t="n"/>
      <c r="K414" s="345" t="n"/>
      <c r="L414" s="295" t="n"/>
      <c r="M414" s="346" t="n"/>
      <c r="N414" s="295" t="n"/>
      <c r="O414" s="285" t="n"/>
      <c r="P414" s="295" t="n"/>
      <c r="Q414" s="295" t="n"/>
      <c r="R414" s="282" t="n"/>
      <c r="S414" s="295" t="n"/>
      <c r="T414" s="295" t="n"/>
      <c r="U414" s="285" t="n"/>
      <c r="V414" s="295" t="n"/>
      <c r="W414" s="282" t="n"/>
      <c r="X414" s="295" t="n"/>
      <c r="Y414" s="295" t="n"/>
      <c r="Z414" s="295" t="n"/>
      <c r="AA414" s="295" t="n"/>
      <c r="AB414" s="285" t="n"/>
      <c r="AC414" s="295" t="n"/>
      <c r="AD414" s="295" t="n"/>
      <c r="AE414" s="286" t="n"/>
    </row>
    <row r="415">
      <c r="B415" s="287" t="n"/>
      <c r="C415" s="288" t="n"/>
      <c r="D415" s="295" t="n"/>
      <c r="E415" s="295" t="n"/>
      <c r="F415" s="295" t="n"/>
      <c r="G415" s="290" t="n"/>
      <c r="H415" s="295" t="n"/>
      <c r="I415" s="295" t="n"/>
      <c r="J415" s="290" t="n"/>
      <c r="K415" s="347" t="n"/>
      <c r="L415" s="295" t="n"/>
      <c r="M415" s="348" t="n"/>
      <c r="N415" s="295" t="n"/>
      <c r="O415" s="293" t="n"/>
      <c r="P415" s="295" t="n"/>
      <c r="Q415" s="295" t="n"/>
      <c r="R415" s="290" t="n"/>
      <c r="S415" s="295" t="n"/>
      <c r="T415" s="295" t="n"/>
      <c r="U415" s="293" t="n"/>
      <c r="V415" s="295" t="n"/>
      <c r="W415" s="290" t="n"/>
      <c r="X415" s="295" t="n"/>
      <c r="Y415" s="295" t="n"/>
      <c r="Z415" s="295" t="n"/>
      <c r="AA415" s="295" t="n"/>
      <c r="AB415" s="293" t="n"/>
      <c r="AC415" s="295" t="n"/>
      <c r="AD415" s="295" t="n"/>
      <c r="AE415" s="294" t="n"/>
    </row>
    <row r="416">
      <c r="B416" s="279" t="n"/>
      <c r="C416" s="280" t="n"/>
      <c r="D416" s="295" t="n"/>
      <c r="E416" s="295" t="n"/>
      <c r="F416" s="295" t="n"/>
      <c r="G416" s="282" t="n"/>
      <c r="H416" s="295" t="n"/>
      <c r="I416" s="295" t="n"/>
      <c r="J416" s="282" t="n"/>
      <c r="K416" s="345" t="n"/>
      <c r="L416" s="295" t="n"/>
      <c r="M416" s="346" t="n"/>
      <c r="N416" s="295" t="n"/>
      <c r="O416" s="285" t="n"/>
      <c r="P416" s="295" t="n"/>
      <c r="Q416" s="295" t="n"/>
      <c r="R416" s="282" t="n"/>
      <c r="S416" s="295" t="n"/>
      <c r="T416" s="295" t="n"/>
      <c r="U416" s="285" t="n"/>
      <c r="V416" s="295" t="n"/>
      <c r="W416" s="282" t="n"/>
      <c r="X416" s="295" t="n"/>
      <c r="Y416" s="295" t="n"/>
      <c r="Z416" s="295" t="n"/>
      <c r="AA416" s="295" t="n"/>
      <c r="AB416" s="285" t="n"/>
      <c r="AC416" s="295" t="n"/>
      <c r="AD416" s="295" t="n"/>
      <c r="AE416" s="286" t="n"/>
    </row>
    <row r="417">
      <c r="B417" s="287" t="n"/>
      <c r="C417" s="288" t="n"/>
      <c r="D417" s="295" t="n"/>
      <c r="E417" s="295" t="n"/>
      <c r="F417" s="295" t="n"/>
      <c r="G417" s="290" t="n"/>
      <c r="H417" s="295" t="n"/>
      <c r="I417" s="295" t="n"/>
      <c r="J417" s="290" t="n"/>
      <c r="K417" s="347" t="n"/>
      <c r="L417" s="295" t="n"/>
      <c r="M417" s="348" t="n"/>
      <c r="N417" s="295" t="n"/>
      <c r="O417" s="293" t="n"/>
      <c r="P417" s="295" t="n"/>
      <c r="Q417" s="295" t="n"/>
      <c r="R417" s="290" t="n"/>
      <c r="S417" s="295" t="n"/>
      <c r="T417" s="295" t="n"/>
      <c r="U417" s="293" t="n"/>
      <c r="V417" s="295" t="n"/>
      <c r="W417" s="290" t="n"/>
      <c r="X417" s="295" t="n"/>
      <c r="Y417" s="295" t="n"/>
      <c r="Z417" s="295" t="n"/>
      <c r="AA417" s="295" t="n"/>
      <c r="AB417" s="293" t="n"/>
      <c r="AC417" s="295" t="n"/>
      <c r="AD417" s="295" t="n"/>
      <c r="AE417" s="294" t="n"/>
    </row>
    <row r="418">
      <c r="B418" s="279" t="n"/>
      <c r="C418" s="280" t="n"/>
      <c r="D418" s="295" t="n"/>
      <c r="E418" s="295" t="n"/>
      <c r="F418" s="295" t="n"/>
      <c r="G418" s="282" t="n"/>
      <c r="H418" s="295" t="n"/>
      <c r="I418" s="295" t="n"/>
      <c r="J418" s="282" t="n"/>
      <c r="K418" s="345" t="n"/>
      <c r="L418" s="295" t="n"/>
      <c r="M418" s="346" t="n"/>
      <c r="N418" s="295" t="n"/>
      <c r="O418" s="285" t="n"/>
      <c r="P418" s="295" t="n"/>
      <c r="Q418" s="295" t="n"/>
      <c r="R418" s="282" t="n"/>
      <c r="S418" s="295" t="n"/>
      <c r="T418" s="295" t="n"/>
      <c r="U418" s="285" t="n"/>
      <c r="V418" s="295" t="n"/>
      <c r="W418" s="282" t="n"/>
      <c r="X418" s="295" t="n"/>
      <c r="Y418" s="295" t="n"/>
      <c r="Z418" s="295" t="n"/>
      <c r="AA418" s="295" t="n"/>
      <c r="AB418" s="285" t="n"/>
      <c r="AC418" s="295" t="n"/>
      <c r="AD418" s="295" t="n"/>
      <c r="AE418" s="286" t="n"/>
    </row>
    <row r="419">
      <c r="B419" s="287" t="n"/>
      <c r="C419" s="288" t="n"/>
      <c r="D419" s="295" t="n"/>
      <c r="E419" s="295" t="n"/>
      <c r="F419" s="295" t="n"/>
      <c r="G419" s="290" t="n"/>
      <c r="H419" s="295" t="n"/>
      <c r="I419" s="295" t="n"/>
      <c r="J419" s="290" t="n"/>
      <c r="K419" s="347" t="n"/>
      <c r="L419" s="295" t="n"/>
      <c r="M419" s="348" t="n"/>
      <c r="N419" s="295" t="n"/>
      <c r="O419" s="293" t="n"/>
      <c r="P419" s="295" t="n"/>
      <c r="Q419" s="295" t="n"/>
      <c r="R419" s="290" t="n"/>
      <c r="S419" s="295" t="n"/>
      <c r="T419" s="295" t="n"/>
      <c r="U419" s="293" t="n"/>
      <c r="V419" s="295" t="n"/>
      <c r="W419" s="290" t="n"/>
      <c r="X419" s="295" t="n"/>
      <c r="Y419" s="295" t="n"/>
      <c r="Z419" s="295" t="n"/>
      <c r="AA419" s="295" t="n"/>
      <c r="AB419" s="293" t="n"/>
      <c r="AC419" s="295" t="n"/>
      <c r="AD419" s="295" t="n"/>
      <c r="AE419" s="294" t="n"/>
    </row>
    <row r="420">
      <c r="B420" s="279" t="n"/>
      <c r="C420" s="280" t="n"/>
      <c r="D420" s="295" t="n"/>
      <c r="E420" s="295" t="n"/>
      <c r="F420" s="295" t="n"/>
      <c r="G420" s="282" t="n"/>
      <c r="H420" s="295" t="n"/>
      <c r="I420" s="295" t="n"/>
      <c r="J420" s="282" t="n"/>
      <c r="K420" s="345" t="n"/>
      <c r="L420" s="295" t="n"/>
      <c r="M420" s="346" t="n"/>
      <c r="N420" s="295" t="n"/>
      <c r="O420" s="285" t="n"/>
      <c r="P420" s="295" t="n"/>
      <c r="Q420" s="295" t="n"/>
      <c r="R420" s="282" t="n"/>
      <c r="S420" s="295" t="n"/>
      <c r="T420" s="295" t="n"/>
      <c r="U420" s="285" t="n"/>
      <c r="V420" s="295" t="n"/>
      <c r="W420" s="282" t="n"/>
      <c r="X420" s="295" t="n"/>
      <c r="Y420" s="295" t="n"/>
      <c r="Z420" s="295" t="n"/>
      <c r="AA420" s="295" t="n"/>
      <c r="AB420" s="285" t="n"/>
      <c r="AC420" s="295" t="n"/>
      <c r="AD420" s="295" t="n"/>
      <c r="AE420" s="286" t="n"/>
    </row>
    <row r="421">
      <c r="B421" s="287" t="n"/>
      <c r="C421" s="288" t="n"/>
      <c r="D421" s="295" t="n"/>
      <c r="E421" s="295" t="n"/>
      <c r="F421" s="295" t="n"/>
      <c r="G421" s="290" t="n"/>
      <c r="H421" s="295" t="n"/>
      <c r="I421" s="295" t="n"/>
      <c r="J421" s="290" t="n"/>
      <c r="K421" s="347" t="n"/>
      <c r="L421" s="295" t="n"/>
      <c r="M421" s="348" t="n"/>
      <c r="N421" s="295" t="n"/>
      <c r="O421" s="293" t="n"/>
      <c r="P421" s="295" t="n"/>
      <c r="Q421" s="295" t="n"/>
      <c r="R421" s="290" t="n"/>
      <c r="S421" s="295" t="n"/>
      <c r="T421" s="295" t="n"/>
      <c r="U421" s="293" t="n"/>
      <c r="V421" s="295" t="n"/>
      <c r="W421" s="290" t="n"/>
      <c r="X421" s="295" t="n"/>
      <c r="Y421" s="295" t="n"/>
      <c r="Z421" s="295" t="n"/>
      <c r="AA421" s="295" t="n"/>
      <c r="AB421" s="293" t="n"/>
      <c r="AC421" s="295" t="n"/>
      <c r="AD421" s="295" t="n"/>
      <c r="AE421" s="294" t="n"/>
    </row>
    <row r="422">
      <c r="B422" s="279" t="n"/>
      <c r="C422" s="280" t="n"/>
      <c r="D422" s="295" t="n"/>
      <c r="E422" s="295" t="n"/>
      <c r="F422" s="295" t="n"/>
      <c r="G422" s="282" t="n"/>
      <c r="H422" s="295" t="n"/>
      <c r="I422" s="295" t="n"/>
      <c r="J422" s="282" t="n"/>
      <c r="K422" s="345" t="n"/>
      <c r="L422" s="295" t="n"/>
      <c r="M422" s="346" t="n"/>
      <c r="N422" s="295" t="n"/>
      <c r="O422" s="285" t="n"/>
      <c r="P422" s="295" t="n"/>
      <c r="Q422" s="295" t="n"/>
      <c r="R422" s="282" t="n"/>
      <c r="S422" s="295" t="n"/>
      <c r="T422" s="295" t="n"/>
      <c r="U422" s="285" t="n"/>
      <c r="V422" s="295" t="n"/>
      <c r="W422" s="282" t="n"/>
      <c r="X422" s="295" t="n"/>
      <c r="Y422" s="295" t="n"/>
      <c r="Z422" s="295" t="n"/>
      <c r="AA422" s="295" t="n"/>
      <c r="AB422" s="285" t="n"/>
      <c r="AC422" s="295" t="n"/>
      <c r="AD422" s="295" t="n"/>
      <c r="AE422" s="286" t="n"/>
    </row>
    <row r="423">
      <c r="B423" s="287" t="n"/>
      <c r="C423" s="288" t="n"/>
      <c r="D423" s="295" t="n"/>
      <c r="E423" s="295" t="n"/>
      <c r="F423" s="295" t="n"/>
      <c r="G423" s="290" t="n"/>
      <c r="H423" s="295" t="n"/>
      <c r="I423" s="295" t="n"/>
      <c r="J423" s="290" t="n"/>
      <c r="K423" s="347" t="n"/>
      <c r="L423" s="295" t="n"/>
      <c r="M423" s="348" t="n"/>
      <c r="N423" s="295" t="n"/>
      <c r="O423" s="293" t="n"/>
      <c r="P423" s="295" t="n"/>
      <c r="Q423" s="295" t="n"/>
      <c r="R423" s="290" t="n"/>
      <c r="S423" s="295" t="n"/>
      <c r="T423" s="295" t="n"/>
      <c r="U423" s="293" t="n"/>
      <c r="V423" s="295" t="n"/>
      <c r="W423" s="290" t="n"/>
      <c r="X423" s="295" t="n"/>
      <c r="Y423" s="295" t="n"/>
      <c r="Z423" s="295" t="n"/>
      <c r="AA423" s="295" t="n"/>
      <c r="AB423" s="293" t="n"/>
      <c r="AC423" s="295" t="n"/>
      <c r="AD423" s="295" t="n"/>
      <c r="AE423" s="294" t="n"/>
    </row>
    <row r="424">
      <c r="B424" s="279" t="n"/>
      <c r="C424" s="280" t="n"/>
      <c r="D424" s="295" t="n"/>
      <c r="E424" s="295" t="n"/>
      <c r="F424" s="295" t="n"/>
      <c r="G424" s="282" t="n"/>
      <c r="H424" s="295" t="n"/>
      <c r="I424" s="295" t="n"/>
      <c r="J424" s="282" t="n"/>
      <c r="K424" s="345" t="n"/>
      <c r="L424" s="295" t="n"/>
      <c r="M424" s="346" t="n"/>
      <c r="N424" s="295" t="n"/>
      <c r="O424" s="285" t="n"/>
      <c r="P424" s="295" t="n"/>
      <c r="Q424" s="295" t="n"/>
      <c r="R424" s="282" t="n"/>
      <c r="S424" s="295" t="n"/>
      <c r="T424" s="295" t="n"/>
      <c r="U424" s="285" t="n"/>
      <c r="V424" s="295" t="n"/>
      <c r="W424" s="282" t="n"/>
      <c r="X424" s="295" t="n"/>
      <c r="Y424" s="295" t="n"/>
      <c r="Z424" s="295" t="n"/>
      <c r="AA424" s="295" t="n"/>
      <c r="AB424" s="285" t="n"/>
      <c r="AC424" s="295" t="n"/>
      <c r="AD424" s="295" t="n"/>
      <c r="AE424" s="286" t="n"/>
    </row>
    <row r="425">
      <c r="B425" s="287" t="n"/>
      <c r="C425" s="288" t="n"/>
      <c r="D425" s="295" t="n"/>
      <c r="E425" s="295" t="n"/>
      <c r="F425" s="295" t="n"/>
      <c r="G425" s="290" t="n"/>
      <c r="H425" s="295" t="n"/>
      <c r="I425" s="295" t="n"/>
      <c r="J425" s="290" t="n"/>
      <c r="K425" s="347" t="n"/>
      <c r="L425" s="295" t="n"/>
      <c r="M425" s="348" t="n"/>
      <c r="N425" s="295" t="n"/>
      <c r="O425" s="293" t="n"/>
      <c r="P425" s="295" t="n"/>
      <c r="Q425" s="295" t="n"/>
      <c r="R425" s="290" t="n"/>
      <c r="S425" s="295" t="n"/>
      <c r="T425" s="295" t="n"/>
      <c r="U425" s="293" t="n"/>
      <c r="V425" s="295" t="n"/>
      <c r="W425" s="290" t="n"/>
      <c r="X425" s="295" t="n"/>
      <c r="Y425" s="295" t="n"/>
      <c r="Z425" s="295" t="n"/>
      <c r="AA425" s="295" t="n"/>
      <c r="AB425" s="293" t="n"/>
      <c r="AC425" s="295" t="n"/>
      <c r="AD425" s="295" t="n"/>
      <c r="AE425" s="294" t="n"/>
    </row>
    <row r="426">
      <c r="B426" s="279" t="n"/>
      <c r="C426" s="280" t="n"/>
      <c r="D426" s="295" t="n"/>
      <c r="E426" s="295" t="n"/>
      <c r="F426" s="295" t="n"/>
      <c r="G426" s="282" t="n"/>
      <c r="H426" s="295" t="n"/>
      <c r="I426" s="295" t="n"/>
      <c r="J426" s="282" t="n"/>
      <c r="K426" s="345" t="n"/>
      <c r="L426" s="295" t="n"/>
      <c r="M426" s="346" t="n"/>
      <c r="N426" s="295" t="n"/>
      <c r="O426" s="285" t="n"/>
      <c r="P426" s="295" t="n"/>
      <c r="Q426" s="295" t="n"/>
      <c r="R426" s="282" t="n"/>
      <c r="S426" s="295" t="n"/>
      <c r="T426" s="295" t="n"/>
      <c r="U426" s="285" t="n"/>
      <c r="V426" s="295" t="n"/>
      <c r="W426" s="282" t="n"/>
      <c r="X426" s="295" t="n"/>
      <c r="Y426" s="295" t="n"/>
      <c r="Z426" s="295" t="n"/>
      <c r="AA426" s="295" t="n"/>
      <c r="AB426" s="285" t="n"/>
      <c r="AC426" s="295" t="n"/>
      <c r="AD426" s="295" t="n"/>
      <c r="AE426" s="286" t="n"/>
    </row>
    <row r="427">
      <c r="B427" s="287" t="n"/>
      <c r="C427" s="288" t="n"/>
      <c r="D427" s="295" t="n"/>
      <c r="E427" s="295" t="n"/>
      <c r="F427" s="295" t="n"/>
      <c r="G427" s="290" t="n"/>
      <c r="H427" s="295" t="n"/>
      <c r="I427" s="295" t="n"/>
      <c r="J427" s="290" t="n"/>
      <c r="K427" s="347" t="n"/>
      <c r="L427" s="295" t="n"/>
      <c r="M427" s="348" t="n"/>
      <c r="N427" s="295" t="n"/>
      <c r="O427" s="293" t="n"/>
      <c r="P427" s="295" t="n"/>
      <c r="Q427" s="295" t="n"/>
      <c r="R427" s="290" t="n"/>
      <c r="S427" s="295" t="n"/>
      <c r="T427" s="295" t="n"/>
      <c r="U427" s="293" t="n"/>
      <c r="V427" s="295" t="n"/>
      <c r="W427" s="290" t="n"/>
      <c r="X427" s="295" t="n"/>
      <c r="Y427" s="295" t="n"/>
      <c r="Z427" s="295" t="n"/>
      <c r="AA427" s="295" t="n"/>
      <c r="AB427" s="293" t="n"/>
      <c r="AC427" s="295" t="n"/>
      <c r="AD427" s="295" t="n"/>
      <c r="AE427" s="294" t="n"/>
    </row>
    <row r="428">
      <c r="B428" s="279" t="n"/>
      <c r="C428" s="280" t="n"/>
      <c r="D428" s="295" t="n"/>
      <c r="E428" s="295" t="n"/>
      <c r="F428" s="295" t="n"/>
      <c r="G428" s="282" t="n"/>
      <c r="H428" s="295" t="n"/>
      <c r="I428" s="295" t="n"/>
      <c r="J428" s="282" t="n"/>
      <c r="K428" s="345" t="n"/>
      <c r="L428" s="295" t="n"/>
      <c r="M428" s="346" t="n"/>
      <c r="N428" s="295" t="n"/>
      <c r="O428" s="285" t="n"/>
      <c r="P428" s="295" t="n"/>
      <c r="Q428" s="295" t="n"/>
      <c r="R428" s="282" t="n"/>
      <c r="S428" s="295" t="n"/>
      <c r="T428" s="295" t="n"/>
      <c r="U428" s="285" t="n"/>
      <c r="V428" s="295" t="n"/>
      <c r="W428" s="282" t="n"/>
      <c r="X428" s="295" t="n"/>
      <c r="Y428" s="295" t="n"/>
      <c r="Z428" s="295" t="n"/>
      <c r="AA428" s="295" t="n"/>
      <c r="AB428" s="285" t="n"/>
      <c r="AC428" s="295" t="n"/>
      <c r="AD428" s="295" t="n"/>
      <c r="AE428" s="286" t="n"/>
    </row>
    <row r="429">
      <c r="B429" s="287" t="n"/>
      <c r="C429" s="288" t="n"/>
      <c r="D429" s="295" t="n"/>
      <c r="E429" s="295" t="n"/>
      <c r="F429" s="295" t="n"/>
      <c r="G429" s="290" t="n"/>
      <c r="H429" s="295" t="n"/>
      <c r="I429" s="295" t="n"/>
      <c r="J429" s="290" t="n"/>
      <c r="K429" s="347" t="n"/>
      <c r="L429" s="295" t="n"/>
      <c r="M429" s="348" t="n"/>
      <c r="N429" s="295" t="n"/>
      <c r="O429" s="293" t="n"/>
      <c r="P429" s="295" t="n"/>
      <c r="Q429" s="295" t="n"/>
      <c r="R429" s="290" t="n"/>
      <c r="S429" s="295" t="n"/>
      <c r="T429" s="295" t="n"/>
      <c r="U429" s="293" t="n"/>
      <c r="V429" s="295" t="n"/>
      <c r="W429" s="290" t="n"/>
      <c r="X429" s="295" t="n"/>
      <c r="Y429" s="295" t="n"/>
      <c r="Z429" s="295" t="n"/>
      <c r="AA429" s="295" t="n"/>
      <c r="AB429" s="293" t="n"/>
      <c r="AC429" s="295" t="n"/>
      <c r="AD429" s="295" t="n"/>
      <c r="AE429" s="294" t="n"/>
    </row>
    <row r="430">
      <c r="B430" s="279" t="n"/>
      <c r="C430" s="280" t="n"/>
      <c r="D430" s="295" t="n"/>
      <c r="E430" s="295" t="n"/>
      <c r="F430" s="295" t="n"/>
      <c r="G430" s="282" t="n"/>
      <c r="H430" s="295" t="n"/>
      <c r="I430" s="295" t="n"/>
      <c r="J430" s="282" t="n"/>
      <c r="K430" s="345" t="n"/>
      <c r="L430" s="295" t="n"/>
      <c r="M430" s="346" t="n"/>
      <c r="N430" s="295" t="n"/>
      <c r="O430" s="285" t="n"/>
      <c r="P430" s="295" t="n"/>
      <c r="Q430" s="295" t="n"/>
      <c r="R430" s="282" t="n"/>
      <c r="S430" s="295" t="n"/>
      <c r="T430" s="295" t="n"/>
      <c r="U430" s="285" t="n"/>
      <c r="V430" s="295" t="n"/>
      <c r="W430" s="282" t="n"/>
      <c r="X430" s="295" t="n"/>
      <c r="Y430" s="295" t="n"/>
      <c r="Z430" s="295" t="n"/>
      <c r="AA430" s="295" t="n"/>
      <c r="AB430" s="285" t="n"/>
      <c r="AC430" s="295" t="n"/>
      <c r="AD430" s="295" t="n"/>
      <c r="AE430" s="286" t="n"/>
    </row>
    <row r="431">
      <c r="B431" s="287" t="n"/>
      <c r="C431" s="288" t="n"/>
      <c r="D431" s="295" t="n"/>
      <c r="E431" s="295" t="n"/>
      <c r="F431" s="295" t="n"/>
      <c r="G431" s="290" t="n"/>
      <c r="H431" s="295" t="n"/>
      <c r="I431" s="295" t="n"/>
      <c r="J431" s="290" t="n"/>
      <c r="K431" s="347" t="n"/>
      <c r="L431" s="295" t="n"/>
      <c r="M431" s="348" t="n"/>
      <c r="N431" s="295" t="n"/>
      <c r="O431" s="293" t="n"/>
      <c r="P431" s="295" t="n"/>
      <c r="Q431" s="295" t="n"/>
      <c r="R431" s="290" t="n"/>
      <c r="S431" s="295" t="n"/>
      <c r="T431" s="295" t="n"/>
      <c r="U431" s="293" t="n"/>
      <c r="V431" s="295" t="n"/>
      <c r="W431" s="290" t="n"/>
      <c r="X431" s="295" t="n"/>
      <c r="Y431" s="295" t="n"/>
      <c r="Z431" s="295" t="n"/>
      <c r="AA431" s="295" t="n"/>
      <c r="AB431" s="293" t="n"/>
      <c r="AC431" s="295" t="n"/>
      <c r="AD431" s="295" t="n"/>
      <c r="AE431" s="294" t="n"/>
    </row>
    <row r="432">
      <c r="B432" s="279" t="n"/>
      <c r="C432" s="280" t="n"/>
      <c r="D432" s="295" t="n"/>
      <c r="E432" s="295" t="n"/>
      <c r="F432" s="295" t="n"/>
      <c r="G432" s="282" t="n"/>
      <c r="H432" s="295" t="n"/>
      <c r="I432" s="295" t="n"/>
      <c r="J432" s="282" t="n"/>
      <c r="K432" s="345" t="n"/>
      <c r="L432" s="295" t="n"/>
      <c r="M432" s="346" t="n"/>
      <c r="N432" s="295" t="n"/>
      <c r="O432" s="285" t="n"/>
      <c r="P432" s="295" t="n"/>
      <c r="Q432" s="295" t="n"/>
      <c r="R432" s="282" t="n"/>
      <c r="S432" s="295" t="n"/>
      <c r="T432" s="295" t="n"/>
      <c r="U432" s="285" t="n"/>
      <c r="V432" s="295" t="n"/>
      <c r="W432" s="282" t="n"/>
      <c r="X432" s="295" t="n"/>
      <c r="Y432" s="295" t="n"/>
      <c r="Z432" s="295" t="n"/>
      <c r="AA432" s="295" t="n"/>
      <c r="AB432" s="285" t="n"/>
      <c r="AC432" s="295" t="n"/>
      <c r="AD432" s="295" t="n"/>
      <c r="AE432" s="286" t="n"/>
    </row>
    <row r="433">
      <c r="B433" s="287" t="n"/>
      <c r="C433" s="288" t="n"/>
      <c r="D433" s="295" t="n"/>
      <c r="E433" s="295" t="n"/>
      <c r="F433" s="295" t="n"/>
      <c r="G433" s="290" t="n"/>
      <c r="H433" s="295" t="n"/>
      <c r="I433" s="295" t="n"/>
      <c r="J433" s="290" t="n"/>
      <c r="K433" s="347" t="n"/>
      <c r="L433" s="295" t="n"/>
      <c r="M433" s="348" t="n"/>
      <c r="N433" s="295" t="n"/>
      <c r="O433" s="293" t="n"/>
      <c r="P433" s="295" t="n"/>
      <c r="Q433" s="295" t="n"/>
      <c r="R433" s="290" t="n"/>
      <c r="S433" s="295" t="n"/>
      <c r="T433" s="295" t="n"/>
      <c r="U433" s="293" t="n"/>
      <c r="V433" s="295" t="n"/>
      <c r="W433" s="290" t="n"/>
      <c r="X433" s="295" t="n"/>
      <c r="Y433" s="295" t="n"/>
      <c r="Z433" s="295" t="n"/>
      <c r="AA433" s="295" t="n"/>
      <c r="AB433" s="293" t="n"/>
      <c r="AC433" s="295" t="n"/>
      <c r="AD433" s="295" t="n"/>
      <c r="AE433" s="294" t="n"/>
    </row>
    <row r="434">
      <c r="B434" s="279" t="n"/>
      <c r="C434" s="280" t="n"/>
      <c r="D434" s="295" t="n"/>
      <c r="E434" s="295" t="n"/>
      <c r="F434" s="295" t="n"/>
      <c r="G434" s="282" t="n"/>
      <c r="H434" s="295" t="n"/>
      <c r="I434" s="295" t="n"/>
      <c r="J434" s="282" t="n"/>
      <c r="K434" s="345" t="n"/>
      <c r="L434" s="295" t="n"/>
      <c r="M434" s="346" t="n"/>
      <c r="N434" s="295" t="n"/>
      <c r="O434" s="285" t="n"/>
      <c r="P434" s="295" t="n"/>
      <c r="Q434" s="295" t="n"/>
      <c r="R434" s="282" t="n"/>
      <c r="S434" s="295" t="n"/>
      <c r="T434" s="295" t="n"/>
      <c r="U434" s="285" t="n"/>
      <c r="V434" s="295" t="n"/>
      <c r="W434" s="282" t="n"/>
      <c r="X434" s="295" t="n"/>
      <c r="Y434" s="295" t="n"/>
      <c r="Z434" s="295" t="n"/>
      <c r="AA434" s="295" t="n"/>
      <c r="AB434" s="285" t="n"/>
      <c r="AC434" s="295" t="n"/>
      <c r="AD434" s="295" t="n"/>
      <c r="AE434" s="286" t="n"/>
    </row>
    <row r="435">
      <c r="B435" s="287" t="n"/>
      <c r="C435" s="288" t="n"/>
      <c r="D435" s="295" t="n"/>
      <c r="E435" s="295" t="n"/>
      <c r="F435" s="295" t="n"/>
      <c r="G435" s="290" t="n"/>
      <c r="H435" s="295" t="n"/>
      <c r="I435" s="295" t="n"/>
      <c r="J435" s="290" t="n"/>
      <c r="K435" s="347" t="n"/>
      <c r="L435" s="295" t="n"/>
      <c r="M435" s="348" t="n"/>
      <c r="N435" s="295" t="n"/>
      <c r="O435" s="293" t="n"/>
      <c r="P435" s="295" t="n"/>
      <c r="Q435" s="295" t="n"/>
      <c r="R435" s="290" t="n"/>
      <c r="S435" s="295" t="n"/>
      <c r="T435" s="295" t="n"/>
      <c r="U435" s="293" t="n"/>
      <c r="V435" s="295" t="n"/>
      <c r="W435" s="290" t="n"/>
      <c r="X435" s="295" t="n"/>
      <c r="Y435" s="295" t="n"/>
      <c r="Z435" s="295" t="n"/>
      <c r="AA435" s="295" t="n"/>
      <c r="AB435" s="293" t="n"/>
      <c r="AC435" s="295" t="n"/>
      <c r="AD435" s="295" t="n"/>
      <c r="AE435" s="294" t="n"/>
    </row>
    <row r="436">
      <c r="B436" s="279" t="n"/>
      <c r="C436" s="280" t="n"/>
      <c r="D436" s="295" t="n"/>
      <c r="E436" s="295" t="n"/>
      <c r="F436" s="295" t="n"/>
      <c r="G436" s="282" t="n"/>
      <c r="H436" s="295" t="n"/>
      <c r="I436" s="295" t="n"/>
      <c r="J436" s="282" t="n"/>
      <c r="K436" s="345" t="n"/>
      <c r="L436" s="295" t="n"/>
      <c r="M436" s="346" t="n"/>
      <c r="N436" s="295" t="n"/>
      <c r="O436" s="285" t="n"/>
      <c r="P436" s="295" t="n"/>
      <c r="Q436" s="295" t="n"/>
      <c r="R436" s="282" t="n"/>
      <c r="S436" s="295" t="n"/>
      <c r="T436" s="295" t="n"/>
      <c r="U436" s="285" t="n"/>
      <c r="V436" s="295" t="n"/>
      <c r="W436" s="282" t="n"/>
      <c r="X436" s="295" t="n"/>
      <c r="Y436" s="295" t="n"/>
      <c r="Z436" s="295" t="n"/>
      <c r="AA436" s="295" t="n"/>
      <c r="AB436" s="285" t="n"/>
      <c r="AC436" s="295" t="n"/>
      <c r="AD436" s="295" t="n"/>
      <c r="AE436" s="286" t="n"/>
    </row>
    <row r="437">
      <c r="B437" s="287" t="n"/>
      <c r="C437" s="288" t="n"/>
      <c r="D437" s="295" t="n"/>
      <c r="E437" s="295" t="n"/>
      <c r="F437" s="295" t="n"/>
      <c r="G437" s="290" t="n"/>
      <c r="H437" s="295" t="n"/>
      <c r="I437" s="295" t="n"/>
      <c r="J437" s="290" t="n"/>
      <c r="K437" s="347" t="n"/>
      <c r="L437" s="295" t="n"/>
      <c r="M437" s="348" t="n"/>
      <c r="N437" s="295" t="n"/>
      <c r="O437" s="293" t="n"/>
      <c r="P437" s="295" t="n"/>
      <c r="Q437" s="295" t="n"/>
      <c r="R437" s="290" t="n"/>
      <c r="S437" s="295" t="n"/>
      <c r="T437" s="295" t="n"/>
      <c r="U437" s="293" t="n"/>
      <c r="V437" s="295" t="n"/>
      <c r="W437" s="290" t="n"/>
      <c r="X437" s="295" t="n"/>
      <c r="Y437" s="295" t="n"/>
      <c r="Z437" s="295" t="n"/>
      <c r="AA437" s="295" t="n"/>
      <c r="AB437" s="293" t="n"/>
      <c r="AC437" s="295" t="n"/>
      <c r="AD437" s="295" t="n"/>
      <c r="AE437" s="294" t="n"/>
    </row>
    <row r="438">
      <c r="B438" s="279" t="n"/>
      <c r="C438" s="280" t="n"/>
      <c r="D438" s="295" t="n"/>
      <c r="E438" s="295" t="n"/>
      <c r="F438" s="295" t="n"/>
      <c r="G438" s="282" t="n"/>
      <c r="H438" s="295" t="n"/>
      <c r="I438" s="295" t="n"/>
      <c r="J438" s="282" t="n"/>
      <c r="K438" s="345" t="n"/>
      <c r="L438" s="295" t="n"/>
      <c r="M438" s="346" t="n"/>
      <c r="N438" s="295" t="n"/>
      <c r="O438" s="285" t="n"/>
      <c r="P438" s="295" t="n"/>
      <c r="Q438" s="295" t="n"/>
      <c r="R438" s="282" t="n"/>
      <c r="S438" s="295" t="n"/>
      <c r="T438" s="295" t="n"/>
      <c r="U438" s="285" t="n"/>
      <c r="V438" s="295" t="n"/>
      <c r="W438" s="282" t="n"/>
      <c r="X438" s="295" t="n"/>
      <c r="Y438" s="295" t="n"/>
      <c r="Z438" s="295" t="n"/>
      <c r="AA438" s="295" t="n"/>
      <c r="AB438" s="285" t="n"/>
      <c r="AC438" s="295" t="n"/>
      <c r="AD438" s="295" t="n"/>
      <c r="AE438" s="286" t="n"/>
    </row>
    <row r="439">
      <c r="B439" s="287" t="n"/>
      <c r="C439" s="288" t="n"/>
      <c r="D439" s="295" t="n"/>
      <c r="E439" s="295" t="n"/>
      <c r="F439" s="295" t="n"/>
      <c r="G439" s="290" t="n"/>
      <c r="H439" s="295" t="n"/>
      <c r="I439" s="295" t="n"/>
      <c r="J439" s="290" t="n"/>
      <c r="K439" s="347" t="n"/>
      <c r="L439" s="295" t="n"/>
      <c r="M439" s="348" t="n"/>
      <c r="N439" s="295" t="n"/>
      <c r="O439" s="293" t="n"/>
      <c r="P439" s="295" t="n"/>
      <c r="Q439" s="295" t="n"/>
      <c r="R439" s="290" t="n"/>
      <c r="S439" s="295" t="n"/>
      <c r="T439" s="295" t="n"/>
      <c r="U439" s="293" t="n"/>
      <c r="V439" s="295" t="n"/>
      <c r="W439" s="290" t="n"/>
      <c r="X439" s="295" t="n"/>
      <c r="Y439" s="295" t="n"/>
      <c r="Z439" s="295" t="n"/>
      <c r="AA439" s="295" t="n"/>
      <c r="AB439" s="293" t="n"/>
      <c r="AC439" s="295" t="n"/>
      <c r="AD439" s="295" t="n"/>
      <c r="AE439" s="294" t="n"/>
    </row>
    <row r="440">
      <c r="B440" s="279" t="n"/>
      <c r="C440" s="280" t="n"/>
      <c r="D440" s="295" t="n"/>
      <c r="E440" s="295" t="n"/>
      <c r="F440" s="295" t="n"/>
      <c r="G440" s="282" t="n"/>
      <c r="H440" s="295" t="n"/>
      <c r="I440" s="295" t="n"/>
      <c r="J440" s="282" t="n"/>
      <c r="K440" s="345" t="n"/>
      <c r="L440" s="295" t="n"/>
      <c r="M440" s="346" t="n"/>
      <c r="N440" s="295" t="n"/>
      <c r="O440" s="285" t="n"/>
      <c r="P440" s="295" t="n"/>
      <c r="Q440" s="295" t="n"/>
      <c r="R440" s="282" t="n"/>
      <c r="S440" s="295" t="n"/>
      <c r="T440" s="295" t="n"/>
      <c r="U440" s="285" t="n"/>
      <c r="V440" s="295" t="n"/>
      <c r="W440" s="282" t="n"/>
      <c r="X440" s="295" t="n"/>
      <c r="Y440" s="295" t="n"/>
      <c r="Z440" s="295" t="n"/>
      <c r="AA440" s="295" t="n"/>
      <c r="AB440" s="285" t="n"/>
      <c r="AC440" s="295" t="n"/>
      <c r="AD440" s="295" t="n"/>
      <c r="AE440" s="286" t="n"/>
    </row>
    <row r="441">
      <c r="B441" s="287" t="n"/>
      <c r="C441" s="288" t="n"/>
      <c r="D441" s="295" t="n"/>
      <c r="E441" s="295" t="n"/>
      <c r="F441" s="295" t="n"/>
      <c r="G441" s="290" t="n"/>
      <c r="H441" s="295" t="n"/>
      <c r="I441" s="295" t="n"/>
      <c r="J441" s="290" t="n"/>
      <c r="K441" s="347" t="n"/>
      <c r="L441" s="295" t="n"/>
      <c r="M441" s="348" t="n"/>
      <c r="N441" s="295" t="n"/>
      <c r="O441" s="293" t="n"/>
      <c r="P441" s="295" t="n"/>
      <c r="Q441" s="295" t="n"/>
      <c r="R441" s="290" t="n"/>
      <c r="S441" s="295" t="n"/>
      <c r="T441" s="295" t="n"/>
      <c r="U441" s="293" t="n"/>
      <c r="V441" s="295" t="n"/>
      <c r="W441" s="290" t="n"/>
      <c r="X441" s="295" t="n"/>
      <c r="Y441" s="295" t="n"/>
      <c r="Z441" s="295" t="n"/>
      <c r="AA441" s="295" t="n"/>
      <c r="AB441" s="293" t="n"/>
      <c r="AC441" s="295" t="n"/>
      <c r="AD441" s="295" t="n"/>
      <c r="AE441" s="294" t="n"/>
    </row>
    <row r="442">
      <c r="B442" s="279" t="n"/>
      <c r="C442" s="280" t="n"/>
      <c r="D442" s="295" t="n"/>
      <c r="E442" s="295" t="n"/>
      <c r="F442" s="295" t="n"/>
      <c r="G442" s="282" t="n"/>
      <c r="H442" s="295" t="n"/>
      <c r="I442" s="295" t="n"/>
      <c r="J442" s="282" t="n"/>
      <c r="K442" s="345" t="n"/>
      <c r="L442" s="295" t="n"/>
      <c r="M442" s="346" t="n"/>
      <c r="N442" s="295" t="n"/>
      <c r="O442" s="285" t="n"/>
      <c r="P442" s="295" t="n"/>
      <c r="Q442" s="295" t="n"/>
      <c r="R442" s="282" t="n"/>
      <c r="S442" s="295" t="n"/>
      <c r="T442" s="295" t="n"/>
      <c r="U442" s="285" t="n"/>
      <c r="V442" s="295" t="n"/>
      <c r="W442" s="282" t="n"/>
      <c r="X442" s="295" t="n"/>
      <c r="Y442" s="295" t="n"/>
      <c r="Z442" s="295" t="n"/>
      <c r="AA442" s="295" t="n"/>
      <c r="AB442" s="285" t="n"/>
      <c r="AC442" s="295" t="n"/>
      <c r="AD442" s="295" t="n"/>
      <c r="AE442" s="286" t="n"/>
    </row>
    <row r="443">
      <c r="B443" s="287" t="n"/>
      <c r="C443" s="288" t="n"/>
      <c r="D443" s="295" t="n"/>
      <c r="E443" s="295" t="n"/>
      <c r="F443" s="295" t="n"/>
      <c r="G443" s="290" t="n"/>
      <c r="H443" s="295" t="n"/>
      <c r="I443" s="295" t="n"/>
      <c r="J443" s="290" t="n"/>
      <c r="K443" s="347" t="n"/>
      <c r="L443" s="295" t="n"/>
      <c r="M443" s="348" t="n"/>
      <c r="N443" s="295" t="n"/>
      <c r="O443" s="293" t="n"/>
      <c r="P443" s="295" t="n"/>
      <c r="Q443" s="295" t="n"/>
      <c r="R443" s="290" t="n"/>
      <c r="S443" s="295" t="n"/>
      <c r="T443" s="295" t="n"/>
      <c r="U443" s="293" t="n"/>
      <c r="V443" s="295" t="n"/>
      <c r="W443" s="290" t="n"/>
      <c r="X443" s="295" t="n"/>
      <c r="Y443" s="295" t="n"/>
      <c r="Z443" s="295" t="n"/>
      <c r="AA443" s="295" t="n"/>
      <c r="AB443" s="293" t="n"/>
      <c r="AC443" s="295" t="n"/>
      <c r="AD443" s="295" t="n"/>
      <c r="AE443" s="294" t="n"/>
    </row>
    <row r="444">
      <c r="B444" s="279" t="n"/>
      <c r="C444" s="280" t="n"/>
      <c r="D444" s="295" t="n"/>
      <c r="E444" s="295" t="n"/>
      <c r="F444" s="295" t="n"/>
      <c r="G444" s="282" t="n"/>
      <c r="H444" s="295" t="n"/>
      <c r="I444" s="295" t="n"/>
      <c r="J444" s="282" t="n"/>
      <c r="K444" s="345" t="n"/>
      <c r="L444" s="295" t="n"/>
      <c r="M444" s="346" t="n"/>
      <c r="N444" s="295" t="n"/>
      <c r="O444" s="285" t="n"/>
      <c r="P444" s="295" t="n"/>
      <c r="Q444" s="295" t="n"/>
      <c r="R444" s="282" t="n"/>
      <c r="S444" s="295" t="n"/>
      <c r="T444" s="295" t="n"/>
      <c r="U444" s="285" t="n"/>
      <c r="V444" s="295" t="n"/>
      <c r="W444" s="282" t="n"/>
      <c r="X444" s="295" t="n"/>
      <c r="Y444" s="295" t="n"/>
      <c r="Z444" s="295" t="n"/>
      <c r="AA444" s="295" t="n"/>
      <c r="AB444" s="285" t="n"/>
      <c r="AC444" s="295" t="n"/>
      <c r="AD444" s="295" t="n"/>
      <c r="AE444" s="286" t="n"/>
    </row>
    <row r="445">
      <c r="B445" s="279" t="n"/>
      <c r="C445" s="280" t="n"/>
      <c r="D445" s="295" t="n"/>
      <c r="E445" s="295" t="n"/>
      <c r="F445" s="295" t="n"/>
      <c r="G445" s="282" t="n"/>
      <c r="H445" s="295" t="n"/>
      <c r="I445" s="295" t="n"/>
      <c r="J445" s="282" t="n"/>
      <c r="K445" s="345" t="n"/>
      <c r="L445" s="295" t="n"/>
      <c r="M445" s="346" t="n"/>
      <c r="N445" s="295" t="n"/>
      <c r="O445" s="285" t="n"/>
      <c r="P445" s="295" t="n"/>
      <c r="Q445" s="295" t="n"/>
      <c r="R445" s="282" t="n"/>
      <c r="S445" s="295" t="n"/>
      <c r="T445" s="295" t="n"/>
      <c r="U445" s="285" t="n"/>
      <c r="V445" s="295" t="n"/>
      <c r="W445" s="282" t="n"/>
      <c r="X445" s="295" t="n"/>
      <c r="Y445" s="295" t="n"/>
      <c r="Z445" s="295" t="n"/>
      <c r="AA445" s="295" t="n"/>
      <c r="AB445" s="285" t="n"/>
      <c r="AC445" s="295" t="n"/>
      <c r="AD445" s="295" t="n"/>
      <c r="AE445" s="286" t="n"/>
    </row>
    <row r="446">
      <c r="B446" s="287" t="n"/>
      <c r="C446" s="288" t="n"/>
      <c r="D446" s="295" t="n"/>
      <c r="E446" s="295" t="n"/>
      <c r="F446" s="295" t="n"/>
      <c r="G446" s="290" t="n"/>
      <c r="H446" s="295" t="n"/>
      <c r="I446" s="295" t="n"/>
      <c r="J446" s="290" t="n"/>
      <c r="K446" s="347" t="n"/>
      <c r="L446" s="295" t="n"/>
      <c r="M446" s="348" t="n"/>
      <c r="N446" s="295" t="n"/>
      <c r="O446" s="293" t="n"/>
      <c r="P446" s="295" t="n"/>
      <c r="Q446" s="295" t="n"/>
      <c r="R446" s="290" t="n"/>
      <c r="S446" s="295" t="n"/>
      <c r="T446" s="295" t="n"/>
      <c r="U446" s="293" t="n"/>
      <c r="V446" s="295" t="n"/>
      <c r="W446" s="290" t="n"/>
      <c r="X446" s="295" t="n"/>
      <c r="Y446" s="295" t="n"/>
      <c r="Z446" s="295" t="n"/>
      <c r="AA446" s="295" t="n"/>
      <c r="AB446" s="293" t="n"/>
      <c r="AC446" s="295" t="n"/>
      <c r="AD446" s="295" t="n"/>
      <c r="AE446" s="294" t="n"/>
    </row>
    <row r="447">
      <c r="B447" s="279" t="n"/>
      <c r="C447" s="280" t="n"/>
      <c r="D447" s="295" t="n"/>
      <c r="E447" s="295" t="n"/>
      <c r="F447" s="295" t="n"/>
      <c r="G447" s="282" t="n"/>
      <c r="H447" s="295" t="n"/>
      <c r="I447" s="295" t="n"/>
      <c r="J447" s="282" t="n"/>
      <c r="K447" s="345" t="n"/>
      <c r="L447" s="295" t="n"/>
      <c r="M447" s="346" t="n"/>
      <c r="N447" s="295" t="n"/>
      <c r="O447" s="285" t="n"/>
      <c r="P447" s="295" t="n"/>
      <c r="Q447" s="295" t="n"/>
      <c r="R447" s="282" t="n"/>
      <c r="S447" s="295" t="n"/>
      <c r="T447" s="295" t="n"/>
      <c r="U447" s="285" t="n"/>
      <c r="V447" s="295" t="n"/>
      <c r="W447" s="282" t="n"/>
      <c r="X447" s="295" t="n"/>
      <c r="Y447" s="295" t="n"/>
      <c r="Z447" s="295" t="n"/>
      <c r="AA447" s="295" t="n"/>
      <c r="AB447" s="285" t="n"/>
      <c r="AC447" s="295" t="n"/>
      <c r="AD447" s="295" t="n"/>
      <c r="AE447" s="286" t="n"/>
    </row>
    <row r="448">
      <c r="B448" s="287" t="n"/>
      <c r="C448" s="288" t="n"/>
      <c r="D448" s="295" t="n"/>
      <c r="E448" s="295" t="n"/>
      <c r="F448" s="295" t="n"/>
      <c r="G448" s="290" t="n"/>
      <c r="H448" s="295" t="n"/>
      <c r="I448" s="295" t="n"/>
      <c r="J448" s="290" t="n"/>
      <c r="K448" s="347" t="n"/>
      <c r="L448" s="295" t="n"/>
      <c r="M448" s="348" t="n"/>
      <c r="N448" s="295" t="n"/>
      <c r="O448" s="293" t="n"/>
      <c r="P448" s="295" t="n"/>
      <c r="Q448" s="295" t="n"/>
      <c r="R448" s="290" t="n"/>
      <c r="S448" s="295" t="n"/>
      <c r="T448" s="295" t="n"/>
      <c r="U448" s="293" t="n"/>
      <c r="V448" s="295" t="n"/>
      <c r="W448" s="290" t="n"/>
      <c r="X448" s="295" t="n"/>
      <c r="Y448" s="295" t="n"/>
      <c r="Z448" s="295" t="n"/>
      <c r="AA448" s="295" t="n"/>
      <c r="AB448" s="293" t="n"/>
      <c r="AC448" s="295" t="n"/>
      <c r="AD448" s="295" t="n"/>
      <c r="AE448" s="294" t="n"/>
    </row>
    <row r="449">
      <c r="B449" s="279" t="n"/>
      <c r="C449" s="280" t="n"/>
      <c r="D449" s="295" t="n"/>
      <c r="E449" s="295" t="n"/>
      <c r="F449" s="295" t="n"/>
      <c r="G449" s="282" t="n"/>
      <c r="H449" s="295" t="n"/>
      <c r="I449" s="295" t="n"/>
      <c r="J449" s="282" t="n"/>
      <c r="K449" s="345" t="n"/>
      <c r="L449" s="295" t="n"/>
      <c r="M449" s="346" t="n"/>
      <c r="N449" s="295" t="n"/>
      <c r="O449" s="285" t="n"/>
      <c r="P449" s="295" t="n"/>
      <c r="Q449" s="295" t="n"/>
      <c r="R449" s="282" t="n"/>
      <c r="S449" s="295" t="n"/>
      <c r="T449" s="295" t="n"/>
      <c r="U449" s="285" t="n"/>
      <c r="V449" s="295" t="n"/>
      <c r="W449" s="282" t="n"/>
      <c r="X449" s="295" t="n"/>
      <c r="Y449" s="295" t="n"/>
      <c r="Z449" s="295" t="n"/>
      <c r="AA449" s="295" t="n"/>
      <c r="AB449" s="285" t="n"/>
      <c r="AC449" s="295" t="n"/>
      <c r="AD449" s="295" t="n"/>
      <c r="AE449" s="286" t="n"/>
    </row>
    <row r="450">
      <c r="B450" s="287" t="n"/>
      <c r="C450" s="288" t="n"/>
      <c r="D450" s="295" t="n"/>
      <c r="E450" s="295" t="n"/>
      <c r="F450" s="295" t="n"/>
      <c r="G450" s="290" t="n"/>
      <c r="H450" s="295" t="n"/>
      <c r="I450" s="295" t="n"/>
      <c r="J450" s="290" t="n"/>
      <c r="K450" s="347" t="n"/>
      <c r="L450" s="295" t="n"/>
      <c r="M450" s="348" t="n"/>
      <c r="N450" s="295" t="n"/>
      <c r="O450" s="293" t="n"/>
      <c r="P450" s="295" t="n"/>
      <c r="Q450" s="295" t="n"/>
      <c r="R450" s="290" t="n"/>
      <c r="S450" s="295" t="n"/>
      <c r="T450" s="295" t="n"/>
      <c r="U450" s="293" t="n"/>
      <c r="V450" s="295" t="n"/>
      <c r="W450" s="290" t="n"/>
      <c r="X450" s="295" t="n"/>
      <c r="Y450" s="295" t="n"/>
      <c r="Z450" s="295" t="n"/>
      <c r="AA450" s="295" t="n"/>
      <c r="AB450" s="293" t="n"/>
      <c r="AC450" s="295" t="n"/>
      <c r="AD450" s="295" t="n"/>
      <c r="AE450" s="294" t="n"/>
    </row>
    <row r="451">
      <c r="B451" s="279" t="n"/>
      <c r="C451" s="280" t="n"/>
      <c r="D451" s="295" t="n"/>
      <c r="E451" s="295" t="n"/>
      <c r="F451" s="295" t="n"/>
      <c r="G451" s="282" t="n"/>
      <c r="H451" s="295" t="n"/>
      <c r="I451" s="295" t="n"/>
      <c r="J451" s="282" t="n"/>
      <c r="K451" s="345" t="n"/>
      <c r="L451" s="295" t="n"/>
      <c r="M451" s="346" t="n"/>
      <c r="N451" s="295" t="n"/>
      <c r="O451" s="285" t="n"/>
      <c r="P451" s="295" t="n"/>
      <c r="Q451" s="295" t="n"/>
      <c r="R451" s="282" t="n"/>
      <c r="S451" s="295" t="n"/>
      <c r="T451" s="295" t="n"/>
      <c r="U451" s="285" t="n"/>
      <c r="V451" s="295" t="n"/>
      <c r="W451" s="282" t="n"/>
      <c r="X451" s="295" t="n"/>
      <c r="Y451" s="295" t="n"/>
      <c r="Z451" s="295" t="n"/>
      <c r="AA451" s="295" t="n"/>
      <c r="AB451" s="285" t="n"/>
      <c r="AC451" s="295" t="n"/>
      <c r="AD451" s="295" t="n"/>
      <c r="AE451" s="286" t="n"/>
    </row>
    <row r="452">
      <c r="B452" s="287" t="n"/>
      <c r="C452" s="288" t="n"/>
      <c r="D452" s="295" t="n"/>
      <c r="E452" s="295" t="n"/>
      <c r="F452" s="295" t="n"/>
      <c r="G452" s="290" t="n"/>
      <c r="H452" s="295" t="n"/>
      <c r="I452" s="295" t="n"/>
      <c r="J452" s="290" t="n"/>
      <c r="K452" s="347" t="n"/>
      <c r="L452" s="295" t="n"/>
      <c r="M452" s="348" t="n"/>
      <c r="N452" s="295" t="n"/>
      <c r="O452" s="293" t="n"/>
      <c r="P452" s="295" t="n"/>
      <c r="Q452" s="295" t="n"/>
      <c r="R452" s="290" t="n"/>
      <c r="S452" s="295" t="n"/>
      <c r="T452" s="295" t="n"/>
      <c r="U452" s="293" t="n"/>
      <c r="V452" s="295" t="n"/>
      <c r="W452" s="290" t="n"/>
      <c r="X452" s="295" t="n"/>
      <c r="Y452" s="295" t="n"/>
      <c r="Z452" s="295" t="n"/>
      <c r="AA452" s="295" t="n"/>
      <c r="AB452" s="293" t="n"/>
      <c r="AC452" s="295" t="n"/>
      <c r="AD452" s="295" t="n"/>
      <c r="AE452" s="294" t="n"/>
    </row>
    <row r="453">
      <c r="B453" s="279" t="n"/>
      <c r="C453" s="280" t="n"/>
      <c r="D453" s="295" t="n"/>
      <c r="E453" s="295" t="n"/>
      <c r="F453" s="295" t="n"/>
      <c r="G453" s="282" t="n"/>
      <c r="H453" s="295" t="n"/>
      <c r="I453" s="295" t="n"/>
      <c r="J453" s="282" t="n"/>
      <c r="K453" s="345" t="n"/>
      <c r="L453" s="295" t="n"/>
      <c r="M453" s="346" t="n"/>
      <c r="N453" s="295" t="n"/>
      <c r="O453" s="285" t="n"/>
      <c r="P453" s="295" t="n"/>
      <c r="Q453" s="295" t="n"/>
      <c r="R453" s="282" t="n"/>
      <c r="S453" s="295" t="n"/>
      <c r="T453" s="295" t="n"/>
      <c r="U453" s="285" t="n"/>
      <c r="V453" s="295" t="n"/>
      <c r="W453" s="282" t="n"/>
      <c r="X453" s="295" t="n"/>
      <c r="Y453" s="295" t="n"/>
      <c r="Z453" s="295" t="n"/>
      <c r="AA453" s="295" t="n"/>
      <c r="AB453" s="285" t="n"/>
      <c r="AC453" s="295" t="n"/>
      <c r="AD453" s="295" t="n"/>
      <c r="AE453" s="286" t="n"/>
    </row>
    <row r="454">
      <c r="B454" s="287" t="n"/>
      <c r="C454" s="288" t="n"/>
      <c r="D454" s="295" t="n"/>
      <c r="E454" s="295" t="n"/>
      <c r="F454" s="295" t="n"/>
      <c r="G454" s="290" t="n"/>
      <c r="H454" s="295" t="n"/>
      <c r="I454" s="295" t="n"/>
      <c r="J454" s="290" t="n"/>
      <c r="K454" s="347" t="n"/>
      <c r="L454" s="295" t="n"/>
      <c r="M454" s="348" t="n"/>
      <c r="N454" s="295" t="n"/>
      <c r="O454" s="293" t="n"/>
      <c r="P454" s="295" t="n"/>
      <c r="Q454" s="295" t="n"/>
      <c r="R454" s="290" t="n"/>
      <c r="S454" s="295" t="n"/>
      <c r="T454" s="295" t="n"/>
      <c r="U454" s="293" t="n"/>
      <c r="V454" s="295" t="n"/>
      <c r="W454" s="290" t="n"/>
      <c r="X454" s="295" t="n"/>
      <c r="Y454" s="295" t="n"/>
      <c r="Z454" s="295" t="n"/>
      <c r="AA454" s="295" t="n"/>
      <c r="AB454" s="293" t="n"/>
      <c r="AC454" s="295" t="n"/>
      <c r="AD454" s="295" t="n"/>
      <c r="AE454" s="294" t="n"/>
    </row>
    <row r="455">
      <c r="B455" s="279" t="n"/>
      <c r="C455" s="280" t="n"/>
      <c r="D455" s="295" t="n"/>
      <c r="E455" s="295" t="n"/>
      <c r="F455" s="295" t="n"/>
      <c r="G455" s="282" t="n"/>
      <c r="H455" s="295" t="n"/>
      <c r="I455" s="295" t="n"/>
      <c r="J455" s="282" t="n"/>
      <c r="K455" s="345" t="n"/>
      <c r="L455" s="295" t="n"/>
      <c r="M455" s="346" t="n"/>
      <c r="N455" s="295" t="n"/>
      <c r="O455" s="285" t="n"/>
      <c r="P455" s="295" t="n"/>
      <c r="Q455" s="295" t="n"/>
      <c r="R455" s="282" t="n"/>
      <c r="S455" s="295" t="n"/>
      <c r="T455" s="295" t="n"/>
      <c r="U455" s="285" t="n"/>
      <c r="V455" s="295" t="n"/>
      <c r="W455" s="282" t="n"/>
      <c r="X455" s="295" t="n"/>
      <c r="Y455" s="295" t="n"/>
      <c r="Z455" s="295" t="n"/>
      <c r="AA455" s="295" t="n"/>
      <c r="AB455" s="285" t="n"/>
      <c r="AC455" s="295" t="n"/>
      <c r="AD455" s="295" t="n"/>
      <c r="AE455" s="286" t="n"/>
    </row>
    <row r="456">
      <c r="B456" s="152" t="n"/>
      <c r="C456" s="153" t="n"/>
      <c r="G456" s="155" t="n"/>
      <c r="J456" s="155" t="n"/>
      <c r="K456" s="349" t="n"/>
      <c r="M456" s="350" t="n"/>
      <c r="O456" s="158" t="n"/>
      <c r="R456" s="155" t="n"/>
      <c r="U456" s="158" t="n"/>
      <c r="W456" s="155" t="n"/>
      <c r="AB456" s="158" t="n"/>
      <c r="AE456" s="159" t="n"/>
    </row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71"/>
  <mergeCells count="1765">
    <mergeCell ref="U420:V420"/>
    <mergeCell ref="R415:T415"/>
    <mergeCell ref="G288:I288"/>
    <mergeCell ref="W367:AA367"/>
    <mergeCell ref="G323:I323"/>
    <mergeCell ref="G298:I298"/>
    <mergeCell ref="U291:V291"/>
    <mergeCell ref="W359:AA359"/>
    <mergeCell ref="G412:I412"/>
    <mergeCell ref="W369:AA369"/>
    <mergeCell ref="R440:T440"/>
    <mergeCell ref="K302:L302"/>
    <mergeCell ref="P158:Q158"/>
    <mergeCell ref="M358:N358"/>
    <mergeCell ref="U293:V293"/>
    <mergeCell ref="U415:V415"/>
    <mergeCell ref="R439:T439"/>
    <mergeCell ref="G443:I443"/>
    <mergeCell ref="U292:V292"/>
    <mergeCell ref="AB430:AD430"/>
    <mergeCell ref="M366:N366"/>
    <mergeCell ref="M360:N360"/>
    <mergeCell ref="R441:T441"/>
    <mergeCell ref="C368:F368"/>
    <mergeCell ref="R435:T435"/>
    <mergeCell ref="U317:V317"/>
    <mergeCell ref="R312:T312"/>
    <mergeCell ref="M361:N361"/>
    <mergeCell ref="C364:F364"/>
    <mergeCell ref="O425:Q425"/>
    <mergeCell ref="K328:L328"/>
    <mergeCell ref="U319:V319"/>
    <mergeCell ref="U318:V318"/>
    <mergeCell ref="W405:AA405"/>
    <mergeCell ref="M392:N392"/>
    <mergeCell ref="U312:V312"/>
    <mergeCell ref="M386:N386"/>
    <mergeCell ref="D219:F219"/>
    <mergeCell ref="W293:AA293"/>
    <mergeCell ref="U320:V320"/>
    <mergeCell ref="W407:AA407"/>
    <mergeCell ref="M394:N394"/>
    <mergeCell ref="U314:V314"/>
    <mergeCell ref="G367:I367"/>
    <mergeCell ref="M387:N387"/>
    <mergeCell ref="W438:AA438"/>
    <mergeCell ref="R365:T365"/>
    <mergeCell ref="O295:Q295"/>
    <mergeCell ref="G369:I369"/>
    <mergeCell ref="R454:T454"/>
    <mergeCell ref="C419:F419"/>
    <mergeCell ref="AB355:AD355"/>
    <mergeCell ref="G368:I368"/>
    <mergeCell ref="W439:AA439"/>
    <mergeCell ref="W433:AA433"/>
    <mergeCell ref="K341:L341"/>
    <mergeCell ref="G364:I364"/>
    <mergeCell ref="M316:N316"/>
    <mergeCell ref="U373:V373"/>
    <mergeCell ref="W435:AA435"/>
    <mergeCell ref="M405:N405"/>
    <mergeCell ref="AB356:AD356"/>
    <mergeCell ref="R376:T376"/>
    <mergeCell ref="U389:V389"/>
    <mergeCell ref="R378:T378"/>
    <mergeCell ref="O341:Q341"/>
    <mergeCell ref="M157:Q157"/>
    <mergeCell ref="U384:V384"/>
    <mergeCell ref="G408:I408"/>
    <mergeCell ref="W365:AA365"/>
    <mergeCell ref="C279:F279"/>
    <mergeCell ref="K273:L273"/>
    <mergeCell ref="U386:V386"/>
    <mergeCell ref="G410:I410"/>
    <mergeCell ref="C281:F281"/>
    <mergeCell ref="G439:I439"/>
    <mergeCell ref="F192:I192"/>
    <mergeCell ref="M331:N331"/>
    <mergeCell ref="L50:M50"/>
    <mergeCell ref="L25:M25"/>
    <mergeCell ref="O395:Q395"/>
    <mergeCell ref="R437:T437"/>
    <mergeCell ref="O367:Q367"/>
    <mergeCell ref="AB428:AD428"/>
    <mergeCell ref="G441:I441"/>
    <mergeCell ref="G435:I435"/>
    <mergeCell ref="L52:M52"/>
    <mergeCell ref="G312:I312"/>
    <mergeCell ref="G434:I434"/>
    <mergeCell ref="O396:Q396"/>
    <mergeCell ref="O390:Q390"/>
    <mergeCell ref="K413:L413"/>
    <mergeCell ref="AB423:AD423"/>
    <mergeCell ref="G436:I436"/>
    <mergeCell ref="U404:V404"/>
    <mergeCell ref="O398:Q398"/>
    <mergeCell ref="W376:AA376"/>
    <mergeCell ref="H256:I256"/>
    <mergeCell ref="K415:L415"/>
    <mergeCell ref="U397:V397"/>
    <mergeCell ref="U316:V316"/>
    <mergeCell ref="W378:AA378"/>
    <mergeCell ref="U310:V310"/>
    <mergeCell ref="K286:L286"/>
    <mergeCell ref="AB297:AD297"/>
    <mergeCell ref="AB299:AD299"/>
    <mergeCell ref="K410:L410"/>
    <mergeCell ref="O414:Q414"/>
    <mergeCell ref="O291:Q291"/>
    <mergeCell ref="R450:T450"/>
    <mergeCell ref="AB292:AD292"/>
    <mergeCell ref="G454:I454"/>
    <mergeCell ref="O293:Q293"/>
    <mergeCell ref="R452:T452"/>
    <mergeCell ref="AB294:AD294"/>
    <mergeCell ref="O409:Q409"/>
    <mergeCell ref="K337:L337"/>
    <mergeCell ref="K312:L312"/>
    <mergeCell ref="AB404:AD404"/>
    <mergeCell ref="H267:I267"/>
    <mergeCell ref="G449:I449"/>
    <mergeCell ref="K339:L339"/>
    <mergeCell ref="K314:L314"/>
    <mergeCell ref="M401:N401"/>
    <mergeCell ref="M395:N395"/>
    <mergeCell ref="U452:V452"/>
    <mergeCell ref="L2:M2"/>
    <mergeCell ref="C380:F380"/>
    <mergeCell ref="U329:V329"/>
    <mergeCell ref="M403:N403"/>
    <mergeCell ref="W432:AA432"/>
    <mergeCell ref="L3:M3"/>
    <mergeCell ref="C434:F434"/>
    <mergeCell ref="M398:N398"/>
    <mergeCell ref="L5:M5"/>
    <mergeCell ref="U380:V380"/>
    <mergeCell ref="M423:N423"/>
    <mergeCell ref="K350:L350"/>
    <mergeCell ref="W450:AA450"/>
    <mergeCell ref="U382:V382"/>
    <mergeCell ref="U357:V357"/>
    <mergeCell ref="M431:N431"/>
    <mergeCell ref="K352:L352"/>
    <mergeCell ref="M414:N414"/>
    <mergeCell ref="C277:F277"/>
    <mergeCell ref="M424:N424"/>
    <mergeCell ref="L21:M21"/>
    <mergeCell ref="C276:F276"/>
    <mergeCell ref="M416:N416"/>
    <mergeCell ref="C278:F278"/>
    <mergeCell ref="K376:L376"/>
    <mergeCell ref="O392:Q392"/>
    <mergeCell ref="L16:M16"/>
    <mergeCell ref="K384:L384"/>
    <mergeCell ref="K378:L378"/>
    <mergeCell ref="O394:Q394"/>
    <mergeCell ref="U393:V393"/>
    <mergeCell ref="M442:N442"/>
    <mergeCell ref="C288:F288"/>
    <mergeCell ref="K379:L379"/>
    <mergeCell ref="U395:V395"/>
    <mergeCell ref="R273:T273"/>
    <mergeCell ref="K406:L406"/>
    <mergeCell ref="G277:I277"/>
    <mergeCell ref="I33:J33"/>
    <mergeCell ref="U426:V426"/>
    <mergeCell ref="O376:Q376"/>
    <mergeCell ref="L44:M44"/>
    <mergeCell ref="K437:L437"/>
    <mergeCell ref="C291:F291"/>
    <mergeCell ref="M284:N284"/>
    <mergeCell ref="AB290:AD290"/>
    <mergeCell ref="O378:Q378"/>
    <mergeCell ref="O405:Q405"/>
    <mergeCell ref="U421:V421"/>
    <mergeCell ref="G445:I445"/>
    <mergeCell ref="C347:F347"/>
    <mergeCell ref="O407:Q407"/>
    <mergeCell ref="K310:L310"/>
    <mergeCell ref="K432:L432"/>
    <mergeCell ref="U423:V423"/>
    <mergeCell ref="K424:L424"/>
    <mergeCell ref="C342:F342"/>
    <mergeCell ref="R292:T292"/>
    <mergeCell ref="C344:F344"/>
    <mergeCell ref="O433:Q433"/>
    <mergeCell ref="K450:L450"/>
    <mergeCell ref="O435:Q435"/>
    <mergeCell ref="W273:AA273"/>
    <mergeCell ref="K452:L452"/>
    <mergeCell ref="AB334:AD334"/>
    <mergeCell ref="G347:I347"/>
    <mergeCell ref="AB336:AD336"/>
    <mergeCell ref="AB329:AD329"/>
    <mergeCell ref="W413:AA413"/>
    <mergeCell ref="AB337:AD337"/>
    <mergeCell ref="AB331:AD331"/>
    <mergeCell ref="K380:L380"/>
    <mergeCell ref="W415:AA415"/>
    <mergeCell ref="M438:N438"/>
    <mergeCell ref="W286:AA286"/>
    <mergeCell ref="K375:L375"/>
    <mergeCell ref="C417:F417"/>
    <mergeCell ref="M440:N440"/>
    <mergeCell ref="C383:F383"/>
    <mergeCell ref="R358:T358"/>
    <mergeCell ref="G362:I362"/>
    <mergeCell ref="M435:N435"/>
    <mergeCell ref="R360:T360"/>
    <mergeCell ref="C287:F287"/>
    <mergeCell ref="G414:I414"/>
    <mergeCell ref="M280:N280"/>
    <mergeCell ref="U417:V417"/>
    <mergeCell ref="C289:F289"/>
    <mergeCell ref="K393:L393"/>
    <mergeCell ref="G416:I416"/>
    <mergeCell ref="U419:V419"/>
    <mergeCell ref="M275:N275"/>
    <mergeCell ref="M311:N311"/>
    <mergeCell ref="C314:F314"/>
    <mergeCell ref="O347:Q347"/>
    <mergeCell ref="C313:F313"/>
    <mergeCell ref="M277:N277"/>
    <mergeCell ref="AB279:AD279"/>
    <mergeCell ref="AB401:AD401"/>
    <mergeCell ref="G286:I286"/>
    <mergeCell ref="C315:F315"/>
    <mergeCell ref="O429:Q429"/>
    <mergeCell ref="R290:T290"/>
    <mergeCell ref="AB281:AD281"/>
    <mergeCell ref="AB403:AD403"/>
    <mergeCell ref="O431:Q431"/>
    <mergeCell ref="AB274:AD274"/>
    <mergeCell ref="G287:I287"/>
    <mergeCell ref="E192:E193"/>
    <mergeCell ref="U430:V430"/>
    <mergeCell ref="W358:AA358"/>
    <mergeCell ref="U290:V290"/>
    <mergeCell ref="R285:T285"/>
    <mergeCell ref="G289:I289"/>
    <mergeCell ref="K416:L416"/>
    <mergeCell ref="W360:AA360"/>
    <mergeCell ref="R316:T316"/>
    <mergeCell ref="G314:I314"/>
    <mergeCell ref="C326:F326"/>
    <mergeCell ref="AB300:AD300"/>
    <mergeCell ref="R274:T274"/>
    <mergeCell ref="O273:Q273"/>
    <mergeCell ref="G305:I305"/>
    <mergeCell ref="R311:T311"/>
    <mergeCell ref="H247:I247"/>
    <mergeCell ref="AB327:AD327"/>
    <mergeCell ref="U308:V308"/>
    <mergeCell ref="O442:Q442"/>
    <mergeCell ref="R303:T303"/>
    <mergeCell ref="W411:AA411"/>
    <mergeCell ref="W282:AA282"/>
    <mergeCell ref="AB447:AD447"/>
    <mergeCell ref="U309:V309"/>
    <mergeCell ref="C413:F413"/>
    <mergeCell ref="R300:T300"/>
    <mergeCell ref="C379:F379"/>
    <mergeCell ref="W283:AA283"/>
    <mergeCell ref="C415:F415"/>
    <mergeCell ref="R329:T329"/>
    <mergeCell ref="O284:Q284"/>
    <mergeCell ref="G358:I358"/>
    <mergeCell ref="C408:F408"/>
    <mergeCell ref="R295:T295"/>
    <mergeCell ref="R331:T331"/>
    <mergeCell ref="W308:AA308"/>
    <mergeCell ref="O286:Q286"/>
    <mergeCell ref="G360:I360"/>
    <mergeCell ref="C410:F410"/>
    <mergeCell ref="AB346:AD346"/>
    <mergeCell ref="W316:AA316"/>
    <mergeCell ref="G353:I353"/>
    <mergeCell ref="W310:AA310"/>
    <mergeCell ref="W309:AA309"/>
    <mergeCell ref="C397:F397"/>
    <mergeCell ref="AB371:AD371"/>
    <mergeCell ref="G384:I384"/>
    <mergeCell ref="W311:AA311"/>
    <mergeCell ref="R382:T382"/>
    <mergeCell ref="C426:F426"/>
    <mergeCell ref="M273:N273"/>
    <mergeCell ref="AB372:AD372"/>
    <mergeCell ref="C428:F428"/>
    <mergeCell ref="M302:N302"/>
    <mergeCell ref="K358:L358"/>
    <mergeCell ref="AB374:AD374"/>
    <mergeCell ref="AB399:AD399"/>
    <mergeCell ref="W452:AA452"/>
    <mergeCell ref="G283:I283"/>
    <mergeCell ref="M299:N299"/>
    <mergeCell ref="G253:G254"/>
    <mergeCell ref="G285:I285"/>
    <mergeCell ref="C454:F454"/>
    <mergeCell ref="M328:N328"/>
    <mergeCell ref="R393:T393"/>
    <mergeCell ref="G397:I397"/>
    <mergeCell ref="AB425:AD425"/>
    <mergeCell ref="W324:AA324"/>
    <mergeCell ref="R401:T401"/>
    <mergeCell ref="R395:T395"/>
    <mergeCell ref="AB296:AD296"/>
    <mergeCell ref="AB427:AD427"/>
    <mergeCell ref="W380:AA380"/>
    <mergeCell ref="O358:Q358"/>
    <mergeCell ref="L51:M51"/>
    <mergeCell ref="M317:N317"/>
    <mergeCell ref="AB298:AD298"/>
    <mergeCell ref="G311:I311"/>
    <mergeCell ref="R396:T396"/>
    <mergeCell ref="AB456:AD456"/>
    <mergeCell ref="W382:AA382"/>
    <mergeCell ref="K430:L430"/>
    <mergeCell ref="U272:V272"/>
    <mergeCell ref="M346:N346"/>
    <mergeCell ref="G296:I296"/>
    <mergeCell ref="M318:N318"/>
    <mergeCell ref="K283:L283"/>
    <mergeCell ref="AB443:AD443"/>
    <mergeCell ref="M312:N312"/>
    <mergeCell ref="R421:T421"/>
    <mergeCell ref="U299:V299"/>
    <mergeCell ref="U274:V274"/>
    <mergeCell ref="M348:N348"/>
    <mergeCell ref="W377:AA377"/>
    <mergeCell ref="K285:L285"/>
    <mergeCell ref="M347:N347"/>
    <mergeCell ref="M314:N314"/>
    <mergeCell ref="R325:T325"/>
    <mergeCell ref="R456:T456"/>
    <mergeCell ref="G451:I451"/>
    <mergeCell ref="G329:I329"/>
    <mergeCell ref="AB438:AD438"/>
    <mergeCell ref="C352:F352"/>
    <mergeCell ref="K272:L272"/>
    <mergeCell ref="R327:T327"/>
    <mergeCell ref="G322:I322"/>
    <mergeCell ref="AB440:AD440"/>
    <mergeCell ref="C381:F381"/>
    <mergeCell ref="W393:AA393"/>
    <mergeCell ref="M374:N374"/>
    <mergeCell ref="K301:L301"/>
    <mergeCell ref="G324:I324"/>
    <mergeCell ref="W395:AA395"/>
    <mergeCell ref="D255:D256"/>
    <mergeCell ref="U327:V327"/>
    <mergeCell ref="K303:L303"/>
    <mergeCell ref="B192:B193"/>
    <mergeCell ref="U335:V335"/>
    <mergeCell ref="K296:L296"/>
    <mergeCell ref="O308:Q308"/>
    <mergeCell ref="G382:I382"/>
    <mergeCell ref="U328:V328"/>
    <mergeCell ref="O397:Q397"/>
    <mergeCell ref="AB368:AD368"/>
    <mergeCell ref="O310:Q310"/>
    <mergeCell ref="R338:T338"/>
    <mergeCell ref="W421:AA421"/>
    <mergeCell ref="O309:Q309"/>
    <mergeCell ref="K354:L354"/>
    <mergeCell ref="AB370:AD370"/>
    <mergeCell ref="AB364:AD364"/>
    <mergeCell ref="G377:I377"/>
    <mergeCell ref="U345:V345"/>
    <mergeCell ref="R340:T340"/>
    <mergeCell ref="O339:Q339"/>
    <mergeCell ref="W448:AA448"/>
    <mergeCell ref="W423:AA423"/>
    <mergeCell ref="C425:F425"/>
    <mergeCell ref="K356:L356"/>
    <mergeCell ref="M418:N418"/>
    <mergeCell ref="W325:AA325"/>
    <mergeCell ref="K349:L349"/>
    <mergeCell ref="U346:V346"/>
    <mergeCell ref="U340:V340"/>
    <mergeCell ref="C450:F450"/>
    <mergeCell ref="M413:N413"/>
    <mergeCell ref="U348:V348"/>
    <mergeCell ref="C452:F452"/>
    <mergeCell ref="W320:AA320"/>
    <mergeCell ref="L20:M20"/>
    <mergeCell ref="G395:I395"/>
    <mergeCell ref="C451:F451"/>
    <mergeCell ref="M415:N415"/>
    <mergeCell ref="C445:F445"/>
    <mergeCell ref="K382:L382"/>
    <mergeCell ref="L22:M22"/>
    <mergeCell ref="C453:F453"/>
    <mergeCell ref="R392:T392"/>
    <mergeCell ref="O322:Q322"/>
    <mergeCell ref="AB383:AD383"/>
    <mergeCell ref="G396:I396"/>
    <mergeCell ref="G390:I390"/>
    <mergeCell ref="U399:V399"/>
    <mergeCell ref="W338:AA338"/>
    <mergeCell ref="K368:L368"/>
    <mergeCell ref="W373:AA373"/>
    <mergeCell ref="C255:C256"/>
    <mergeCell ref="C375:F375"/>
    <mergeCell ref="M339:N339"/>
    <mergeCell ref="K395:L395"/>
    <mergeCell ref="O411:Q411"/>
    <mergeCell ref="C377:F377"/>
    <mergeCell ref="L35:M35"/>
    <mergeCell ref="U427:V427"/>
    <mergeCell ref="G320:I320"/>
    <mergeCell ref="G295:I295"/>
    <mergeCell ref="G409:I409"/>
    <mergeCell ref="U298:V298"/>
    <mergeCell ref="U418:V418"/>
    <mergeCell ref="U412:V412"/>
    <mergeCell ref="O406:Q406"/>
    <mergeCell ref="H264:I264"/>
    <mergeCell ref="M365:N365"/>
    <mergeCell ref="R430:T430"/>
    <mergeCell ref="M373:N373"/>
    <mergeCell ref="R438:T438"/>
    <mergeCell ref="O393:Q393"/>
    <mergeCell ref="K294:L294"/>
    <mergeCell ref="U413:V413"/>
    <mergeCell ref="O423:Q423"/>
    <mergeCell ref="O422:Q422"/>
    <mergeCell ref="K325:L325"/>
    <mergeCell ref="H255:I255"/>
    <mergeCell ref="U438:V438"/>
    <mergeCell ref="R433:T433"/>
    <mergeCell ref="AB449:AD449"/>
    <mergeCell ref="K318:L318"/>
    <mergeCell ref="O424:Q424"/>
    <mergeCell ref="C390:F390"/>
    <mergeCell ref="M383:N383"/>
    <mergeCell ref="U440:V440"/>
    <mergeCell ref="G333:I333"/>
    <mergeCell ref="K320:L320"/>
    <mergeCell ref="U342:V342"/>
    <mergeCell ref="M385:N385"/>
    <mergeCell ref="M384:N384"/>
    <mergeCell ref="U344:V344"/>
    <mergeCell ref="M411:N411"/>
    <mergeCell ref="R364:T364"/>
    <mergeCell ref="G359:I359"/>
    <mergeCell ref="W430:AA430"/>
    <mergeCell ref="W290:AA290"/>
    <mergeCell ref="K338:L338"/>
    <mergeCell ref="O354:Q354"/>
    <mergeCell ref="O348:Q348"/>
    <mergeCell ref="U370:V370"/>
    <mergeCell ref="O320:Q320"/>
    <mergeCell ref="K340:L340"/>
    <mergeCell ref="M437:N437"/>
    <mergeCell ref="K333:L333"/>
    <mergeCell ref="U355:V355"/>
    <mergeCell ref="U365:V365"/>
    <mergeCell ref="K366:L366"/>
    <mergeCell ref="M397:N397"/>
    <mergeCell ref="M310:N310"/>
    <mergeCell ref="L29:M29"/>
    <mergeCell ref="G448:I448"/>
    <mergeCell ref="L4:M4"/>
    <mergeCell ref="O374:Q374"/>
    <mergeCell ref="K391:L391"/>
    <mergeCell ref="W274:AA274"/>
    <mergeCell ref="W301:AA301"/>
    <mergeCell ref="O382:Q382"/>
    <mergeCell ref="L31:M31"/>
    <mergeCell ref="O375:Q375"/>
    <mergeCell ref="M455:N455"/>
    <mergeCell ref="W303:AA303"/>
    <mergeCell ref="K392:L392"/>
    <mergeCell ref="U383:V383"/>
    <mergeCell ref="O377:Q377"/>
    <mergeCell ref="K394:L394"/>
    <mergeCell ref="M450:N450"/>
    <mergeCell ref="U385:V385"/>
    <mergeCell ref="W357:AA357"/>
    <mergeCell ref="L57:M57"/>
    <mergeCell ref="AB276:AD276"/>
    <mergeCell ref="M452:N452"/>
    <mergeCell ref="C304:F304"/>
    <mergeCell ref="AB278:AD278"/>
    <mergeCell ref="L42:M42"/>
    <mergeCell ref="H251:I251"/>
    <mergeCell ref="R429:T429"/>
    <mergeCell ref="O359:Q359"/>
    <mergeCell ref="K404:L404"/>
    <mergeCell ref="G433:I433"/>
    <mergeCell ref="U305:V305"/>
    <mergeCell ref="U436:V436"/>
    <mergeCell ref="R431:T431"/>
    <mergeCell ref="M292:N292"/>
    <mergeCell ref="K316:L316"/>
    <mergeCell ref="U313:V313"/>
    <mergeCell ref="H246:I246"/>
    <mergeCell ref="U307:V307"/>
    <mergeCell ref="K405:L405"/>
    <mergeCell ref="C330:F330"/>
    <mergeCell ref="M380:N380"/>
    <mergeCell ref="U437:V437"/>
    <mergeCell ref="H248:I248"/>
    <mergeCell ref="K407:L407"/>
    <mergeCell ref="AB418:AD418"/>
    <mergeCell ref="C332:F332"/>
    <mergeCell ref="I59:J59"/>
    <mergeCell ref="O446:Q446"/>
    <mergeCell ref="M382:N382"/>
    <mergeCell ref="AB420:AD420"/>
    <mergeCell ref="O448:Q448"/>
    <mergeCell ref="AB291:AD291"/>
    <mergeCell ref="U447:V447"/>
    <mergeCell ref="R302:T302"/>
    <mergeCell ref="U455:V455"/>
    <mergeCell ref="U449:V449"/>
    <mergeCell ref="C343:F343"/>
    <mergeCell ref="K331:L331"/>
    <mergeCell ref="M393:N393"/>
    <mergeCell ref="R291:T291"/>
    <mergeCell ref="U450:V450"/>
    <mergeCell ref="C345:F345"/>
    <mergeCell ref="R284:T284"/>
    <mergeCell ref="W299:AA299"/>
    <mergeCell ref="C272:F272"/>
    <mergeCell ref="K357:L357"/>
    <mergeCell ref="O373:Q373"/>
    <mergeCell ref="M421:N421"/>
    <mergeCell ref="O301:Q301"/>
    <mergeCell ref="AB362:AD362"/>
    <mergeCell ref="W302:AA302"/>
    <mergeCell ref="C275:F275"/>
    <mergeCell ref="L55:M55"/>
    <mergeCell ref="O389:Q389"/>
    <mergeCell ref="C427:F427"/>
    <mergeCell ref="AB363:AD363"/>
    <mergeCell ref="W327:AA327"/>
    <mergeCell ref="O391:Q391"/>
    <mergeCell ref="O357:Q357"/>
    <mergeCell ref="K401:L401"/>
    <mergeCell ref="W284:AA284"/>
    <mergeCell ref="R399:T399"/>
    <mergeCell ref="G272:I272"/>
    <mergeCell ref="C295:F295"/>
    <mergeCell ref="C409:F409"/>
    <mergeCell ref="K403:L403"/>
    <mergeCell ref="C328:F328"/>
    <mergeCell ref="U276:V276"/>
    <mergeCell ref="AB287:AD287"/>
    <mergeCell ref="C323:F323"/>
    <mergeCell ref="U278:V278"/>
    <mergeCell ref="W340:AA340"/>
    <mergeCell ref="AB289:AD289"/>
    <mergeCell ref="G302:I302"/>
    <mergeCell ref="K307:L307"/>
    <mergeCell ref="K429:L429"/>
    <mergeCell ref="K431:L431"/>
    <mergeCell ref="R412:T412"/>
    <mergeCell ref="AB313:AD313"/>
    <mergeCell ref="U446:V446"/>
    <mergeCell ref="AB444:AD444"/>
    <mergeCell ref="C341:F341"/>
    <mergeCell ref="AB321:AD321"/>
    <mergeCell ref="AB315:AD315"/>
    <mergeCell ref="G328:I328"/>
    <mergeCell ref="U448:V448"/>
    <mergeCell ref="O430:Q430"/>
    <mergeCell ref="K447:L447"/>
    <mergeCell ref="C370:F370"/>
    <mergeCell ref="M363:N363"/>
    <mergeCell ref="W392:AA392"/>
    <mergeCell ref="AB316:AD316"/>
    <mergeCell ref="M329:N329"/>
    <mergeCell ref="W394:AA394"/>
    <mergeCell ref="K442:L442"/>
    <mergeCell ref="C367:F367"/>
    <mergeCell ref="R342:T342"/>
    <mergeCell ref="O272:Q272"/>
    <mergeCell ref="AB455:AD455"/>
    <mergeCell ref="C369:F369"/>
    <mergeCell ref="C396:F396"/>
    <mergeCell ref="R344:T344"/>
    <mergeCell ref="AB326:AD326"/>
    <mergeCell ref="O299:Q299"/>
    <mergeCell ref="O274:Q274"/>
    <mergeCell ref="C398:F398"/>
    <mergeCell ref="R337:T337"/>
    <mergeCell ref="G341:I341"/>
    <mergeCell ref="K284:L284"/>
    <mergeCell ref="W412:AA412"/>
    <mergeCell ref="R339:T339"/>
    <mergeCell ref="K372:L372"/>
    <mergeCell ref="R326:T326"/>
    <mergeCell ref="M430:N430"/>
    <mergeCell ref="O327:Q327"/>
    <mergeCell ref="M290:N290"/>
    <mergeCell ref="C293:F293"/>
    <mergeCell ref="R355:T355"/>
    <mergeCell ref="AB387:AD387"/>
    <mergeCell ref="R357:T357"/>
    <mergeCell ref="O356:Q356"/>
    <mergeCell ref="C294:F294"/>
    <mergeCell ref="W336:AA336"/>
    <mergeCell ref="G273:I273"/>
    <mergeCell ref="AB382:AD382"/>
    <mergeCell ref="U363:V363"/>
    <mergeCell ref="M272:N272"/>
    <mergeCell ref="W337:AA337"/>
    <mergeCell ref="R383:T383"/>
    <mergeCell ref="M274:N274"/>
    <mergeCell ref="O338:Q338"/>
    <mergeCell ref="W339:AA339"/>
    <mergeCell ref="R410:T410"/>
    <mergeCell ref="C312:F312"/>
    <mergeCell ref="O340:Q340"/>
    <mergeCell ref="R287:T287"/>
    <mergeCell ref="AB400:AD400"/>
    <mergeCell ref="G413:I413"/>
    <mergeCell ref="G407:I407"/>
    <mergeCell ref="W364:AA364"/>
    <mergeCell ref="P159:Q159"/>
    <mergeCell ref="R411:T411"/>
    <mergeCell ref="G284:I284"/>
    <mergeCell ref="C307:F307"/>
    <mergeCell ref="AB402:AD402"/>
    <mergeCell ref="G415:I415"/>
    <mergeCell ref="M300:N300"/>
    <mergeCell ref="W355:AA355"/>
    <mergeCell ref="U287:V287"/>
    <mergeCell ref="R282:T282"/>
    <mergeCell ref="U289:V289"/>
    <mergeCell ref="U411:V411"/>
    <mergeCell ref="R307:T307"/>
    <mergeCell ref="K440:L440"/>
    <mergeCell ref="AB426:AD426"/>
    <mergeCell ref="W350:AA350"/>
    <mergeCell ref="C392:F392"/>
    <mergeCell ref="M356:N356"/>
    <mergeCell ref="AB453:AD453"/>
    <mergeCell ref="C394:F394"/>
    <mergeCell ref="R308:T308"/>
    <mergeCell ref="AB330:AD330"/>
    <mergeCell ref="G337:I337"/>
    <mergeCell ref="R422:T422"/>
    <mergeCell ref="K280:L280"/>
    <mergeCell ref="W408:AA408"/>
    <mergeCell ref="U315:V315"/>
    <mergeCell ref="R335:T335"/>
    <mergeCell ref="R310:T310"/>
    <mergeCell ref="H253:I254"/>
    <mergeCell ref="G339:I339"/>
    <mergeCell ref="M372:N372"/>
    <mergeCell ref="K309:L309"/>
    <mergeCell ref="W403:AA403"/>
    <mergeCell ref="R449:T449"/>
    <mergeCell ref="C376:F376"/>
    <mergeCell ref="W434:AA434"/>
    <mergeCell ref="C378:F378"/>
    <mergeCell ref="O439:Q439"/>
    <mergeCell ref="AB352:AD352"/>
    <mergeCell ref="G365:I365"/>
    <mergeCell ref="W305:AA305"/>
    <mergeCell ref="C407:F407"/>
    <mergeCell ref="U326:V326"/>
    <mergeCell ref="M400:N400"/>
    <mergeCell ref="G350:I350"/>
    <mergeCell ref="W307:AA307"/>
    <mergeCell ref="W429:AA429"/>
    <mergeCell ref="AB353:AD353"/>
    <mergeCell ref="R348:T348"/>
    <mergeCell ref="W437:AA437"/>
    <mergeCell ref="W431:AA431"/>
    <mergeCell ref="U361:V361"/>
    <mergeCell ref="R379:T379"/>
    <mergeCell ref="W422:AA422"/>
    <mergeCell ref="U354:V354"/>
    <mergeCell ref="C433:F433"/>
    <mergeCell ref="W335:AA335"/>
    <mergeCell ref="R381:T381"/>
    <mergeCell ref="G376:I376"/>
    <mergeCell ref="O336:Q336"/>
    <mergeCell ref="U356:V356"/>
    <mergeCell ref="W447:AA447"/>
    <mergeCell ref="R380:T380"/>
    <mergeCell ref="C435:F435"/>
    <mergeCell ref="R374:T374"/>
    <mergeCell ref="K355:L355"/>
    <mergeCell ref="G378:I378"/>
    <mergeCell ref="O365:Q365"/>
    <mergeCell ref="W449:AA449"/>
    <mergeCell ref="O337:Q337"/>
    <mergeCell ref="G411:I411"/>
    <mergeCell ref="O331:Q331"/>
    <mergeCell ref="M296:N296"/>
    <mergeCell ref="W442:AA442"/>
    <mergeCell ref="O366:Q366"/>
    <mergeCell ref="M298:N298"/>
    <mergeCell ref="M325:N325"/>
    <mergeCell ref="M456:N456"/>
    <mergeCell ref="G406:I406"/>
    <mergeCell ref="W346:AA346"/>
    <mergeCell ref="G307:I307"/>
    <mergeCell ref="M327:N327"/>
    <mergeCell ref="L46:M46"/>
    <mergeCell ref="O363:Q363"/>
    <mergeCell ref="AB424:AD424"/>
    <mergeCell ref="G437:I437"/>
    <mergeCell ref="W348:AA348"/>
    <mergeCell ref="O355:Q355"/>
    <mergeCell ref="L48:M48"/>
    <mergeCell ref="AB295:AD295"/>
    <mergeCell ref="G308:I308"/>
    <mergeCell ref="G422:I422"/>
    <mergeCell ref="U311:V311"/>
    <mergeCell ref="R306:T306"/>
    <mergeCell ref="K281:L281"/>
    <mergeCell ref="G310:I310"/>
    <mergeCell ref="U400:V400"/>
    <mergeCell ref="R420:T420"/>
    <mergeCell ref="W372:AA372"/>
    <mergeCell ref="L43:M43"/>
    <mergeCell ref="H252:I252"/>
    <mergeCell ref="K411:L411"/>
    <mergeCell ref="W374:AA374"/>
    <mergeCell ref="U306:V306"/>
    <mergeCell ref="K282:L282"/>
    <mergeCell ref="U297:V297"/>
    <mergeCell ref="M340:N340"/>
    <mergeCell ref="O404:Q404"/>
    <mergeCell ref="R446:T446"/>
    <mergeCell ref="O323:Q323"/>
    <mergeCell ref="G450:I450"/>
    <mergeCell ref="O437:Q437"/>
    <mergeCell ref="R448:T448"/>
    <mergeCell ref="G452:I452"/>
    <mergeCell ref="U330:V330"/>
    <mergeCell ref="H263:I263"/>
    <mergeCell ref="U324:V324"/>
    <mergeCell ref="R319:T319"/>
    <mergeCell ref="K422:L422"/>
    <mergeCell ref="W427:AA427"/>
    <mergeCell ref="K335:L335"/>
    <mergeCell ref="H265:I265"/>
    <mergeCell ref="W298:AA298"/>
    <mergeCell ref="O305:Q305"/>
    <mergeCell ref="U325:V325"/>
    <mergeCell ref="M399:N399"/>
    <mergeCell ref="G372:I372"/>
    <mergeCell ref="O307:Q307"/>
    <mergeCell ref="C431:F431"/>
    <mergeCell ref="K351:L351"/>
    <mergeCell ref="G380:I380"/>
    <mergeCell ref="O300:Q300"/>
    <mergeCell ref="G374:I374"/>
    <mergeCell ref="W445:AA445"/>
    <mergeCell ref="C432:F432"/>
    <mergeCell ref="K346:L346"/>
    <mergeCell ref="G375:I375"/>
    <mergeCell ref="U343:V343"/>
    <mergeCell ref="W446:AA446"/>
    <mergeCell ref="W440:AA440"/>
    <mergeCell ref="K348:L348"/>
    <mergeCell ref="D245:G245"/>
    <mergeCell ref="C273:F273"/>
    <mergeCell ref="W317:AA317"/>
    <mergeCell ref="L17:M17"/>
    <mergeCell ref="U338:V338"/>
    <mergeCell ref="M412:N412"/>
    <mergeCell ref="C442:F442"/>
    <mergeCell ref="L19:M19"/>
    <mergeCell ref="C414:F414"/>
    <mergeCell ref="R389:T389"/>
    <mergeCell ref="L12:M12"/>
    <mergeCell ref="G393:I393"/>
    <mergeCell ref="K374:L374"/>
    <mergeCell ref="U396:V396"/>
    <mergeCell ref="R385:T385"/>
    <mergeCell ref="L39:M39"/>
    <mergeCell ref="L14:M14"/>
    <mergeCell ref="K276:L276"/>
    <mergeCell ref="U398:V398"/>
    <mergeCell ref="K278:L278"/>
    <mergeCell ref="U391:V391"/>
    <mergeCell ref="C286:F286"/>
    <mergeCell ref="M336:N336"/>
    <mergeCell ref="O372:Q372"/>
    <mergeCell ref="G446:I446"/>
    <mergeCell ref="O408:Q408"/>
    <mergeCell ref="O402:Q402"/>
    <mergeCell ref="O401:Q401"/>
    <mergeCell ref="K418:L418"/>
    <mergeCell ref="U409:V409"/>
    <mergeCell ref="O403:Q403"/>
    <mergeCell ref="H261:I261"/>
    <mergeCell ref="M362:N362"/>
    <mergeCell ref="K420:L420"/>
    <mergeCell ref="U321:V321"/>
    <mergeCell ref="M364:N364"/>
    <mergeCell ref="K291:L291"/>
    <mergeCell ref="U323:V323"/>
    <mergeCell ref="W385:AA385"/>
    <mergeCell ref="AB304:AD304"/>
    <mergeCell ref="O421:Q421"/>
    <mergeCell ref="K446:L446"/>
    <mergeCell ref="O456:Q456"/>
    <mergeCell ref="K317:L317"/>
    <mergeCell ref="C64:H64"/>
    <mergeCell ref="K448:L448"/>
    <mergeCell ref="K319:L319"/>
    <mergeCell ref="G373:I373"/>
    <mergeCell ref="C358:F358"/>
    <mergeCell ref="D2:D3"/>
    <mergeCell ref="R272:T272"/>
    <mergeCell ref="U334:V334"/>
    <mergeCell ref="AB332:AD332"/>
    <mergeCell ref="O447:Q447"/>
    <mergeCell ref="C351:F351"/>
    <mergeCell ref="U336:V336"/>
    <mergeCell ref="L8:M8"/>
    <mergeCell ref="K370:L370"/>
    <mergeCell ref="W280:AA280"/>
    <mergeCell ref="L10:M10"/>
    <mergeCell ref="C384:F384"/>
    <mergeCell ref="C441:F441"/>
    <mergeCell ref="M434:N434"/>
    <mergeCell ref="U362:V362"/>
    <mergeCell ref="M436:N436"/>
    <mergeCell ref="AB343:AD343"/>
    <mergeCell ref="K373:L373"/>
    <mergeCell ref="U364:V364"/>
    <mergeCell ref="R354:T354"/>
    <mergeCell ref="AB345:AD345"/>
    <mergeCell ref="K388:L388"/>
    <mergeCell ref="R356:T356"/>
    <mergeCell ref="C283:F283"/>
    <mergeCell ref="M276:N276"/>
    <mergeCell ref="W300:AA300"/>
    <mergeCell ref="C285:F285"/>
    <mergeCell ref="W272:AA272"/>
    <mergeCell ref="K389:L389"/>
    <mergeCell ref="K383:L383"/>
    <mergeCell ref="M278:N278"/>
    <mergeCell ref="O399:Q399"/>
    <mergeCell ref="L23:M23"/>
    <mergeCell ref="K385:L385"/>
    <mergeCell ref="M447:N447"/>
    <mergeCell ref="R372:T372"/>
    <mergeCell ref="P160:Q160"/>
    <mergeCell ref="L54:M54"/>
    <mergeCell ref="U444:V444"/>
    <mergeCell ref="C309:F309"/>
    <mergeCell ref="M449:N449"/>
    <mergeCell ref="C301:F301"/>
    <mergeCell ref="L56:M56"/>
    <mergeCell ref="AB275:AD275"/>
    <mergeCell ref="K386:L386"/>
    <mergeCell ref="C311:F311"/>
    <mergeCell ref="U402:V402"/>
    <mergeCell ref="R426:T426"/>
    <mergeCell ref="C303:F303"/>
    <mergeCell ref="L49:M49"/>
    <mergeCell ref="G430:I430"/>
    <mergeCell ref="AB277:AD277"/>
    <mergeCell ref="U433:V433"/>
    <mergeCell ref="O427:Q427"/>
    <mergeCell ref="K444:L444"/>
    <mergeCell ref="W354:AA354"/>
    <mergeCell ref="U435:V435"/>
    <mergeCell ref="M291:N291"/>
    <mergeCell ref="O412:Q412"/>
    <mergeCell ref="U434:V434"/>
    <mergeCell ref="U428:V428"/>
    <mergeCell ref="W356:AA356"/>
    <mergeCell ref="AB328:AD328"/>
    <mergeCell ref="O443:Q443"/>
    <mergeCell ref="R298:T298"/>
    <mergeCell ref="C322:F322"/>
    <mergeCell ref="AB417:AD417"/>
    <mergeCell ref="R297:T297"/>
    <mergeCell ref="O445:Q445"/>
    <mergeCell ref="AB288:AD288"/>
    <mergeCell ref="G301:I301"/>
    <mergeCell ref="C349:F349"/>
    <mergeCell ref="C324:F324"/>
    <mergeCell ref="AB419:AD419"/>
    <mergeCell ref="O438:Q438"/>
    <mergeCell ref="U304:V304"/>
    <mergeCell ref="R299:T299"/>
    <mergeCell ref="G303:I303"/>
    <mergeCell ref="K455:L455"/>
    <mergeCell ref="O440:Q440"/>
    <mergeCell ref="W278:AA278"/>
    <mergeCell ref="R296:T296"/>
    <mergeCell ref="U358:V358"/>
    <mergeCell ref="C411:F411"/>
    <mergeCell ref="U360:V360"/>
    <mergeCell ref="AB347:AD347"/>
    <mergeCell ref="O280:Q280"/>
    <mergeCell ref="AB341:AD341"/>
    <mergeCell ref="G354:I354"/>
    <mergeCell ref="O282:Q282"/>
    <mergeCell ref="G356:I356"/>
    <mergeCell ref="W296:AA296"/>
    <mergeCell ref="C406:F406"/>
    <mergeCell ref="AB342:AD342"/>
    <mergeCell ref="G349:I349"/>
    <mergeCell ref="W306:AA306"/>
    <mergeCell ref="O370:Q370"/>
    <mergeCell ref="W420:AA420"/>
    <mergeCell ref="AB344:AD344"/>
    <mergeCell ref="C393:F393"/>
    <mergeCell ref="W297:AA297"/>
    <mergeCell ref="W291:AA291"/>
    <mergeCell ref="R368:T368"/>
    <mergeCell ref="C422:F422"/>
    <mergeCell ref="U371:V371"/>
    <mergeCell ref="AB369:AD369"/>
    <mergeCell ref="C388:F388"/>
    <mergeCell ref="C424:F424"/>
    <mergeCell ref="R363:T363"/>
    <mergeCell ref="L47:M47"/>
    <mergeCell ref="W319:AA319"/>
    <mergeCell ref="M287:N287"/>
    <mergeCell ref="C325:F325"/>
    <mergeCell ref="G423:I423"/>
    <mergeCell ref="R391:T391"/>
    <mergeCell ref="C318:F318"/>
    <mergeCell ref="M282:N282"/>
    <mergeCell ref="AB388:AD388"/>
    <mergeCell ref="AB413:AD413"/>
    <mergeCell ref="G297:I297"/>
    <mergeCell ref="C320:F320"/>
    <mergeCell ref="AB415:AD415"/>
    <mergeCell ref="M313:N313"/>
    <mergeCell ref="C356:F356"/>
    <mergeCell ref="G299:I299"/>
    <mergeCell ref="AB408:AD408"/>
    <mergeCell ref="G293:I293"/>
    <mergeCell ref="K426:L426"/>
    <mergeCell ref="M342:N342"/>
    <mergeCell ref="G292:I292"/>
    <mergeCell ref="AB410:AD410"/>
    <mergeCell ref="K428:L428"/>
    <mergeCell ref="M308:N308"/>
    <mergeCell ref="W363:AA363"/>
    <mergeCell ref="AB439:AD439"/>
    <mergeCell ref="M344:N344"/>
    <mergeCell ref="R409:T409"/>
    <mergeCell ref="G294:I294"/>
    <mergeCell ref="AB441:AD441"/>
    <mergeCell ref="C338:F338"/>
    <mergeCell ref="R321:T321"/>
    <mergeCell ref="AB312:AD312"/>
    <mergeCell ref="G325:I325"/>
    <mergeCell ref="AB434:AD434"/>
    <mergeCell ref="R404:T404"/>
    <mergeCell ref="C340:F340"/>
    <mergeCell ref="R323:T323"/>
    <mergeCell ref="G318:I318"/>
    <mergeCell ref="O278:Q278"/>
    <mergeCell ref="AB314:AD314"/>
    <mergeCell ref="AB436:AD436"/>
    <mergeCell ref="W389:AA389"/>
    <mergeCell ref="C333:F333"/>
    <mergeCell ref="K297:L297"/>
    <mergeCell ref="M326:N326"/>
    <mergeCell ref="AB307:AD307"/>
    <mergeCell ref="U288:V288"/>
    <mergeCell ref="W391:AA391"/>
    <mergeCell ref="K299:L299"/>
    <mergeCell ref="K293:L293"/>
    <mergeCell ref="O449:Q449"/>
    <mergeCell ref="M355:N355"/>
    <mergeCell ref="M357:N357"/>
    <mergeCell ref="R305:T305"/>
    <mergeCell ref="O296:Q296"/>
    <mergeCell ref="C359:F359"/>
    <mergeCell ref="AB454:AD454"/>
    <mergeCell ref="C420:F420"/>
    <mergeCell ref="C395:F395"/>
    <mergeCell ref="O306:Q306"/>
    <mergeCell ref="R334:T334"/>
    <mergeCell ref="G363:I363"/>
    <mergeCell ref="G338:I338"/>
    <mergeCell ref="AB366:AD366"/>
    <mergeCell ref="O297:Q297"/>
    <mergeCell ref="R336:T336"/>
    <mergeCell ref="O335:Q335"/>
    <mergeCell ref="G340:I340"/>
    <mergeCell ref="AB351:AD351"/>
    <mergeCell ref="W321:AA321"/>
    <mergeCell ref="W315:AA315"/>
    <mergeCell ref="W404:AA404"/>
    <mergeCell ref="G366:I366"/>
    <mergeCell ref="W323:AA323"/>
    <mergeCell ref="C448:F448"/>
    <mergeCell ref="AB384:AD384"/>
    <mergeCell ref="O317:Q317"/>
    <mergeCell ref="AB378:AD378"/>
    <mergeCell ref="G391:I391"/>
    <mergeCell ref="D260:E260"/>
    <mergeCell ref="M289:N289"/>
    <mergeCell ref="C439:F439"/>
    <mergeCell ref="O325:Q325"/>
    <mergeCell ref="O319:Q319"/>
    <mergeCell ref="W333:AA333"/>
    <mergeCell ref="C405:F405"/>
    <mergeCell ref="K363:L363"/>
    <mergeCell ref="AB379:AD379"/>
    <mergeCell ref="G392:I392"/>
    <mergeCell ref="G386:I386"/>
    <mergeCell ref="K365:L365"/>
    <mergeCell ref="AB381:AD381"/>
    <mergeCell ref="G394:I394"/>
    <mergeCell ref="W334:AA334"/>
    <mergeCell ref="M315:N315"/>
    <mergeCell ref="M429:N429"/>
    <mergeCell ref="AB437:AD437"/>
    <mergeCell ref="L30:M30"/>
    <mergeCell ref="G321:I321"/>
    <mergeCell ref="M335:N335"/>
    <mergeCell ref="R400:T400"/>
    <mergeCell ref="AB397:AD397"/>
    <mergeCell ref="G404:I404"/>
    <mergeCell ref="AB432:AD432"/>
    <mergeCell ref="R408:T408"/>
    <mergeCell ref="C373:F373"/>
    <mergeCell ref="R402:T402"/>
    <mergeCell ref="AB309:AD309"/>
    <mergeCell ref="M322:N322"/>
    <mergeCell ref="G316:I316"/>
    <mergeCell ref="U284:V284"/>
    <mergeCell ref="W387:AA387"/>
    <mergeCell ref="G405:I405"/>
    <mergeCell ref="M324:N324"/>
    <mergeCell ref="M351:N351"/>
    <mergeCell ref="U286:V286"/>
    <mergeCell ref="U408:V408"/>
    <mergeCell ref="C360:F360"/>
    <mergeCell ref="U279:V279"/>
    <mergeCell ref="M353:N353"/>
    <mergeCell ref="U410:V410"/>
    <mergeCell ref="R434:T434"/>
    <mergeCell ref="R428:T428"/>
    <mergeCell ref="K290:L290"/>
    <mergeCell ref="AB450:AD450"/>
    <mergeCell ref="M319:N319"/>
    <mergeCell ref="C355:F355"/>
    <mergeCell ref="U281:V281"/>
    <mergeCell ref="C391:F391"/>
    <mergeCell ref="O302:Q302"/>
    <mergeCell ref="R436:T436"/>
    <mergeCell ref="G334:I334"/>
    <mergeCell ref="AB452:AD452"/>
    <mergeCell ref="M354:N354"/>
    <mergeCell ref="C357:F357"/>
    <mergeCell ref="K321:L321"/>
    <mergeCell ref="O418:Q418"/>
    <mergeCell ref="AB451:AD451"/>
    <mergeCell ref="AB445:AD445"/>
    <mergeCell ref="G336:I336"/>
    <mergeCell ref="O420:Q420"/>
    <mergeCell ref="C386:F386"/>
    <mergeCell ref="K323:L323"/>
    <mergeCell ref="K279:L279"/>
    <mergeCell ref="M379:N379"/>
    <mergeCell ref="U339:V339"/>
    <mergeCell ref="W400:AA400"/>
    <mergeCell ref="M381:N381"/>
    <mergeCell ref="K308:L308"/>
    <mergeCell ref="G331:I331"/>
    <mergeCell ref="K274:L274"/>
    <mergeCell ref="W402:AA402"/>
    <mergeCell ref="W401:AA401"/>
    <mergeCell ref="O349:Q349"/>
    <mergeCell ref="R447:T447"/>
    <mergeCell ref="M338:N338"/>
    <mergeCell ref="K305:L305"/>
    <mergeCell ref="O321:Q321"/>
    <mergeCell ref="O315:Q315"/>
    <mergeCell ref="W426:AA426"/>
    <mergeCell ref="K334:L334"/>
    <mergeCell ref="G357:I357"/>
    <mergeCell ref="O344:Q344"/>
    <mergeCell ref="K300:L300"/>
    <mergeCell ref="W428:AA428"/>
    <mergeCell ref="O316:Q316"/>
    <mergeCell ref="K361:L361"/>
    <mergeCell ref="K336:L336"/>
    <mergeCell ref="U352:V352"/>
    <mergeCell ref="U351:V351"/>
    <mergeCell ref="M425:N425"/>
    <mergeCell ref="E255:E256"/>
    <mergeCell ref="U353:V353"/>
    <mergeCell ref="M427:N427"/>
    <mergeCell ref="W456:AA456"/>
    <mergeCell ref="M306:N306"/>
    <mergeCell ref="R371:T371"/>
    <mergeCell ref="O326:Q326"/>
    <mergeCell ref="M420:N420"/>
    <mergeCell ref="O334:Q334"/>
    <mergeCell ref="L27:M27"/>
    <mergeCell ref="O364:Q364"/>
    <mergeCell ref="M451:N451"/>
    <mergeCell ref="G401:I401"/>
    <mergeCell ref="M295:N295"/>
    <mergeCell ref="U379:V379"/>
    <mergeCell ref="M453:N453"/>
    <mergeCell ref="AB390:AD390"/>
    <mergeCell ref="G403:I403"/>
    <mergeCell ref="M446:N446"/>
    <mergeCell ref="U406:V406"/>
    <mergeCell ref="U381:V381"/>
    <mergeCell ref="B157:B158"/>
    <mergeCell ref="G432:I432"/>
    <mergeCell ref="AB421:AD421"/>
    <mergeCell ref="G428:I428"/>
    <mergeCell ref="M448:N448"/>
    <mergeCell ref="L45:M45"/>
    <mergeCell ref="R432:T432"/>
    <mergeCell ref="AB414:AD414"/>
    <mergeCell ref="O362:Q362"/>
    <mergeCell ref="L38:M38"/>
    <mergeCell ref="C302:F302"/>
    <mergeCell ref="AB416:AD416"/>
    <mergeCell ref="G429:I429"/>
    <mergeCell ref="O385:Q385"/>
    <mergeCell ref="L40:M40"/>
    <mergeCell ref="G421:I421"/>
    <mergeCell ref="H249:I249"/>
    <mergeCell ref="U432:V432"/>
    <mergeCell ref="R427:T427"/>
    <mergeCell ref="G300:I300"/>
    <mergeCell ref="K408:L408"/>
    <mergeCell ref="K402:L402"/>
    <mergeCell ref="G431:I431"/>
    <mergeCell ref="W371:AA371"/>
    <mergeCell ref="U303:V303"/>
    <mergeCell ref="M377:N377"/>
    <mergeCell ref="U425:V425"/>
    <mergeCell ref="R443:T443"/>
    <mergeCell ref="G447:I447"/>
    <mergeCell ref="R445:T445"/>
    <mergeCell ref="O444:Q444"/>
    <mergeCell ref="K330:L330"/>
    <mergeCell ref="W424:AA424"/>
    <mergeCell ref="G442:I442"/>
    <mergeCell ref="K332:L332"/>
    <mergeCell ref="U451:V451"/>
    <mergeCell ref="H262:I262"/>
    <mergeCell ref="U445:V445"/>
    <mergeCell ref="K421:L421"/>
    <mergeCell ref="U322:V322"/>
    <mergeCell ref="K456:L456"/>
    <mergeCell ref="M396:N396"/>
    <mergeCell ref="U453:V453"/>
    <mergeCell ref="M390:N390"/>
    <mergeCell ref="W425:AA425"/>
    <mergeCell ref="K327:L327"/>
    <mergeCell ref="M389:N389"/>
    <mergeCell ref="AB305:AD305"/>
    <mergeCell ref="G371:I371"/>
    <mergeCell ref="R280:T280"/>
    <mergeCell ref="M391:N391"/>
    <mergeCell ref="O455:Q455"/>
    <mergeCell ref="C423:F423"/>
    <mergeCell ref="K343:L343"/>
    <mergeCell ref="AB359:AD359"/>
    <mergeCell ref="W443:AA443"/>
    <mergeCell ref="U375:V375"/>
    <mergeCell ref="K345:L345"/>
    <mergeCell ref="U377:V377"/>
    <mergeCell ref="M409:N409"/>
    <mergeCell ref="M444:N444"/>
    <mergeCell ref="O386:Q386"/>
    <mergeCell ref="O352:Q352"/>
    <mergeCell ref="L9:M9"/>
    <mergeCell ref="M404:N404"/>
    <mergeCell ref="W279:AA279"/>
    <mergeCell ref="K371:L371"/>
    <mergeCell ref="G425:I425"/>
    <mergeCell ref="O387:Q387"/>
    <mergeCell ref="O381:Q381"/>
    <mergeCell ref="L11:M11"/>
    <mergeCell ref="AB361:AD361"/>
    <mergeCell ref="O353:Q353"/>
    <mergeCell ref="K398:L398"/>
    <mergeCell ref="U388:V388"/>
    <mergeCell ref="G456:I456"/>
    <mergeCell ref="K399:L399"/>
    <mergeCell ref="U390:V390"/>
    <mergeCell ref="U302:V302"/>
    <mergeCell ref="C284:F284"/>
    <mergeCell ref="O371:Q371"/>
    <mergeCell ref="AB283:AD283"/>
    <mergeCell ref="G438:I438"/>
    <mergeCell ref="AB285:AD285"/>
    <mergeCell ref="O400:Q400"/>
    <mergeCell ref="H258:I258"/>
    <mergeCell ref="U416:V416"/>
    <mergeCell ref="K417:L417"/>
    <mergeCell ref="G440:I440"/>
    <mergeCell ref="K427:L427"/>
    <mergeCell ref="K298:L298"/>
    <mergeCell ref="AB301:AD301"/>
    <mergeCell ref="K412:L412"/>
    <mergeCell ref="C337:F337"/>
    <mergeCell ref="R276:T276"/>
    <mergeCell ref="O451:Q451"/>
    <mergeCell ref="AB311:AD311"/>
    <mergeCell ref="AB303:AD303"/>
    <mergeCell ref="K443:L443"/>
    <mergeCell ref="C339:F339"/>
    <mergeCell ref="C366:F366"/>
    <mergeCell ref="O453:Q453"/>
    <mergeCell ref="O428:Q428"/>
    <mergeCell ref="G309:I309"/>
    <mergeCell ref="K445:L445"/>
    <mergeCell ref="K438:L438"/>
    <mergeCell ref="U454:V454"/>
    <mergeCell ref="J192:J193"/>
    <mergeCell ref="AB322:AD322"/>
    <mergeCell ref="C350:F350"/>
    <mergeCell ref="M343:N343"/>
    <mergeCell ref="AB324:AD324"/>
    <mergeCell ref="K367:L367"/>
    <mergeCell ref="L7:M7"/>
    <mergeCell ref="O290:Q290"/>
    <mergeCell ref="K369:L369"/>
    <mergeCell ref="R322:T322"/>
    <mergeCell ref="U359:V359"/>
    <mergeCell ref="M433:N433"/>
    <mergeCell ref="W281:AA281"/>
    <mergeCell ref="K364:L364"/>
    <mergeCell ref="M426:N426"/>
    <mergeCell ref="R351:T351"/>
    <mergeCell ref="R317:T317"/>
    <mergeCell ref="M428:N428"/>
    <mergeCell ref="R353:T353"/>
    <mergeCell ref="C280:F280"/>
    <mergeCell ref="C274:F274"/>
    <mergeCell ref="C282:F282"/>
    <mergeCell ref="AB272:AD272"/>
    <mergeCell ref="R406:T406"/>
    <mergeCell ref="G279:I279"/>
    <mergeCell ref="C308:F308"/>
    <mergeCell ref="R283:T283"/>
    <mergeCell ref="R277:T277"/>
    <mergeCell ref="AB396:AD396"/>
    <mergeCell ref="F253:F254"/>
    <mergeCell ref="G281:I281"/>
    <mergeCell ref="C310:F310"/>
    <mergeCell ref="K439:L439"/>
    <mergeCell ref="G280:I280"/>
    <mergeCell ref="G274:I274"/>
    <mergeCell ref="AB398:AD398"/>
    <mergeCell ref="K441:L441"/>
    <mergeCell ref="W351:AA351"/>
    <mergeCell ref="U283:V283"/>
    <mergeCell ref="R278:T278"/>
    <mergeCell ref="M288:N288"/>
    <mergeCell ref="G282:I282"/>
    <mergeCell ref="K434:L434"/>
    <mergeCell ref="W353:AA353"/>
    <mergeCell ref="U285:V285"/>
    <mergeCell ref="AB325:AD325"/>
    <mergeCell ref="K436:L436"/>
    <mergeCell ref="R425:T425"/>
    <mergeCell ref="R419:T419"/>
    <mergeCell ref="C346:F346"/>
    <mergeCell ref="AB320:AD320"/>
    <mergeCell ref="R418:T418"/>
    <mergeCell ref="AB409:AD409"/>
    <mergeCell ref="C348:F348"/>
    <mergeCell ref="G335:I335"/>
    <mergeCell ref="W275:AA275"/>
    <mergeCell ref="W406:AA406"/>
    <mergeCell ref="K454:L454"/>
    <mergeCell ref="U296:V296"/>
    <mergeCell ref="M370:N370"/>
    <mergeCell ref="W277:AA277"/>
    <mergeCell ref="W399:AA399"/>
    <mergeCell ref="AB323:AD323"/>
    <mergeCell ref="C372:F372"/>
    <mergeCell ref="W276:AA276"/>
    <mergeCell ref="R347:T347"/>
    <mergeCell ref="K449:L449"/>
    <mergeCell ref="AB338:AD338"/>
    <mergeCell ref="G351:I351"/>
    <mergeCell ref="C374:F374"/>
    <mergeCell ref="C401:F401"/>
    <mergeCell ref="R288:T288"/>
    <mergeCell ref="R349:T349"/>
    <mergeCell ref="R324:T324"/>
    <mergeCell ref="O279:Q279"/>
    <mergeCell ref="AB340:AD340"/>
    <mergeCell ref="C403:F403"/>
    <mergeCell ref="G346:I346"/>
    <mergeCell ref="AB333:AD333"/>
    <mergeCell ref="O281:Q281"/>
    <mergeCell ref="W417:AA417"/>
    <mergeCell ref="G348:I348"/>
    <mergeCell ref="W419:AA419"/>
    <mergeCell ref="R375:T375"/>
    <mergeCell ref="W418:AA418"/>
    <mergeCell ref="E157:E158"/>
    <mergeCell ref="R377:T377"/>
    <mergeCell ref="C421:F421"/>
    <mergeCell ref="O332:Q332"/>
    <mergeCell ref="R370:T370"/>
    <mergeCell ref="AB392:AD392"/>
    <mergeCell ref="AB367:AD367"/>
    <mergeCell ref="C306:F306"/>
    <mergeCell ref="R362:T362"/>
    <mergeCell ref="O361:Q361"/>
    <mergeCell ref="G276:I276"/>
    <mergeCell ref="C416:F416"/>
    <mergeCell ref="AB394:AD394"/>
    <mergeCell ref="C335:F335"/>
    <mergeCell ref="W322:AA322"/>
    <mergeCell ref="W347:AA347"/>
    <mergeCell ref="G278:I278"/>
    <mergeCell ref="U368:V368"/>
    <mergeCell ref="W288:AA288"/>
    <mergeCell ref="C447:F447"/>
    <mergeCell ref="W349:AA349"/>
    <mergeCell ref="M321:N321"/>
    <mergeCell ref="W342:AA342"/>
    <mergeCell ref="M323:N323"/>
    <mergeCell ref="R388:T388"/>
    <mergeCell ref="M279:N279"/>
    <mergeCell ref="W344:AA344"/>
    <mergeCell ref="O351:Q351"/>
    <mergeCell ref="R390:T390"/>
    <mergeCell ref="C317:F317"/>
    <mergeCell ref="M281:N281"/>
    <mergeCell ref="O345:Q345"/>
    <mergeCell ref="G419:I419"/>
    <mergeCell ref="AB405:AD405"/>
    <mergeCell ref="W375:AA375"/>
    <mergeCell ref="G418:I418"/>
    <mergeCell ref="C319:F319"/>
    <mergeCell ref="O380:Q380"/>
    <mergeCell ref="K277:L277"/>
    <mergeCell ref="AB293:AD293"/>
    <mergeCell ref="G306:I306"/>
    <mergeCell ref="W368:AA368"/>
    <mergeCell ref="O346:Q346"/>
    <mergeCell ref="AB407:AD407"/>
    <mergeCell ref="G420:I420"/>
    <mergeCell ref="M305:N305"/>
    <mergeCell ref="M341:N341"/>
    <mergeCell ref="G291:I291"/>
    <mergeCell ref="W370:AA370"/>
    <mergeCell ref="M307:N307"/>
    <mergeCell ref="W362:AA362"/>
    <mergeCell ref="U294:V294"/>
    <mergeCell ref="R289:T289"/>
    <mergeCell ref="R318:T318"/>
    <mergeCell ref="R320:T320"/>
    <mergeCell ref="O275:Q275"/>
    <mergeCell ref="R314:T314"/>
    <mergeCell ref="AB433:AD433"/>
    <mergeCell ref="C399:F399"/>
    <mergeCell ref="R286:T286"/>
    <mergeCell ref="R444:T444"/>
    <mergeCell ref="G342:I342"/>
    <mergeCell ref="G317:I317"/>
    <mergeCell ref="O277:Q277"/>
    <mergeCell ref="K419:L419"/>
    <mergeCell ref="AB435:AD435"/>
    <mergeCell ref="W388:AA388"/>
    <mergeCell ref="O276:Q276"/>
    <mergeCell ref="R315:T315"/>
    <mergeCell ref="G344:I344"/>
    <mergeCell ref="G319:I319"/>
    <mergeCell ref="W390:AA390"/>
    <mergeCell ref="W383:AA383"/>
    <mergeCell ref="R373:T373"/>
    <mergeCell ref="O303:Q303"/>
    <mergeCell ref="W410:AA410"/>
    <mergeCell ref="C389:F389"/>
    <mergeCell ref="K347:L347"/>
    <mergeCell ref="AB357:AD357"/>
    <mergeCell ref="G370:I370"/>
    <mergeCell ref="R333:T333"/>
    <mergeCell ref="R455:T455"/>
    <mergeCell ref="O288:Q288"/>
    <mergeCell ref="W441:AA441"/>
    <mergeCell ref="D157:D158"/>
    <mergeCell ref="C418:F418"/>
    <mergeCell ref="O304:Q304"/>
    <mergeCell ref="C412:F412"/>
    <mergeCell ref="AB365:AD365"/>
    <mergeCell ref="O298:Q298"/>
    <mergeCell ref="W318:AA318"/>
    <mergeCell ref="G355:I355"/>
    <mergeCell ref="W312:AA312"/>
    <mergeCell ref="K342:L342"/>
    <mergeCell ref="U333:V333"/>
    <mergeCell ref="C443:F443"/>
    <mergeCell ref="M407:N407"/>
    <mergeCell ref="W314:AA314"/>
    <mergeCell ref="W436:AA436"/>
    <mergeCell ref="K344:L344"/>
    <mergeCell ref="AB360:AD360"/>
    <mergeCell ref="U366:V366"/>
    <mergeCell ref="U341:V341"/>
    <mergeCell ref="W313:AA313"/>
    <mergeCell ref="W444:AA444"/>
    <mergeCell ref="R384:T384"/>
    <mergeCell ref="L13:M13"/>
    <mergeCell ref="G388:I388"/>
    <mergeCell ref="M408:N408"/>
    <mergeCell ref="C438:F438"/>
    <mergeCell ref="M402:N402"/>
    <mergeCell ref="R386:T386"/>
    <mergeCell ref="L15:M15"/>
    <mergeCell ref="C446:F446"/>
    <mergeCell ref="M410:N410"/>
    <mergeCell ref="C440:F440"/>
    <mergeCell ref="AB376:AD376"/>
    <mergeCell ref="G389:I389"/>
    <mergeCell ref="G383:I383"/>
    <mergeCell ref="U392:V392"/>
    <mergeCell ref="K326:L326"/>
    <mergeCell ref="R387:T387"/>
    <mergeCell ref="W454:AA454"/>
    <mergeCell ref="O342:Q342"/>
    <mergeCell ref="K362:L362"/>
    <mergeCell ref="G385:I385"/>
    <mergeCell ref="M301:N301"/>
    <mergeCell ref="M337:N337"/>
    <mergeCell ref="U394:V394"/>
    <mergeCell ref="W366:AA366"/>
    <mergeCell ref="M309:N309"/>
    <mergeCell ref="M303:N303"/>
    <mergeCell ref="M330:N330"/>
    <mergeCell ref="W455:AA455"/>
    <mergeCell ref="U387:V387"/>
    <mergeCell ref="W326:AA326"/>
    <mergeCell ref="M332:N332"/>
    <mergeCell ref="R397:T397"/>
    <mergeCell ref="C430:F430"/>
    <mergeCell ref="M304:N304"/>
    <mergeCell ref="O368:Q368"/>
    <mergeCell ref="AB429:AD429"/>
    <mergeCell ref="L53:M53"/>
    <mergeCell ref="L28:M28"/>
    <mergeCell ref="H260:K260"/>
    <mergeCell ref="G313:I313"/>
    <mergeCell ref="AB431:AD431"/>
    <mergeCell ref="W384:AA384"/>
    <mergeCell ref="K292:L292"/>
    <mergeCell ref="G315:I315"/>
    <mergeCell ref="U405:V405"/>
    <mergeCell ref="H257:I257"/>
    <mergeCell ref="W386:AA386"/>
    <mergeCell ref="M350:N350"/>
    <mergeCell ref="U407:V407"/>
    <mergeCell ref="W379:AA379"/>
    <mergeCell ref="K287:L287"/>
    <mergeCell ref="M352:N352"/>
    <mergeCell ref="W381:AA381"/>
    <mergeCell ref="O388:Q388"/>
    <mergeCell ref="K289:L289"/>
    <mergeCell ref="M345:N345"/>
    <mergeCell ref="R451:T451"/>
    <mergeCell ref="O328:Q328"/>
    <mergeCell ref="AB442:AD442"/>
    <mergeCell ref="G455:I455"/>
    <mergeCell ref="AB302:AD302"/>
    <mergeCell ref="O417:Q417"/>
    <mergeCell ref="O294:Q294"/>
    <mergeCell ref="M376:N376"/>
    <mergeCell ref="R453:T453"/>
    <mergeCell ref="G326:I326"/>
    <mergeCell ref="O383:Q383"/>
    <mergeCell ref="K313:L313"/>
    <mergeCell ref="O419:Q419"/>
    <mergeCell ref="C385:F385"/>
    <mergeCell ref="W397:AA397"/>
    <mergeCell ref="M378:N378"/>
    <mergeCell ref="K315:L315"/>
    <mergeCell ref="U337:V337"/>
    <mergeCell ref="M371:N371"/>
    <mergeCell ref="U331:V331"/>
    <mergeCell ref="C354:F354"/>
    <mergeCell ref="O318:Q318"/>
    <mergeCell ref="O312:Q312"/>
    <mergeCell ref="U332:V332"/>
    <mergeCell ref="M406:N406"/>
    <mergeCell ref="C436:F436"/>
    <mergeCell ref="G379:I379"/>
    <mergeCell ref="O314:Q314"/>
    <mergeCell ref="C444:F444"/>
    <mergeCell ref="O313:Q313"/>
    <mergeCell ref="L6:M6"/>
    <mergeCell ref="R352:T352"/>
    <mergeCell ref="G387:I387"/>
    <mergeCell ref="G381:I381"/>
    <mergeCell ref="K360:L360"/>
    <mergeCell ref="M422:N422"/>
    <mergeCell ref="W451:AA451"/>
    <mergeCell ref="M432:N432"/>
    <mergeCell ref="K353:L353"/>
    <mergeCell ref="U350:V350"/>
    <mergeCell ref="W453:AA453"/>
    <mergeCell ref="M417:N417"/>
    <mergeCell ref="O369:Q369"/>
    <mergeCell ref="L24:M24"/>
    <mergeCell ref="L18:M18"/>
    <mergeCell ref="C455:F455"/>
    <mergeCell ref="M419:N419"/>
    <mergeCell ref="C449:F449"/>
    <mergeCell ref="L26:M26"/>
    <mergeCell ref="U401:V401"/>
    <mergeCell ref="U376:V376"/>
    <mergeCell ref="G444:I444"/>
    <mergeCell ref="K387:L387"/>
    <mergeCell ref="K381:L381"/>
    <mergeCell ref="M443:N443"/>
    <mergeCell ref="U403:V403"/>
    <mergeCell ref="U378:V378"/>
    <mergeCell ref="M445:N445"/>
    <mergeCell ref="C297:F297"/>
    <mergeCell ref="W352:AA352"/>
    <mergeCell ref="R423:T423"/>
    <mergeCell ref="C299:F299"/>
    <mergeCell ref="K397:L397"/>
    <mergeCell ref="G426:I426"/>
    <mergeCell ref="AB273:AD273"/>
    <mergeCell ref="O413:Q413"/>
    <mergeCell ref="L37:M37"/>
    <mergeCell ref="C292:F292"/>
    <mergeCell ref="U429:V429"/>
    <mergeCell ref="R424:T424"/>
    <mergeCell ref="O415:Q415"/>
    <mergeCell ref="U300:V300"/>
    <mergeCell ref="U431:V431"/>
    <mergeCell ref="U414:V414"/>
    <mergeCell ref="K311:L311"/>
    <mergeCell ref="H266:I266"/>
    <mergeCell ref="M367:N367"/>
    <mergeCell ref="U424:V424"/>
    <mergeCell ref="K425:L425"/>
    <mergeCell ref="K400:L400"/>
    <mergeCell ref="O410:Q410"/>
    <mergeCell ref="U301:V301"/>
    <mergeCell ref="M375:N375"/>
    <mergeCell ref="M369:N369"/>
    <mergeCell ref="R294:T294"/>
    <mergeCell ref="O441:Q441"/>
    <mergeCell ref="AB284:AD284"/>
    <mergeCell ref="O434:Q434"/>
    <mergeCell ref="AB286:AD286"/>
    <mergeCell ref="O426:Q426"/>
    <mergeCell ref="K451:L451"/>
    <mergeCell ref="K329:L329"/>
    <mergeCell ref="G352:I352"/>
    <mergeCell ref="U442:V442"/>
    <mergeCell ref="O436:Q436"/>
    <mergeCell ref="K295:L295"/>
    <mergeCell ref="K322:L322"/>
    <mergeCell ref="K453:L453"/>
    <mergeCell ref="M359:N359"/>
    <mergeCell ref="K324:L324"/>
    <mergeCell ref="U443:V443"/>
    <mergeCell ref="C363:F363"/>
    <mergeCell ref="M388:N388"/>
    <mergeCell ref="R313:T313"/>
    <mergeCell ref="R279:T279"/>
    <mergeCell ref="AB339:AD339"/>
    <mergeCell ref="O454:Q454"/>
    <mergeCell ref="W292:AA292"/>
    <mergeCell ref="R281:T281"/>
    <mergeCell ref="U372:V372"/>
    <mergeCell ref="W294:AA294"/>
    <mergeCell ref="K377:L377"/>
    <mergeCell ref="M439:N439"/>
    <mergeCell ref="W287:AA287"/>
    <mergeCell ref="U374:V374"/>
    <mergeCell ref="M441:N441"/>
    <mergeCell ref="W289:AA289"/>
    <mergeCell ref="R366:T366"/>
    <mergeCell ref="U369:V369"/>
    <mergeCell ref="AB350:AD350"/>
    <mergeCell ref="O384:Q384"/>
    <mergeCell ref="R361:T361"/>
    <mergeCell ref="AB358:AD358"/>
    <mergeCell ref="O350:Q350"/>
    <mergeCell ref="G424:I424"/>
    <mergeCell ref="C290:F290"/>
    <mergeCell ref="M283:N283"/>
    <mergeCell ref="O379:Q379"/>
    <mergeCell ref="G453:I453"/>
    <mergeCell ref="K396:L396"/>
    <mergeCell ref="U456:V456"/>
    <mergeCell ref="K390:L390"/>
    <mergeCell ref="C321:F321"/>
    <mergeCell ref="C404:F404"/>
    <mergeCell ref="M454:N454"/>
    <mergeCell ref="AB280:AD280"/>
    <mergeCell ref="C316:F316"/>
    <mergeCell ref="AB411:AD411"/>
    <mergeCell ref="K423:L423"/>
    <mergeCell ref="AB282:AD282"/>
    <mergeCell ref="O432:Q432"/>
    <mergeCell ref="K414:L414"/>
    <mergeCell ref="AB406:AD406"/>
    <mergeCell ref="R405:T405"/>
    <mergeCell ref="G290:I290"/>
    <mergeCell ref="U439:V439"/>
    <mergeCell ref="H250:I250"/>
    <mergeCell ref="W361:AA361"/>
    <mergeCell ref="K409:L409"/>
    <mergeCell ref="C334:F334"/>
    <mergeCell ref="AB308:AD308"/>
    <mergeCell ref="U441:V441"/>
    <mergeCell ref="R309:T309"/>
    <mergeCell ref="M297:N297"/>
    <mergeCell ref="AB422:AD422"/>
    <mergeCell ref="C336:F336"/>
    <mergeCell ref="R275:T275"/>
    <mergeCell ref="AB335:AD335"/>
    <mergeCell ref="O450:Q450"/>
    <mergeCell ref="AB310:AD310"/>
    <mergeCell ref="C329:F329"/>
    <mergeCell ref="C365:F365"/>
    <mergeCell ref="R304:T304"/>
    <mergeCell ref="O452:Q452"/>
    <mergeCell ref="C157:C158"/>
    <mergeCell ref="C331:F331"/>
    <mergeCell ref="C362:F362"/>
    <mergeCell ref="R301:T301"/>
    <mergeCell ref="W285:AA285"/>
    <mergeCell ref="O292:Q292"/>
    <mergeCell ref="R330:T330"/>
    <mergeCell ref="R332:T332"/>
    <mergeCell ref="AB354:AD354"/>
    <mergeCell ref="O287:Q287"/>
    <mergeCell ref="AB348:AD348"/>
    <mergeCell ref="G361:I361"/>
    <mergeCell ref="O289:Q289"/>
    <mergeCell ref="K359:L359"/>
    <mergeCell ref="AB349:AD349"/>
    <mergeCell ref="C400:F400"/>
    <mergeCell ref="AB380:AD380"/>
    <mergeCell ref="W304:AA304"/>
    <mergeCell ref="M285:N285"/>
    <mergeCell ref="R350:T350"/>
    <mergeCell ref="C429:F429"/>
    <mergeCell ref="R343:T343"/>
    <mergeCell ref="W329:AA329"/>
    <mergeCell ref="C437:F437"/>
    <mergeCell ref="AB375:AD375"/>
    <mergeCell ref="R345:T345"/>
    <mergeCell ref="W331:AA331"/>
    <mergeCell ref="AB377:AD377"/>
    <mergeCell ref="W330:AA330"/>
    <mergeCell ref="W332:AA332"/>
    <mergeCell ref="D192:D193"/>
    <mergeCell ref="R403:T403"/>
    <mergeCell ref="C305:F305"/>
    <mergeCell ref="O333:Q333"/>
    <mergeCell ref="AB393:AD393"/>
    <mergeCell ref="G400:I400"/>
    <mergeCell ref="AB306:AD306"/>
    <mergeCell ref="R398:T398"/>
    <mergeCell ref="C300:F300"/>
    <mergeCell ref="AB395:AD395"/>
    <mergeCell ref="G402:I402"/>
    <mergeCell ref="C361:F361"/>
    <mergeCell ref="U280:V280"/>
    <mergeCell ref="G304:I304"/>
    <mergeCell ref="C327:F327"/>
    <mergeCell ref="O416:Q416"/>
    <mergeCell ref="U282:V282"/>
    <mergeCell ref="K433:L433"/>
    <mergeCell ref="W343:AA343"/>
    <mergeCell ref="U275:V275"/>
    <mergeCell ref="M349:N349"/>
    <mergeCell ref="R414:T414"/>
    <mergeCell ref="AB446:AD446"/>
    <mergeCell ref="K435:L435"/>
    <mergeCell ref="W345:AA345"/>
    <mergeCell ref="U277:V277"/>
    <mergeCell ref="C387:F387"/>
    <mergeCell ref="R416:T416"/>
    <mergeCell ref="AB317:AD317"/>
    <mergeCell ref="G330:I330"/>
    <mergeCell ref="AB448:AD448"/>
    <mergeCell ref="C353:F353"/>
    <mergeCell ref="R328:T328"/>
    <mergeCell ref="O283:Q283"/>
    <mergeCell ref="AB319:AD319"/>
    <mergeCell ref="G332:I332"/>
    <mergeCell ref="U422:V422"/>
    <mergeCell ref="R417:T417"/>
    <mergeCell ref="C382:F382"/>
    <mergeCell ref="K275:L275"/>
    <mergeCell ref="AB318:AD318"/>
    <mergeCell ref="O285:Q285"/>
    <mergeCell ref="W396:AA396"/>
    <mergeCell ref="R442:T442"/>
    <mergeCell ref="K304:L304"/>
    <mergeCell ref="M333:N333"/>
    <mergeCell ref="G327:I327"/>
    <mergeCell ref="U295:V295"/>
    <mergeCell ref="W398:AA398"/>
    <mergeCell ref="K306:L306"/>
    <mergeCell ref="M368:N368"/>
    <mergeCell ref="C371:F371"/>
    <mergeCell ref="R346:T346"/>
    <mergeCell ref="M334:N334"/>
    <mergeCell ref="O311:Q311"/>
    <mergeCell ref="C192:C193"/>
    <mergeCell ref="G343:I343"/>
    <mergeCell ref="C402:F402"/>
    <mergeCell ref="W414:AA414"/>
    <mergeCell ref="R341:T341"/>
    <mergeCell ref="G345:I345"/>
    <mergeCell ref="AB373:AD373"/>
    <mergeCell ref="K288:L288"/>
    <mergeCell ref="W416:AA416"/>
    <mergeCell ref="W295:AA295"/>
    <mergeCell ref="U347:V347"/>
    <mergeCell ref="W409:AA409"/>
    <mergeCell ref="W328:AA328"/>
    <mergeCell ref="O329:Q329"/>
    <mergeCell ref="U349:V349"/>
    <mergeCell ref="R367:T367"/>
    <mergeCell ref="AB389:AD389"/>
    <mergeCell ref="F157:J157"/>
    <mergeCell ref="M294:N294"/>
    <mergeCell ref="R359:T359"/>
    <mergeCell ref="R394:T394"/>
    <mergeCell ref="O330:Q330"/>
    <mergeCell ref="R369:T369"/>
    <mergeCell ref="C296:F296"/>
    <mergeCell ref="O324:Q324"/>
    <mergeCell ref="AB391:AD391"/>
    <mergeCell ref="AB385:AD385"/>
    <mergeCell ref="G398:I398"/>
    <mergeCell ref="O360:Q360"/>
    <mergeCell ref="G275:I275"/>
    <mergeCell ref="C298:F298"/>
    <mergeCell ref="G427:I427"/>
    <mergeCell ref="C456:F456"/>
    <mergeCell ref="AB386:AD386"/>
    <mergeCell ref="G399:I399"/>
    <mergeCell ref="U367:V367"/>
    <mergeCell ref="M293:N293"/>
    <mergeCell ref="M320:N320"/>
    <mergeCell ref="M286:N286"/>
    <mergeCell ref="W341:AA341"/>
    <mergeCell ref="U273:V273"/>
    <mergeCell ref="L41:M41"/>
    <mergeCell ref="R293:T293"/>
    <mergeCell ref="AB412:AD412"/>
    <mergeCell ref="R413:T413"/>
    <mergeCell ref="R407:T407"/>
    <mergeCell ref="O343:Q343"/>
    <mergeCell ref="L36:M36"/>
    <mergeCell ref="G417:I417"/>
  </mergeCells>
  <conditionalFormatting sqref="K4:K31 N4:N31 N37:N57">
    <cfRule type="cellIs" priority="7" operator="lessThan" dxfId="8">
      <formula>0</formula>
    </cfRule>
  </conditionalFormatting>
  <conditionalFormatting sqref="B159:I190">
    <cfRule type="expression" priority="6" dxfId="12">
      <formula>MOD(ROW(),2)=0</formula>
    </cfRule>
  </conditionalFormatting>
  <conditionalFormatting sqref="B194:I216">
    <cfRule type="expression" priority="5" dxfId="12">
      <formula>MOD(ROW(),2)=0</formula>
    </cfRule>
  </conditionalFormatting>
  <conditionalFormatting sqref="D4:N5 D6:L6 D7:N7 D8:L8 D9:K31 D37:N51 D52:L52 D53:N57 L9:M11 L12 L13:M13 L14 L15:M16 L17:L18 L19:M19 L20 L21:M22 L23 L24:M26 L27 L28:M29 L30 L31:M31 N6 N8:N31 N52">
    <cfRule type="expression" priority="4" dxfId="11">
      <formula>MOD(ROW(),2)=0</formula>
    </cfRule>
  </conditionalFormatting>
  <conditionalFormatting sqref="K37:K57">
    <cfRule type="cellIs" priority="1" operator="lessThan" dxfId="8">
      <formula>0</formula>
    </cfRule>
    <cfRule type="cellIs" priority="3" operator="lessThan" dxfId="8">
      <formula>0</formula>
    </cfRule>
  </conditionalFormatting>
  <conditionalFormatting sqref="K4:K30">
    <cfRule type="cellIs" priority="2" operator="lessThan" dxfId="8">
      <formula>0</formula>
    </cfRule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977"/>
  <sheetViews>
    <sheetView showGridLines="0" zoomScale="85" zoomScaleNormal="85" workbookViewId="0">
      <selection activeCell="E48" sqref="E48"/>
    </sheetView>
  </sheetViews>
  <sheetFormatPr baseColWidth="10" defaultRowHeight="12.75"/>
  <cols>
    <col width="11.42578125" customWidth="1" style="232" min="1" max="2"/>
    <col width="12.140625" bestFit="1" customWidth="1" style="232" min="3" max="3"/>
    <col width="36.42578125" bestFit="1" customWidth="1" style="232" min="4" max="4"/>
    <col width="11.42578125" customWidth="1" style="232" min="5" max="5"/>
    <col width="26.85546875" customWidth="1" style="232" min="6" max="6"/>
    <col width="11.85546875" customWidth="1" style="232" min="7" max="7"/>
    <col width="11.42578125" customWidth="1" style="232" min="8" max="9"/>
    <col width="13.7109375" bestFit="1" customWidth="1" style="232" min="10" max="10"/>
    <col width="12" bestFit="1" customWidth="1" style="232" min="11" max="11"/>
    <col width="23.140625" customWidth="1" style="232" min="12" max="12"/>
    <col width="11.42578125" customWidth="1" style="232" min="13" max="16384"/>
  </cols>
  <sheetData>
    <row r="1" ht="13.5" customHeight="1" s="95" thickBot="1"/>
    <row r="2" ht="13.5" customHeight="1" s="95" thickBot="1">
      <c r="B2" s="4" t="n"/>
      <c r="C2" s="9" t="n"/>
      <c r="D2" s="126" t="inlineStr">
        <is>
          <t>PRODUCTOS</t>
        </is>
      </c>
      <c r="E2" s="128" t="inlineStr">
        <is>
          <t>+</t>
        </is>
      </c>
      <c r="F2" s="128" t="inlineStr">
        <is>
          <t>+</t>
        </is>
      </c>
      <c r="G2" s="128" t="inlineStr">
        <is>
          <t>(-)</t>
        </is>
      </c>
      <c r="H2" s="128" t="inlineStr">
        <is>
          <t>(-)</t>
        </is>
      </c>
      <c r="I2" s="128" t="inlineStr">
        <is>
          <t>=</t>
        </is>
      </c>
      <c r="J2" s="128" t="inlineStr">
        <is>
          <t>=</t>
        </is>
      </c>
      <c r="K2" s="128" t="inlineStr">
        <is>
          <t>=</t>
        </is>
      </c>
      <c r="L2" s="296" t="inlineStr">
        <is>
          <t>$</t>
        </is>
      </c>
      <c r="M2" s="297" t="n"/>
      <c r="N2" s="34" t="inlineStr">
        <is>
          <t>$</t>
        </is>
      </c>
      <c r="O2" s="4" t="n"/>
      <c r="P2" s="4" t="n"/>
      <c r="Q2" s="4" t="n"/>
    </row>
    <row r="3" ht="13.5" customHeight="1" s="95" thickBot="1">
      <c r="B3" s="4" t="n"/>
      <c r="C3" s="33" t="n"/>
      <c r="D3" s="298" t="n"/>
      <c r="E3" s="129" t="inlineStr">
        <is>
          <t>Stock Inicial</t>
        </is>
      </c>
      <c r="F3" s="129" t="inlineStr">
        <is>
          <t>Entregas</t>
        </is>
      </c>
      <c r="G3" s="129" t="inlineStr">
        <is>
          <t>Ventas</t>
        </is>
      </c>
      <c r="H3" s="129" t="inlineStr">
        <is>
          <t>Mermas</t>
        </is>
      </c>
      <c r="I3" s="129" t="inlineStr">
        <is>
          <t>Stock Real</t>
        </is>
      </c>
      <c r="J3" s="129" t="inlineStr">
        <is>
          <t>Stock Informado</t>
        </is>
      </c>
      <c r="K3" s="129" t="inlineStr">
        <is>
          <t>Diferencias</t>
        </is>
      </c>
      <c r="L3" s="129" t="inlineStr">
        <is>
          <t>Precio</t>
        </is>
      </c>
      <c r="M3" s="297" t="n"/>
      <c r="N3" s="109" t="inlineStr">
        <is>
          <t>Descuento</t>
        </is>
      </c>
      <c r="O3" s="4" t="n"/>
      <c r="P3" s="4" t="n"/>
      <c r="Q3" s="4" t="n"/>
    </row>
    <row r="4">
      <c r="B4" s="4" t="n"/>
      <c r="C4" s="9" t="n"/>
      <c r="D4" s="103" t="inlineStr">
        <is>
          <t>Atún Steak</t>
        </is>
      </c>
      <c r="E4" s="243" t="n"/>
      <c r="F4" s="104">
        <f>E221</f>
        <v/>
      </c>
      <c r="G4" s="104">
        <f>IFERROR(SUMPRODUCT(($F$66:$F$153="Atún Steak")*$E$66:$E$153*$G$66:$G$153),"Error")</f>
        <v/>
      </c>
      <c r="H4" s="104">
        <f>SUM(F159:J159)</f>
        <v/>
      </c>
      <c r="I4" s="104">
        <f>E4+F4-G4-H4</f>
        <v/>
      </c>
      <c r="J4" s="104">
        <f>E159</f>
        <v/>
      </c>
      <c r="K4" s="105">
        <f>J4-I4</f>
        <v/>
      </c>
      <c r="L4" s="299">
        <f>+'MERMAS S1'!D5</f>
        <v/>
      </c>
      <c r="M4" s="300" t="n"/>
      <c r="N4" s="106">
        <f>IF(K4&lt;0,K4*L4,0)</f>
        <v/>
      </c>
      <c r="O4" s="4" t="n"/>
      <c r="P4" s="4" t="n"/>
      <c r="Q4" s="4" t="n"/>
    </row>
    <row r="5">
      <c r="B5" s="4" t="n"/>
      <c r="C5" s="9" t="n"/>
      <c r="D5" s="49" t="inlineStr">
        <is>
          <t>Atún Trozos</t>
        </is>
      </c>
      <c r="E5" s="244" t="n"/>
      <c r="F5" s="86">
        <f>E222</f>
        <v/>
      </c>
      <c r="G5" s="86">
        <f>IFERROR(SUMPRODUCT(($F$66:$F$153="Atún Trozos")*$E$66:$E$153*$G$66:$G$153),"Error")</f>
        <v/>
      </c>
      <c r="H5" s="86">
        <f>SUM(F160:I160)+SUM(F190:I190)</f>
        <v/>
      </c>
      <c r="I5" s="86">
        <f>E5+F5-G5-H5</f>
        <v/>
      </c>
      <c r="J5" s="86">
        <f>E160+E190</f>
        <v/>
      </c>
      <c r="K5" s="87">
        <f>J5-I5</f>
        <v/>
      </c>
      <c r="L5" s="121">
        <f>+'MERMAS S1'!D6</f>
        <v/>
      </c>
      <c r="M5" s="301" t="n"/>
      <c r="N5" s="36">
        <f>IF(K5&lt;0,K5*L5,0)</f>
        <v/>
      </c>
      <c r="O5" s="4" t="n"/>
      <c r="P5" s="4" t="n"/>
      <c r="Q5" s="4" t="n"/>
    </row>
    <row r="6">
      <c r="B6" s="4" t="n"/>
      <c r="C6" s="9" t="n"/>
      <c r="D6" s="49" t="inlineStr">
        <is>
          <t>Almejas Julianas</t>
        </is>
      </c>
      <c r="E6" s="244" t="n"/>
      <c r="F6" s="86">
        <f>E254</f>
        <v/>
      </c>
      <c r="G6" s="86">
        <f>K254</f>
        <v/>
      </c>
      <c r="H6" s="86">
        <f>SUM(F161:I161)+J254</f>
        <v/>
      </c>
      <c r="I6" s="86">
        <f>E6+F6-G6-H6</f>
        <v/>
      </c>
      <c r="J6" s="86">
        <f>E161</f>
        <v/>
      </c>
      <c r="K6" s="87">
        <f>J6-I6</f>
        <v/>
      </c>
      <c r="L6" s="121">
        <f>+'MERMAS S1'!D7</f>
        <v/>
      </c>
      <c r="M6" s="301" t="n"/>
      <c r="N6" s="36">
        <f>IF(K6&lt;0,K6*L6,0)</f>
        <v/>
      </c>
      <c r="O6" s="4" t="n"/>
      <c r="P6" s="4" t="n"/>
      <c r="Q6" s="4" t="n"/>
    </row>
    <row r="7">
      <c r="A7" s="302" t="n"/>
      <c r="B7" s="4" t="n"/>
      <c r="C7" s="9" t="n"/>
      <c r="D7" s="50" t="inlineStr">
        <is>
          <t>Carpaccio de res</t>
        </is>
      </c>
      <c r="E7" s="244" t="n"/>
      <c r="F7" s="86">
        <f>E223</f>
        <v/>
      </c>
      <c r="G7" s="86">
        <f>IFERROR(SUMPRODUCT(($F$66:$F$153="Carpaccio de res")*$E$66:$E$153*$G$66:$G$153),"Error")</f>
        <v/>
      </c>
      <c r="H7" s="86">
        <f>SUM(F162:I162)</f>
        <v/>
      </c>
      <c r="I7" s="86">
        <f>E7+F7-G7-H7</f>
        <v/>
      </c>
      <c r="J7" s="86">
        <f>E162</f>
        <v/>
      </c>
      <c r="K7" s="87">
        <f>J7-I7</f>
        <v/>
      </c>
      <c r="L7" s="121">
        <f>+'MERMAS S1'!D8</f>
        <v/>
      </c>
      <c r="M7" s="301" t="n"/>
      <c r="N7" s="36">
        <f>IF(K7&lt;0,K7*L7,0)</f>
        <v/>
      </c>
      <c r="O7" s="4" t="n"/>
      <c r="P7" s="4" t="n"/>
      <c r="Q7" s="4" t="n"/>
    </row>
    <row r="8">
      <c r="A8" s="302" t="n"/>
      <c r="B8" s="4" t="n"/>
      <c r="C8" s="9" t="n"/>
      <c r="D8" s="50" t="inlineStr">
        <is>
          <t>Chupe</t>
        </is>
      </c>
      <c r="E8" s="244" t="n"/>
      <c r="F8" s="86">
        <f>H258</f>
        <v/>
      </c>
      <c r="G8" s="86">
        <f>E90</f>
        <v/>
      </c>
      <c r="H8" s="86">
        <f>SUM(F165:I165)</f>
        <v/>
      </c>
      <c r="I8" s="86">
        <f>E8+F8-G8-H8</f>
        <v/>
      </c>
      <c r="J8" s="86">
        <f>E165</f>
        <v/>
      </c>
      <c r="K8" s="87">
        <f>J8-I8</f>
        <v/>
      </c>
      <c r="L8" s="121">
        <f>+'MERMAS S1'!D9</f>
        <v/>
      </c>
      <c r="M8" s="301" t="n"/>
      <c r="N8" s="36">
        <f>IF(K8&lt;0,K8*L8,0)</f>
        <v/>
      </c>
      <c r="O8" s="4" t="n"/>
      <c r="P8" s="4" t="n"/>
      <c r="Q8" s="4" t="n"/>
    </row>
    <row r="9">
      <c r="A9" s="302" t="n"/>
      <c r="B9" s="4" t="n"/>
      <c r="C9" s="9" t="n"/>
      <c r="D9" s="50" t="inlineStr">
        <is>
          <t>Congrio</t>
        </is>
      </c>
      <c r="E9" s="244" t="n"/>
      <c r="F9" s="86">
        <f>E252</f>
        <v/>
      </c>
      <c r="G9" s="86">
        <f>IFERROR(SUMPRODUCT(($F$66:$F$153="Congrio")*$E$66:$E$153*$G$66:$G$153),"Error")</f>
        <v/>
      </c>
      <c r="H9" s="86">
        <f>J252+SUM(F164:I164)</f>
        <v/>
      </c>
      <c r="I9" s="86">
        <f>E9+F9-G9-H9</f>
        <v/>
      </c>
      <c r="J9" s="86">
        <f>E164</f>
        <v/>
      </c>
      <c r="K9" s="87">
        <f>J9-I9</f>
        <v/>
      </c>
      <c r="L9" s="121">
        <f>+'MERMAS S1'!D10</f>
        <v/>
      </c>
      <c r="M9" s="301" t="n"/>
      <c r="N9" s="36">
        <f>IF(K9&lt;0,K9*L9,0)</f>
        <v/>
      </c>
      <c r="O9" s="4" t="n"/>
      <c r="P9" s="4" t="n"/>
      <c r="Q9" s="4" t="n"/>
    </row>
    <row r="10">
      <c r="A10" s="302" t="n"/>
      <c r="B10" s="4" t="n"/>
      <c r="C10" s="9" t="n"/>
      <c r="D10" s="50" t="inlineStr">
        <is>
          <t>Filete despunte</t>
        </is>
      </c>
      <c r="E10" s="244" t="n"/>
      <c r="F10" s="86">
        <f>E255</f>
        <v/>
      </c>
      <c r="G10" s="86">
        <f>K255+K256</f>
        <v/>
      </c>
      <c r="H10" s="86">
        <f>SUM(J255:J256)+SUM(F167:I167)</f>
        <v/>
      </c>
      <c r="I10" s="86">
        <f>E10+F10-G10-H10</f>
        <v/>
      </c>
      <c r="J10" s="86">
        <f>E167</f>
        <v/>
      </c>
      <c r="K10" s="87">
        <f>J10-I10</f>
        <v/>
      </c>
      <c r="L10" s="121">
        <f>+'MERMAS S1'!D11</f>
        <v/>
      </c>
      <c r="M10" s="301" t="n"/>
      <c r="N10" s="36">
        <f>IF(K10&lt;0,K10*L10,0)</f>
        <v/>
      </c>
      <c r="O10" s="4" t="n"/>
      <c r="P10" s="4" t="n"/>
      <c r="Q10" s="4" t="n"/>
    </row>
    <row r="11">
      <c r="A11" s="302" t="n"/>
      <c r="B11" s="4" t="n"/>
      <c r="C11" s="9" t="n"/>
      <c r="D11" s="50" t="inlineStr">
        <is>
          <t>Filete para churrasco</t>
        </is>
      </c>
      <c r="E11" s="244" t="n"/>
      <c r="F11" s="86">
        <f>E226</f>
        <v/>
      </c>
      <c r="G11" s="86">
        <f>IFERROR(SUMPRODUCT(($F$66:$F$153="Filete para churrasco")*$E$66:$E$153*$G$66:$G$153),"Error")</f>
        <v/>
      </c>
      <c r="H11" s="86">
        <f>SUM(F168:I168)</f>
        <v/>
      </c>
      <c r="I11" s="86">
        <f>E11+F11-G11-H11</f>
        <v/>
      </c>
      <c r="J11" s="86">
        <f>E168</f>
        <v/>
      </c>
      <c r="K11" s="87">
        <f>J11-I11</f>
        <v/>
      </c>
      <c r="L11" s="121">
        <f>+'MERMAS S1'!D12</f>
        <v/>
      </c>
      <c r="M11" s="301" t="n"/>
      <c r="N11" s="36">
        <f>IF(K11&lt;0,K11*L11,0)</f>
        <v/>
      </c>
      <c r="O11" s="4" t="n"/>
      <c r="P11" s="4" t="n"/>
      <c r="Q11" s="4" t="n"/>
    </row>
    <row r="12">
      <c r="B12" s="4" t="n"/>
      <c r="C12" s="9" t="n"/>
      <c r="D12" s="50" t="inlineStr">
        <is>
          <t>Filete para crudo</t>
        </is>
      </c>
      <c r="E12" s="244" t="n"/>
      <c r="F12" s="86">
        <f>E227</f>
        <v/>
      </c>
      <c r="G12" s="86">
        <f>IFERROR(SUMPRODUCT(($F$66:$F$153="Filete para crudo")*$E$66:$E$153*$G$66:$G$153),"Error")</f>
        <v/>
      </c>
      <c r="H12" s="86">
        <f>SUM(F169:I169)+SUM(F189:I189)</f>
        <v/>
      </c>
      <c r="I12" s="86">
        <f>E12+F12-G12-H12</f>
        <v/>
      </c>
      <c r="J12" s="86">
        <f>E169
+IFERROR(INDEX($E$159:$E$215,MATCH("Tartar de Res",$D$159:$D$215,0)),0)</f>
        <v/>
      </c>
      <c r="K12" s="87">
        <f>J12-I12</f>
        <v/>
      </c>
      <c r="L12" s="121">
        <f>+'MERMAS S1'!D13</f>
        <v/>
      </c>
      <c r="M12" s="301" t="n"/>
      <c r="N12" s="36">
        <f>IF(K12&lt;0,K12*L12,0)</f>
        <v/>
      </c>
      <c r="O12" s="4" t="n"/>
      <c r="P12" s="4" t="n"/>
      <c r="Q12" s="4" t="n"/>
    </row>
    <row r="13" ht="14.25" customHeight="1" s="95">
      <c r="B13" s="4" t="n"/>
      <c r="C13" s="9" t="n"/>
      <c r="D13" s="50" t="inlineStr">
        <is>
          <t>Filete Salteado</t>
        </is>
      </c>
      <c r="E13" s="244" t="n"/>
      <c r="F13" s="86">
        <f>E228</f>
        <v/>
      </c>
      <c r="G13" s="86">
        <f>IFERROR(SUMPRODUCT(($F$66:$F$153=D13)*$E$66:$E$153*$G$66:$G$153),"Error")</f>
        <v/>
      </c>
      <c r="H13" s="86">
        <f>SUM(F170:I170)</f>
        <v/>
      </c>
      <c r="I13" s="86">
        <f>E13+F13-G13-H13</f>
        <v/>
      </c>
      <c r="J13" s="86">
        <f>E170</f>
        <v/>
      </c>
      <c r="K13" s="87">
        <f>J13-I13</f>
        <v/>
      </c>
      <c r="L13" s="121">
        <f>+'MERMAS S1'!D14</f>
        <v/>
      </c>
      <c r="M13" s="301" t="n"/>
      <c r="N13" s="36">
        <f>IF(K13&lt;0,K13*L13,0)</f>
        <v/>
      </c>
      <c r="O13" s="4" t="n"/>
      <c r="P13" s="4" t="n"/>
      <c r="Q13" s="4" t="n"/>
    </row>
    <row r="14">
      <c r="B14" s="4" t="n"/>
      <c r="C14" s="9" t="n"/>
      <c r="D14" s="50" t="inlineStr">
        <is>
          <t>Ganso</t>
        </is>
      </c>
      <c r="E14" s="244" t="n"/>
      <c r="F14" s="86">
        <f>E229</f>
        <v/>
      </c>
      <c r="G14" s="86">
        <f>IFERROR(SUMPRODUCT(($F$66:$F$153=D14)*$E$66:$E$153*$G$66:$G$153),"Error")</f>
        <v/>
      </c>
      <c r="H14" s="86">
        <f>SUM(F171:I171)+SUM(F180:I180)</f>
        <v/>
      </c>
      <c r="I14" s="86">
        <f>E14+F14-G14-H14</f>
        <v/>
      </c>
      <c r="J14" s="86">
        <f>E171
+IFERROR(INDEX($E$159:$E$215,MATCH("Paila de Carne",$D$159:$D$215,0)),0)</f>
        <v/>
      </c>
      <c r="K14" s="87">
        <f>J14-I14</f>
        <v/>
      </c>
      <c r="L14" s="121">
        <f>+'MERMAS S1'!D15</f>
        <v/>
      </c>
      <c r="M14" s="301" t="n"/>
      <c r="N14" s="36">
        <f>IF(K14&lt;0,K14*L14,0)</f>
        <v/>
      </c>
      <c r="O14" s="4" t="n"/>
      <c r="P14" s="4" t="n"/>
      <c r="Q14" s="4" t="n"/>
    </row>
    <row r="15">
      <c r="B15" s="4" t="n"/>
      <c r="C15" s="9" t="n"/>
      <c r="D15" s="50" t="inlineStr">
        <is>
          <t>Hamburguesas</t>
        </is>
      </c>
      <c r="E15" s="244" t="n"/>
      <c r="F15" s="86">
        <f>E231</f>
        <v/>
      </c>
      <c r="G15" s="86">
        <f>IFERROR(SUMPRODUCT(($F$66:$F$153=D15)*$E$66:$E$153*$G$66:$G$153),"Error")</f>
        <v/>
      </c>
      <c r="H15" s="86">
        <f>SUM(F172:I172)</f>
        <v/>
      </c>
      <c r="I15" s="86">
        <f>E15+F15-G15-H15</f>
        <v/>
      </c>
      <c r="J15" s="86">
        <f>E172</f>
        <v/>
      </c>
      <c r="K15" s="87">
        <f>J15-I15</f>
        <v/>
      </c>
      <c r="L15" s="121">
        <f>+'MERMAS S1'!D16</f>
        <v/>
      </c>
      <c r="M15" s="301" t="n"/>
      <c r="N15" s="36">
        <f>IF(K15&lt;0,K15*L15,0)</f>
        <v/>
      </c>
      <c r="O15" s="4" t="n"/>
      <c r="P15" s="4" t="n"/>
      <c r="Q15" s="4" t="n"/>
    </row>
    <row r="16">
      <c r="B16" s="4" t="n"/>
      <c r="C16" s="9" t="n"/>
      <c r="D16" s="50" t="inlineStr">
        <is>
          <t>Jamón serrano</t>
        </is>
      </c>
      <c r="E16" s="244" t="n"/>
      <c r="F16" s="86">
        <f>E232</f>
        <v/>
      </c>
      <c r="G16" s="86">
        <f>IFERROR(SUMPRODUCT(($F$66:$F$153=D16)*$E$66:$E$153*$G$66:$G$153),"Error")</f>
        <v/>
      </c>
      <c r="H16" s="86">
        <f>SUM(F174:I174)</f>
        <v/>
      </c>
      <c r="I16" s="86">
        <f>E16+F16-G16-H16</f>
        <v/>
      </c>
      <c r="J16" s="86">
        <f>E174</f>
        <v/>
      </c>
      <c r="K16" s="87">
        <f>J16-I16</f>
        <v/>
      </c>
      <c r="L16" s="121">
        <f>+'MERMAS S1'!D17</f>
        <v/>
      </c>
      <c r="M16" s="301" t="n"/>
      <c r="N16" s="36">
        <f>IF(K16&lt;0,K16*L16,0)</f>
        <v/>
      </c>
      <c r="O16" s="4" t="n"/>
      <c r="P16" s="4" t="n"/>
      <c r="Q16" s="4" t="n"/>
    </row>
    <row r="17">
      <c r="B17" s="4" t="n"/>
      <c r="C17" s="9" t="n"/>
      <c r="D17" s="50" t="inlineStr">
        <is>
          <t>Langostinos</t>
        </is>
      </c>
      <c r="E17" s="244" t="n"/>
      <c r="F17" s="86">
        <f>H248</f>
        <v/>
      </c>
      <c r="G17" s="86">
        <f>IFERROR(SUMPRODUCT(($F$66:$F$153=D17)*$E$66:$E$153*$G$66:$G$153),"Error")</f>
        <v/>
      </c>
      <c r="H17" s="86">
        <f>SUM(F173:I173)</f>
        <v/>
      </c>
      <c r="I17" s="86">
        <f>E17+F17-G17-H17</f>
        <v/>
      </c>
      <c r="J17" s="86">
        <f>E173</f>
        <v/>
      </c>
      <c r="K17" s="87">
        <f>J17-I17</f>
        <v/>
      </c>
      <c r="L17" s="121">
        <f>+'MERMAS S1'!D18</f>
        <v/>
      </c>
      <c r="M17" s="301" t="n"/>
      <c r="N17" s="36">
        <f>IF(K17&lt;0,K17*L17,0)</f>
        <v/>
      </c>
      <c r="O17" s="4" t="n"/>
      <c r="P17" s="4" t="n"/>
      <c r="Q17" s="4" t="n"/>
    </row>
    <row r="18">
      <c r="B18" s="4" t="n"/>
      <c r="C18" s="9" t="n"/>
      <c r="D18" s="50" t="inlineStr">
        <is>
          <t>Lasagna de Berenjenas</t>
        </is>
      </c>
      <c r="E18" s="244" t="n"/>
      <c r="F18" s="86">
        <f>H257</f>
        <v/>
      </c>
      <c r="G18" s="86">
        <f>E120</f>
        <v/>
      </c>
      <c r="H18" s="86">
        <f>SUM(F175:I175)</f>
        <v/>
      </c>
      <c r="I18" s="86">
        <f>E18+F18-G18-H18</f>
        <v/>
      </c>
      <c r="J18" s="86">
        <f>E175</f>
        <v/>
      </c>
      <c r="K18" s="87">
        <f>J18-I18</f>
        <v/>
      </c>
      <c r="L18" s="121">
        <f>+'MERMAS S1'!D19</f>
        <v/>
      </c>
      <c r="M18" s="301" t="n"/>
      <c r="N18" s="36">
        <f>IF(K18&lt;0,K18*L18,0)</f>
        <v/>
      </c>
      <c r="O18" s="4" t="n"/>
      <c r="P18" s="4" t="n"/>
      <c r="Q18" s="4" t="n"/>
    </row>
    <row r="19">
      <c r="B19" s="4" t="n"/>
      <c r="C19" s="9" t="n"/>
      <c r="D19" s="50" t="inlineStr">
        <is>
          <t>Locos</t>
        </is>
      </c>
      <c r="E19" s="244" t="n"/>
      <c r="F19" s="86">
        <f>E249</f>
        <v/>
      </c>
      <c r="G19" s="86">
        <f>IFERROR(SUMPRODUCT(($F$66:$F$153=D19)*$E$66:$E$153*$G$66:$G$153),"Error")</f>
        <v/>
      </c>
      <c r="H19" s="86">
        <f>SUM(F177:I177)+J249</f>
        <v/>
      </c>
      <c r="I19" s="86">
        <f>E19+F19-G19-H19</f>
        <v/>
      </c>
      <c r="J19" s="86">
        <f>E177</f>
        <v/>
      </c>
      <c r="K19" s="87">
        <f>J19-I19</f>
        <v/>
      </c>
      <c r="L19" s="121">
        <f>+'MERMAS S1'!D20</f>
        <v/>
      </c>
      <c r="M19" s="301" t="n"/>
      <c r="N19" s="36">
        <f>IF(K19&lt;0,K19*L19,0)</f>
        <v/>
      </c>
      <c r="O19" s="4" t="n"/>
      <c r="P19" s="4" t="n"/>
      <c r="Q19" s="4" t="n"/>
    </row>
    <row r="20">
      <c r="B20" s="4" t="n"/>
      <c r="C20" s="9" t="n"/>
      <c r="D20" s="50" t="inlineStr">
        <is>
          <t>Lomo liso</t>
        </is>
      </c>
      <c r="E20" s="244" t="n"/>
      <c r="F20" s="86">
        <f>E233</f>
        <v/>
      </c>
      <c r="G20" s="86">
        <f>IFERROR(SUMPRODUCT(($F$66:$F$153=D20)*$E$66:$E$153*$G$66:$G$153),"Error")</f>
        <v/>
      </c>
      <c r="H20" s="86">
        <f>SUM(F176:I176)</f>
        <v/>
      </c>
      <c r="I20" s="86">
        <f>E20+F20-G20-H20</f>
        <v/>
      </c>
      <c r="J20" s="86">
        <f>E176</f>
        <v/>
      </c>
      <c r="K20" s="87">
        <f>J20-I20</f>
        <v/>
      </c>
      <c r="L20" s="121">
        <f>+'MERMAS S1'!D21</f>
        <v/>
      </c>
      <c r="M20" s="301" t="n"/>
      <c r="N20" s="36">
        <f>IF(K20&lt;0,K20*L20,0)</f>
        <v/>
      </c>
      <c r="O20" s="4" t="n"/>
      <c r="P20" s="4" t="n"/>
      <c r="Q20" s="4" t="n"/>
    </row>
    <row r="21">
      <c r="B21" s="4" t="n"/>
      <c r="C21" s="9" t="n"/>
      <c r="D21" s="50" t="inlineStr">
        <is>
          <t>Mejillones</t>
        </is>
      </c>
      <c r="E21" s="244" t="n"/>
      <c r="F21" s="86">
        <f>E253</f>
        <v/>
      </c>
      <c r="G21" s="86">
        <f>K253</f>
        <v/>
      </c>
      <c r="H21" s="86">
        <f>J253+SUM(F178:I178)</f>
        <v/>
      </c>
      <c r="I21" s="86">
        <f>E21+F21-G21-H21</f>
        <v/>
      </c>
      <c r="J21" s="86">
        <f>E178</f>
        <v/>
      </c>
      <c r="K21" s="87">
        <f>J21-I21</f>
        <v/>
      </c>
      <c r="L21" s="121">
        <f>+'MERMAS S1'!D22</f>
        <v/>
      </c>
      <c r="M21" s="301" t="n"/>
      <c r="N21" s="36">
        <f>IF(K21&lt;0,K21*L21,0)</f>
        <v/>
      </c>
      <c r="O21" s="4" t="n"/>
      <c r="P21" s="4" t="n"/>
      <c r="Q21" s="4" t="n"/>
    </row>
    <row r="22">
      <c r="B22" s="4" t="n"/>
      <c r="C22" s="9" t="n"/>
      <c r="D22" s="50" t="inlineStr">
        <is>
          <t>Merluza</t>
        </is>
      </c>
      <c r="E22" s="244" t="n"/>
      <c r="F22" s="86">
        <f>E250</f>
        <v/>
      </c>
      <c r="G22" s="86">
        <f>IFERROR(SUMPRODUCT(($F$66:$F$153=D22)*$E$66:$E$153*$G$66:$G$153),"Error")</f>
        <v/>
      </c>
      <c r="H22" s="86">
        <f>SUM(F179:I179)+J250</f>
        <v/>
      </c>
      <c r="I22" s="86">
        <f>E22+F22-G22-H22</f>
        <v/>
      </c>
      <c r="J22" s="86">
        <f>E179</f>
        <v/>
      </c>
      <c r="K22" s="87">
        <f>J22-I22</f>
        <v/>
      </c>
      <c r="L22" s="121">
        <f>+'MERMAS S1'!D23</f>
        <v/>
      </c>
      <c r="M22" s="301" t="n"/>
      <c r="N22" s="36">
        <f>IF(K22&lt;0,K22*L22,0)</f>
        <v/>
      </c>
      <c r="O22" s="4" t="n"/>
      <c r="P22" s="4" t="n"/>
      <c r="Q22" s="4" t="n"/>
    </row>
    <row r="23">
      <c r="B23" s="4" t="n"/>
      <c r="C23" s="30" t="n"/>
      <c r="D23" s="50" t="inlineStr">
        <is>
          <t>Plateada</t>
        </is>
      </c>
      <c r="E23" s="244" t="n"/>
      <c r="F23" s="86">
        <f>E234</f>
        <v/>
      </c>
      <c r="G23" s="86">
        <f>IFERROR(SUMPRODUCT(($F$66:$F$153=D23)*$E$66:$E$153*$G$66:$G$153),"Error")</f>
        <v/>
      </c>
      <c r="H23" s="86">
        <f>SUM(F181:I181)</f>
        <v/>
      </c>
      <c r="I23" s="86">
        <f>E23+F23-G23-H23</f>
        <v/>
      </c>
      <c r="J23" s="86">
        <f>E181</f>
        <v/>
      </c>
      <c r="K23" s="87">
        <f>J23-I23</f>
        <v/>
      </c>
      <c r="L23" s="121">
        <f>+'MERMAS S1'!D24</f>
        <v/>
      </c>
      <c r="M23" s="301" t="n"/>
      <c r="N23" s="36">
        <f>IF(K23&lt;0,K23*L23,0)</f>
        <v/>
      </c>
      <c r="O23" s="4" t="n"/>
      <c r="P23" s="4" t="n"/>
      <c r="Q23" s="4" t="n"/>
    </row>
    <row r="24">
      <c r="B24" s="4" t="n"/>
      <c r="C24" s="30" t="n"/>
      <c r="D24" s="50" t="inlineStr">
        <is>
          <t>Pulpo</t>
        </is>
      </c>
      <c r="E24" s="244" t="n"/>
      <c r="F24" s="86">
        <f>E235</f>
        <v/>
      </c>
      <c r="G24" s="86">
        <f>IFERROR(SUMPRODUCT(($F$66:$F$153=D24)*$E$66:$E$153*$G$66:$G$153),"Error")</f>
        <v/>
      </c>
      <c r="H24" s="86">
        <f>SUM(F182:I182)</f>
        <v/>
      </c>
      <c r="I24" s="86">
        <f>E24+F24-G24-H24</f>
        <v/>
      </c>
      <c r="J24" s="86">
        <f>E182</f>
        <v/>
      </c>
      <c r="K24" s="87">
        <f>J24-I24</f>
        <v/>
      </c>
      <c r="L24" s="121">
        <f>+'MERMAS S1'!D25</f>
        <v/>
      </c>
      <c r="M24" s="301" t="n"/>
      <c r="N24" s="36">
        <f>IF(K24&lt;0,K24*L24,0)</f>
        <v/>
      </c>
      <c r="O24" s="4" t="n"/>
      <c r="P24" s="4" t="n"/>
      <c r="Q24" s="4" t="n"/>
    </row>
    <row r="25">
      <c r="B25" s="4" t="n"/>
      <c r="C25" s="30" t="n"/>
      <c r="D25" s="50" t="inlineStr">
        <is>
          <t>Ragout Lasagna</t>
        </is>
      </c>
      <c r="E25" s="244" t="n"/>
      <c r="F25" s="86">
        <f>H255</f>
        <v/>
      </c>
      <c r="G25" s="86">
        <f>E257</f>
        <v/>
      </c>
      <c r="H25" s="86">
        <f>SUM(F183:I183)+J257</f>
        <v/>
      </c>
      <c r="I25" s="86">
        <f>E25+F25-G25-H25</f>
        <v/>
      </c>
      <c r="J25" s="86">
        <f>E183</f>
        <v/>
      </c>
      <c r="K25" s="87">
        <f>J25-I25</f>
        <v/>
      </c>
      <c r="L25" s="121">
        <f>+'MERMAS S1'!D26</f>
        <v/>
      </c>
      <c r="M25" s="301" t="n"/>
      <c r="N25" s="36">
        <f>IF(K25&lt;0,K25*L25,0)</f>
        <v/>
      </c>
      <c r="O25" s="4" t="n"/>
      <c r="P25" s="4" t="n"/>
      <c r="Q25" s="4" t="n"/>
    </row>
    <row r="26">
      <c r="B26" s="4" t="n"/>
      <c r="C26" s="30" t="n"/>
      <c r="D26" s="50" t="inlineStr">
        <is>
          <t>Ragout Rigatoni</t>
        </is>
      </c>
      <c r="E26" s="244" t="n"/>
      <c r="F26" s="86">
        <f>H256</f>
        <v/>
      </c>
      <c r="G26" s="86">
        <f>E133</f>
        <v/>
      </c>
      <c r="H26" s="86">
        <f>SUM(F184:I184)</f>
        <v/>
      </c>
      <c r="I26" s="86">
        <f>E26+F26-G26-H26</f>
        <v/>
      </c>
      <c r="J26" s="86">
        <f>E184</f>
        <v/>
      </c>
      <c r="K26" s="87">
        <f>J26-I26</f>
        <v/>
      </c>
      <c r="L26" s="121">
        <f>+'MERMAS S1'!D27</f>
        <v/>
      </c>
      <c r="M26" s="301" t="n"/>
      <c r="N26" s="36">
        <f>IF(K26&lt;0,K26*L26,0)</f>
        <v/>
      </c>
      <c r="O26" s="4" t="n"/>
      <c r="P26" s="4" t="n"/>
      <c r="Q26" s="4" t="n"/>
    </row>
    <row r="27">
      <c r="B27" s="4" t="n"/>
      <c r="C27" s="30" t="n"/>
      <c r="D27" s="50" t="inlineStr">
        <is>
          <t>Reineta</t>
        </is>
      </c>
      <c r="E27" s="244" t="n"/>
      <c r="F27" s="86">
        <f>E251</f>
        <v/>
      </c>
      <c r="G27" s="86">
        <f>IFERROR(SUMPRODUCT(($F$66:$F$153=D27)*$E$66:$E$153*$G$66:$G$153),"Error")</f>
        <v/>
      </c>
      <c r="H27" s="86">
        <f>SUM(F163:I163)+J251</f>
        <v/>
      </c>
      <c r="I27" s="86">
        <f>E27+F27-G27-H27</f>
        <v/>
      </c>
      <c r="J27" s="86">
        <f>E163</f>
        <v/>
      </c>
      <c r="K27" s="87">
        <f>J27-I27</f>
        <v/>
      </c>
      <c r="L27" s="121">
        <f>+'MERMAS S1'!D28</f>
        <v/>
      </c>
      <c r="M27" s="301" t="n"/>
      <c r="N27" s="36">
        <f>IF(K27&lt;0,K27*L27,0)</f>
        <v/>
      </c>
      <c r="O27" s="4" t="n"/>
      <c r="P27" s="4" t="n"/>
      <c r="Q27" s="4" t="n"/>
    </row>
    <row r="28">
      <c r="B28" s="4" t="n"/>
      <c r="C28" s="30" t="n"/>
      <c r="D28" s="50" t="inlineStr">
        <is>
          <t>Salmón ahumado en frío</t>
        </is>
      </c>
      <c r="E28" s="244" t="n"/>
      <c r="F28" s="86">
        <f>E258</f>
        <v/>
      </c>
      <c r="G28" s="86">
        <f>K258</f>
        <v/>
      </c>
      <c r="H28" s="86">
        <f>J258</f>
        <v/>
      </c>
      <c r="I28" s="86">
        <f>E28+F28-G28-H28</f>
        <v/>
      </c>
      <c r="J28" s="86">
        <f>E185</f>
        <v/>
      </c>
      <c r="K28" s="87">
        <f>J28-I28</f>
        <v/>
      </c>
      <c r="L28" s="121">
        <f>+'MERMAS S1'!D29</f>
        <v/>
      </c>
      <c r="M28" s="301" t="n"/>
      <c r="N28" s="36">
        <f>IF(K28&lt;0,K28*L28,0)</f>
        <v/>
      </c>
      <c r="O28" s="4" t="n"/>
      <c r="P28" s="4" t="n"/>
      <c r="Q28" s="4" t="n"/>
    </row>
    <row r="29">
      <c r="B29" s="4" t="n"/>
      <c r="C29" s="30" t="n"/>
      <c r="D29" s="50" t="inlineStr">
        <is>
          <t>Salmón ahumado en Caliente</t>
        </is>
      </c>
      <c r="E29" s="244" t="n"/>
      <c r="F29" s="86">
        <f>E237</f>
        <v/>
      </c>
      <c r="G29" s="86">
        <f>IFERROR(SUMPRODUCT(($F$66:$F$153=D29)*$E$66:$E$153*$G$66:$G$153),"Error")</f>
        <v/>
      </c>
      <c r="H29" s="86">
        <f>SUM(F186:I186)</f>
        <v/>
      </c>
      <c r="I29" s="86">
        <f>E29+F29-G29-H29</f>
        <v/>
      </c>
      <c r="J29" s="86">
        <f>E186</f>
        <v/>
      </c>
      <c r="K29" s="87">
        <f>J29-I29</f>
        <v/>
      </c>
      <c r="L29" s="121">
        <f>+'MERMAS S1'!D30</f>
        <v/>
      </c>
      <c r="M29" s="301" t="n"/>
      <c r="N29" s="36">
        <f>IF(K29&lt;0,K29*L29,0)</f>
        <v/>
      </c>
      <c r="O29" s="4" t="n"/>
      <c r="P29" s="4" t="n"/>
      <c r="Q29" s="4" t="n"/>
    </row>
    <row r="30">
      <c r="B30" s="4" t="n"/>
      <c r="C30" s="30" t="n"/>
      <c r="D30" s="50" t="inlineStr">
        <is>
          <t>Salmón cancato</t>
        </is>
      </c>
      <c r="E30" s="244" t="n"/>
      <c r="F30" s="86">
        <f>E238</f>
        <v/>
      </c>
      <c r="G30" s="86">
        <f>IFERROR(SUMPRODUCT(($F$66:$F$153=D30)*$E$66:$E$153*$G$66:$G$153),"Error")</f>
        <v/>
      </c>
      <c r="H30" s="86">
        <f>SUM(F187:I187)</f>
        <v/>
      </c>
      <c r="I30" s="86">
        <f>E30+F30-G30-H30</f>
        <v/>
      </c>
      <c r="J30" s="86">
        <f>E187</f>
        <v/>
      </c>
      <c r="K30" s="87">
        <f>J30-I30</f>
        <v/>
      </c>
      <c r="L30" s="121">
        <f>+'MERMAS S1'!D31</f>
        <v/>
      </c>
      <c r="M30" s="301" t="n"/>
      <c r="N30" s="36">
        <f>IF(K30&lt;0,K30*L30,0)</f>
        <v/>
      </c>
      <c r="O30" s="4" t="n"/>
      <c r="P30" s="4" t="n"/>
      <c r="Q30" s="4" t="n"/>
    </row>
    <row r="31" ht="13.5" customHeight="1" s="95" thickBot="1">
      <c r="B31" s="4" t="n"/>
      <c r="C31" s="30" t="n"/>
      <c r="D31" s="51" t="inlineStr">
        <is>
          <t>Salmón fresco premium</t>
        </is>
      </c>
      <c r="E31" s="245" t="n"/>
      <c r="F31" s="107">
        <f>E239</f>
        <v/>
      </c>
      <c r="G31" s="107">
        <f>IFERROR(SUMPRODUCT(($F$66:$F$153=D31)*$E$66:$E$153*$G$66:$G$153),"Error")</f>
        <v/>
      </c>
      <c r="H31" s="107">
        <f>SUM(F188:I188)</f>
        <v/>
      </c>
      <c r="I31" s="107">
        <f>E31+F31-G31-H31</f>
        <v/>
      </c>
      <c r="J31" s="107">
        <f>E188</f>
        <v/>
      </c>
      <c r="K31" s="108">
        <f>J31-I31</f>
        <v/>
      </c>
      <c r="L31" s="131">
        <f>+'MERMAS S1'!D32</f>
        <v/>
      </c>
      <c r="M31" s="303" t="n"/>
      <c r="N31" s="110">
        <f>IF(K31&lt;0,K31*L31,0)</f>
        <v/>
      </c>
      <c r="O31" s="4" t="n"/>
      <c r="P31" s="4" t="n"/>
      <c r="Q31" s="4" t="n"/>
    </row>
    <row r="32" ht="13.5" customHeight="1" s="95" thickBot="1">
      <c r="B32" s="5" t="n"/>
      <c r="C32" s="6" t="n"/>
      <c r="D32" s="7" t="n"/>
      <c r="E32" s="6" t="n"/>
      <c r="F32" s="6" t="n"/>
      <c r="G32" s="6" t="n"/>
      <c r="H32" s="6" t="n"/>
      <c r="I32" s="8" t="n"/>
      <c r="J32" s="8" t="n"/>
      <c r="K32" s="8" t="n"/>
      <c r="L32" s="9" t="n"/>
      <c r="M32" s="4" t="n"/>
      <c r="N32" s="4" t="n"/>
      <c r="O32" s="4" t="n"/>
      <c r="P32" s="4" t="n"/>
      <c r="Q32" s="4" t="n"/>
    </row>
    <row r="33" ht="13.5" customHeight="1" s="95" thickBot="1">
      <c r="B33" s="5" t="n"/>
      <c r="C33" s="6" t="n"/>
      <c r="D33" s="7" t="n"/>
      <c r="E33" s="6" t="n"/>
      <c r="F33" s="6" t="n"/>
      <c r="G33" s="6" t="n"/>
      <c r="H33" s="10" t="n"/>
      <c r="I33" s="304" t="inlineStr">
        <is>
          <t>DIFERENCIAS PROMEDIO</t>
        </is>
      </c>
      <c r="J33" s="305" t="n"/>
      <c r="K33" s="11">
        <f>SUM(K7:K31)</f>
        <v/>
      </c>
      <c r="L33" s="4" t="n"/>
      <c r="M33" s="12" t="inlineStr">
        <is>
          <t>DCTO. TOTAL</t>
        </is>
      </c>
      <c r="N33" s="13">
        <f>SUM(N7:N31)</f>
        <v/>
      </c>
      <c r="O33" s="4" t="n"/>
      <c r="P33" s="4" t="n"/>
      <c r="Q33" s="4" t="n"/>
    </row>
    <row r="34" ht="13.5" customHeight="1" s="95" thickBot="1">
      <c r="B34" s="5" t="n"/>
      <c r="C34" s="6" t="n"/>
      <c r="D34" s="5" t="n"/>
      <c r="E34" s="6" t="n"/>
      <c r="F34" s="6" t="n"/>
      <c r="G34" s="6" t="n"/>
      <c r="H34" s="6" t="n"/>
      <c r="I34" s="14" t="n"/>
      <c r="J34" s="14" t="n"/>
      <c r="K34" s="14" t="n"/>
      <c r="L34" s="4" t="n"/>
      <c r="M34" s="4" t="n"/>
      <c r="N34" s="4" t="n"/>
      <c r="O34" s="4" t="n"/>
      <c r="P34" s="4" t="n"/>
      <c r="Q34" s="4" t="n"/>
    </row>
    <row r="35" ht="13.5" customHeight="1" s="95" thickBot="1">
      <c r="B35" s="4" t="n"/>
      <c r="C35" s="6" t="n"/>
      <c r="D35" s="37" t="n"/>
      <c r="E35" s="128" t="n"/>
      <c r="F35" s="128" t="inlineStr">
        <is>
          <t>+</t>
        </is>
      </c>
      <c r="G35" s="128" t="inlineStr">
        <is>
          <t>(-)</t>
        </is>
      </c>
      <c r="H35" s="128" t="inlineStr">
        <is>
          <t>(-)</t>
        </is>
      </c>
      <c r="I35" s="128" t="inlineStr">
        <is>
          <t>=</t>
        </is>
      </c>
      <c r="J35" s="128" t="inlineStr">
        <is>
          <t>=</t>
        </is>
      </c>
      <c r="K35" s="128" t="inlineStr">
        <is>
          <t>=</t>
        </is>
      </c>
      <c r="L35" s="296" t="inlineStr">
        <is>
          <t>$</t>
        </is>
      </c>
      <c r="M35" s="297" t="n"/>
      <c r="N35" s="34" t="inlineStr">
        <is>
          <t>$</t>
        </is>
      </c>
      <c r="O35" s="4" t="n"/>
      <c r="P35" s="4" t="n"/>
      <c r="Q35" s="4" t="n"/>
    </row>
    <row r="36" ht="13.5" customHeight="1" s="95" thickBot="1">
      <c r="B36" s="4" t="n"/>
      <c r="C36" s="33" t="n"/>
      <c r="D36" s="162" t="inlineStr">
        <is>
          <t>PRODUCTOS</t>
        </is>
      </c>
      <c r="E36" s="164" t="n"/>
      <c r="F36" s="164" t="inlineStr">
        <is>
          <t>Entregas</t>
        </is>
      </c>
      <c r="G36" s="164" t="inlineStr">
        <is>
          <t>Ventas</t>
        </is>
      </c>
      <c r="H36" s="164" t="inlineStr">
        <is>
          <t>Mermas</t>
        </is>
      </c>
      <c r="I36" s="164" t="inlineStr">
        <is>
          <t>Stock Real</t>
        </is>
      </c>
      <c r="J36" s="164" t="inlineStr">
        <is>
          <t>Stock Informado</t>
        </is>
      </c>
      <c r="K36" s="164" t="inlineStr">
        <is>
          <t>Diferencias</t>
        </is>
      </c>
      <c r="L36" s="164" t="inlineStr">
        <is>
          <t>Precio</t>
        </is>
      </c>
      <c r="M36" s="306" t="n"/>
      <c r="N36" s="165" t="inlineStr">
        <is>
          <t>Descuento</t>
        </is>
      </c>
      <c r="O36" s="4" t="n"/>
      <c r="P36" s="4" t="n"/>
      <c r="Q36" s="4" t="n"/>
    </row>
    <row r="37">
      <c r="B37" s="4" t="n"/>
      <c r="C37" s="30" t="n"/>
      <c r="D37" s="113" t="inlineStr">
        <is>
          <t>Brownie Nutella</t>
        </is>
      </c>
      <c r="E37" s="244" t="n"/>
      <c r="F37" s="86">
        <f>E264</f>
        <v/>
      </c>
      <c r="G37" s="86">
        <f>IFERROR(SUMPRODUCT(($F$66:$F$153=D37)*$E$66:$E$153*$G$66:$G$153),"Error")</f>
        <v/>
      </c>
      <c r="H37" s="86">
        <f>SUM(F194:I194)</f>
        <v/>
      </c>
      <c r="I37" s="86">
        <f>E37+F37-G37-H37</f>
        <v/>
      </c>
      <c r="J37" s="204">
        <f>E194</f>
        <v/>
      </c>
      <c r="K37" s="114">
        <f>J37-I37</f>
        <v/>
      </c>
      <c r="L37" s="125">
        <f>+'MERMAS S1'!D33</f>
        <v/>
      </c>
      <c r="M37" s="307" t="n"/>
      <c r="N37" s="115">
        <f>IF(K37&lt;0,K37*L37,0)</f>
        <v/>
      </c>
      <c r="O37" s="4" t="n"/>
      <c r="P37" s="4" t="n"/>
      <c r="Q37" s="4" t="n"/>
    </row>
    <row r="38">
      <c r="B38" s="4" t="n"/>
      <c r="C38" s="30" t="n"/>
      <c r="D38" s="69" t="inlineStr">
        <is>
          <t>Brownie Vegano</t>
        </is>
      </c>
      <c r="E38" s="244" t="n"/>
      <c r="F38" s="77">
        <f>E265</f>
        <v/>
      </c>
      <c r="G38" s="77">
        <f>IFERROR(SUMPRODUCT(($F$66:$F$153=D38)*$E$66:$E$153*$G$66:$G$153),"Error")</f>
        <v/>
      </c>
      <c r="H38" s="77">
        <f>SUM(F195:I195)</f>
        <v/>
      </c>
      <c r="I38" s="77">
        <f>E38+F38-G38-H38</f>
        <v/>
      </c>
      <c r="J38" s="205">
        <f>E195</f>
        <v/>
      </c>
      <c r="K38" s="88">
        <f>J38-I38</f>
        <v/>
      </c>
      <c r="L38" s="121">
        <f>+'MERMAS S1'!D34</f>
        <v/>
      </c>
      <c r="M38" s="301" t="n"/>
      <c r="N38" s="36">
        <f>IF(K38&lt;0,K38*L38,0)</f>
        <v/>
      </c>
      <c r="O38" s="4" t="n"/>
      <c r="P38" s="4" t="n"/>
      <c r="Q38" s="4" t="n"/>
    </row>
    <row r="39">
      <c r="B39" s="4" t="n"/>
      <c r="C39" s="9" t="n"/>
      <c r="D39" s="69" t="inlineStr">
        <is>
          <t>Cheesecake de Berries</t>
        </is>
      </c>
      <c r="E39" s="244" t="n"/>
      <c r="F39" s="77">
        <f>E262</f>
        <v/>
      </c>
      <c r="G39" s="77">
        <f>IFERROR(SUMPRODUCT(($F$66:$F$153="Cheesecake Berries")*$E$66:$E$153*$G$66:$G$153),"Error")</f>
        <v/>
      </c>
      <c r="H39" s="77">
        <f>SUM(F196:I196)</f>
        <v/>
      </c>
      <c r="I39" s="77">
        <f>E39+F39-G39-H39</f>
        <v/>
      </c>
      <c r="J39" s="205">
        <f>E196</f>
        <v/>
      </c>
      <c r="K39" s="88">
        <f>J39-I39</f>
        <v/>
      </c>
      <c r="L39" s="121">
        <f>+'MERMAS S1'!D35</f>
        <v/>
      </c>
      <c r="M39" s="301" t="n"/>
      <c r="N39" s="36">
        <f>IF(K39&lt;0,K39*L39,0)</f>
        <v/>
      </c>
      <c r="O39" s="4" t="n"/>
      <c r="P39" s="4" t="n"/>
      <c r="Q39" s="4" t="n"/>
    </row>
    <row r="40">
      <c r="B40" s="4" t="n"/>
      <c r="C40" s="30" t="n"/>
      <c r="D40" s="50" t="inlineStr">
        <is>
          <t>Cheesecake de Limón</t>
        </is>
      </c>
      <c r="E40" s="244" t="n"/>
      <c r="F40" s="77">
        <f>E263</f>
        <v/>
      </c>
      <c r="G40" s="77">
        <f>IFERROR(SUMPRODUCT(($F$66:$F$153=D40)*$E$66:$E$153*$G$66:$G$153),"Error")</f>
        <v/>
      </c>
      <c r="H40" s="77">
        <f>SUM(F197:H197)</f>
        <v/>
      </c>
      <c r="I40" s="77">
        <f>E40+F40-G40-H40</f>
        <v/>
      </c>
      <c r="J40" s="205">
        <f>E197</f>
        <v/>
      </c>
      <c r="K40" s="88">
        <f>J40-I40</f>
        <v/>
      </c>
      <c r="L40" s="121">
        <f>+'MERMAS S1'!D36</f>
        <v/>
      </c>
      <c r="M40" s="301" t="n"/>
      <c r="N40" s="36">
        <f>IF(K40&lt;0,K40*L40,0)</f>
        <v/>
      </c>
      <c r="O40" s="4" t="n"/>
      <c r="P40" s="4" t="n"/>
      <c r="Q40" s="4" t="n"/>
    </row>
    <row r="41">
      <c r="B41" s="4" t="n"/>
      <c r="C41" s="30" t="n"/>
      <c r="D41" s="50" t="inlineStr">
        <is>
          <t>Chocolate Blanco</t>
        </is>
      </c>
      <c r="E41" s="244" t="n"/>
      <c r="F41" s="77">
        <f>H262</f>
        <v/>
      </c>
      <c r="G41" s="77">
        <f>J262</f>
        <v/>
      </c>
      <c r="H41" s="77">
        <f>SUM(F198:I198)</f>
        <v/>
      </c>
      <c r="I41" s="77">
        <f>E41+F41-G41-H41</f>
        <v/>
      </c>
      <c r="J41" s="205">
        <f>E198</f>
        <v/>
      </c>
      <c r="K41" s="88">
        <f>J41-I41</f>
        <v/>
      </c>
      <c r="L41" s="121">
        <f>+'MERMAS S1'!D37</f>
        <v/>
      </c>
      <c r="M41" s="301" t="n"/>
      <c r="N41" s="36">
        <f>IF(K41&lt;0,K41*L41,0)</f>
        <v/>
      </c>
      <c r="O41" s="4" t="n"/>
      <c r="P41" s="4" t="n"/>
      <c r="Q41" s="4" t="n"/>
    </row>
    <row r="42">
      <c r="B42" s="4" t="n"/>
      <c r="C42" s="30" t="n"/>
      <c r="D42" s="50" t="inlineStr">
        <is>
          <t>Chocolate Leche</t>
        </is>
      </c>
      <c r="E42" s="244" t="n"/>
      <c r="F42" s="77">
        <f>H263</f>
        <v/>
      </c>
      <c r="G42" s="77">
        <f>J263</f>
        <v/>
      </c>
      <c r="H42" s="77">
        <f>SUM(F199:I199)</f>
        <v/>
      </c>
      <c r="I42" s="77">
        <f>E42+F42-G42-H42</f>
        <v/>
      </c>
      <c r="J42" s="205">
        <f>E199</f>
        <v/>
      </c>
      <c r="K42" s="88">
        <f>J42-I42</f>
        <v/>
      </c>
      <c r="L42" s="121">
        <f>+'MERMAS S1'!D38</f>
        <v/>
      </c>
      <c r="M42" s="301" t="n"/>
      <c r="N42" s="36">
        <f>IF(K42&lt;0,K42*L42,0)</f>
        <v/>
      </c>
      <c r="O42" s="4" t="n"/>
      <c r="P42" s="4" t="n"/>
      <c r="Q42" s="4" t="n"/>
    </row>
    <row r="43">
      <c r="B43" s="4" t="n"/>
      <c r="C43" s="30" t="n"/>
      <c r="D43" s="50" t="inlineStr">
        <is>
          <t>Chocolate Negro</t>
        </is>
      </c>
      <c r="E43" s="244" t="n"/>
      <c r="F43" s="77">
        <f>H264</f>
        <v/>
      </c>
      <c r="G43" s="77">
        <f>J264</f>
        <v/>
      </c>
      <c r="H43" s="77">
        <f>SUM(F200:I200)</f>
        <v/>
      </c>
      <c r="I43" s="77">
        <f>E43+F43-G43-H43</f>
        <v/>
      </c>
      <c r="J43" s="205">
        <f>E200</f>
        <v/>
      </c>
      <c r="K43" s="88">
        <f>J43-I43</f>
        <v/>
      </c>
      <c r="L43" s="121">
        <f>+'MERMAS S1'!D39</f>
        <v/>
      </c>
      <c r="M43" s="301" t="n"/>
      <c r="N43" s="36">
        <f>IF(K43&lt;0,K43*L43,0)</f>
        <v/>
      </c>
      <c r="O43" s="4" t="n"/>
      <c r="P43" s="4" t="n"/>
      <c r="Q43" s="4" t="n"/>
    </row>
    <row r="44">
      <c r="B44" s="4" t="n"/>
      <c r="C44" s="30" t="n"/>
      <c r="D44" s="50" t="inlineStr">
        <is>
          <t>Chocolate Neucober Cobertura</t>
        </is>
      </c>
      <c r="E44" s="244" t="n"/>
      <c r="F44" s="77">
        <f>H265</f>
        <v/>
      </c>
      <c r="G44" s="77">
        <f>J265</f>
        <v/>
      </c>
      <c r="H44" s="77">
        <f>SUM(F201:I201)</f>
        <v/>
      </c>
      <c r="I44" s="77">
        <f>E44+F44-G44-H44</f>
        <v/>
      </c>
      <c r="J44" s="205">
        <f>E201</f>
        <v/>
      </c>
      <c r="K44" s="88">
        <f>J44-I44</f>
        <v/>
      </c>
      <c r="L44" s="121">
        <f>+'MERMAS S1'!D40</f>
        <v/>
      </c>
      <c r="M44" s="301" t="n"/>
      <c r="N44" s="36">
        <f>IF(K44&lt;0,K44*L44,0)</f>
        <v/>
      </c>
      <c r="O44" s="4" t="n"/>
      <c r="P44" s="4" t="n"/>
      <c r="Q44" s="4" t="n"/>
    </row>
    <row r="45">
      <c r="B45" s="4" t="n"/>
      <c r="C45" s="30" t="n"/>
      <c r="D45" s="50" t="inlineStr">
        <is>
          <t>Chocolate Sicao Cobertura</t>
        </is>
      </c>
      <c r="E45" s="244" t="n"/>
      <c r="F45" s="77">
        <f>H266</f>
        <v/>
      </c>
      <c r="G45" s="77">
        <f>J266</f>
        <v/>
      </c>
      <c r="H45" s="77">
        <f>SUM(F202:I202)</f>
        <v/>
      </c>
      <c r="I45" s="77">
        <f>E45+F45-G45-H45</f>
        <v/>
      </c>
      <c r="J45" s="205">
        <f>E202</f>
        <v/>
      </c>
      <c r="K45" s="88">
        <f>J45-I45</f>
        <v/>
      </c>
      <c r="L45" s="121">
        <f>+'MERMAS S1'!D41</f>
        <v/>
      </c>
      <c r="M45" s="301" t="n"/>
      <c r="N45" s="36">
        <f>IF(K45&lt;0,K45*L45,0)</f>
        <v/>
      </c>
      <c r="O45" s="4" t="n"/>
      <c r="P45" s="4" t="n"/>
      <c r="Q45" s="4" t="n"/>
    </row>
    <row r="46">
      <c r="B46" s="4" t="n"/>
      <c r="C46" s="30" t="n"/>
      <c r="D46" s="50" t="inlineStr">
        <is>
          <t>Discos de Chocolate</t>
        </is>
      </c>
      <c r="E46" s="244" t="n"/>
      <c r="F46" s="77">
        <f>E268</f>
        <v/>
      </c>
      <c r="G46" s="77">
        <f>E91</f>
        <v/>
      </c>
      <c r="H46" s="77">
        <f>SUM(F203:I203)</f>
        <v/>
      </c>
      <c r="I46" s="77">
        <f>E46+F46-G46-H46</f>
        <v/>
      </c>
      <c r="J46" s="205">
        <f>E203</f>
        <v/>
      </c>
      <c r="K46" s="88">
        <f>J46-I46</f>
        <v/>
      </c>
      <c r="L46" s="121">
        <f>+'MERMAS S1'!D42</f>
        <v/>
      </c>
      <c r="M46" s="301" t="n"/>
      <c r="N46" s="36">
        <f>IF(K46&lt;0,K46*L46,0)</f>
        <v/>
      </c>
      <c r="O46" s="4" t="n"/>
      <c r="P46" s="4" t="n"/>
      <c r="Q46" s="4" t="n"/>
    </row>
    <row r="47">
      <c r="B47" s="4" t="n"/>
      <c r="C47" s="30" t="n"/>
      <c r="D47" s="50" t="inlineStr">
        <is>
          <t>Empanada Mechada</t>
        </is>
      </c>
      <c r="E47" s="244" t="n"/>
      <c r="F47" s="77">
        <f>E225</f>
        <v/>
      </c>
      <c r="G47" s="77">
        <f>IFERROR(SUMPRODUCT(($F$66:$F$153=D47)*$E$66:$E$153*$G$66:$G$153),"Error")</f>
        <v/>
      </c>
      <c r="H47" s="77">
        <f>(SUM(F204:I204)*4)+SUM(F205:I205)</f>
        <v/>
      </c>
      <c r="I47" s="77">
        <f>E47+F47-G47-H47</f>
        <v/>
      </c>
      <c r="J47" s="205">
        <f>(E204*4)+E205</f>
        <v/>
      </c>
      <c r="K47" s="88">
        <f>J47-I47</f>
        <v/>
      </c>
      <c r="L47" s="121">
        <f>+'MERMAS S1'!D43</f>
        <v/>
      </c>
      <c r="M47" s="301" t="n"/>
      <c r="N47" s="36">
        <f>IF(K47&lt;0,K47*L47,0)</f>
        <v/>
      </c>
      <c r="O47" s="4" t="n"/>
      <c r="P47" s="4" t="n"/>
      <c r="Q47" s="4" t="n"/>
    </row>
    <row r="48">
      <c r="B48" s="4" t="n"/>
      <c r="C48" s="30" t="n"/>
      <c r="D48" s="50" t="inlineStr">
        <is>
          <t>Empanada Pulpo</t>
        </is>
      </c>
      <c r="E48" s="244" t="n"/>
      <c r="F48" s="77">
        <f>H247</f>
        <v/>
      </c>
      <c r="G48" s="77">
        <f>IFERROR(SUMPRODUCT(($F$66:$F$153=D48)*$E$66:$E$153*$G$66:$G$153),"Error")</f>
        <v/>
      </c>
      <c r="H48" s="77">
        <f>(SUM(F206:I206)*4)+SUM(F207:I207)</f>
        <v/>
      </c>
      <c r="I48" s="77">
        <f>E48+F48-G48-H48</f>
        <v/>
      </c>
      <c r="J48" s="205">
        <f>(E206*4)+E207</f>
        <v/>
      </c>
      <c r="K48" s="88">
        <f>J48-I48</f>
        <v/>
      </c>
      <c r="L48" s="121">
        <f>+'MERMAS S1'!D44</f>
        <v/>
      </c>
      <c r="M48" s="301" t="n"/>
      <c r="N48" s="36">
        <f>IF(K48&lt;0,K48*L48,0)</f>
        <v/>
      </c>
      <c r="O48" s="4" t="n"/>
      <c r="P48" s="4" t="n"/>
      <c r="Q48" s="4" t="n"/>
    </row>
    <row r="49">
      <c r="B49" s="4" t="n"/>
      <c r="C49" s="30" t="n"/>
      <c r="D49" s="50" t="inlineStr">
        <is>
          <t>Flan de Caluga</t>
        </is>
      </c>
      <c r="E49" s="244" t="n"/>
      <c r="F49" s="77">
        <f>E266</f>
        <v/>
      </c>
      <c r="G49" s="77">
        <f>IFERROR(SUMPRODUCT(($F$66:$F$153=D49)*$E$66:$E$153*$G$66:$G$153),"Error")</f>
        <v/>
      </c>
      <c r="H49" s="77">
        <f>SUM(F208:I208)</f>
        <v/>
      </c>
      <c r="I49" s="77">
        <f>E49+F49-G49-H49</f>
        <v/>
      </c>
      <c r="J49" s="205">
        <f>E208</f>
        <v/>
      </c>
      <c r="K49" s="88">
        <f>J49-I49</f>
        <v/>
      </c>
      <c r="L49" s="121">
        <f>+'MERMAS S1'!D45</f>
        <v/>
      </c>
      <c r="M49" s="301" t="n"/>
      <c r="N49" s="36">
        <f>IF(K49&lt;0,K49*L49,0)</f>
        <v/>
      </c>
      <c r="O49" s="4" t="n"/>
      <c r="P49" s="4" t="n"/>
      <c r="Q49" s="4" t="n"/>
    </row>
    <row r="50">
      <c r="B50" s="4" t="n"/>
      <c r="C50" s="30" t="n"/>
      <c r="D50" s="69" t="inlineStr">
        <is>
          <t>Granola salada</t>
        </is>
      </c>
      <c r="E50" s="244" t="n"/>
      <c r="F50" s="77">
        <f>IF(
SUMPRODUCT(--ISNUMBER(SEARCH(D50,$D$221:$D$242)))
+
SUMPRODUCT(--ISNUMBER(SEARCH(D50,$D$262:$D$267)))=0,
"Error",
SUMPRODUCT((ISNUMBER(SEARCH(D50,$D$221:$D$242)))*$E$221:$E$242)
+
SUMPRODUCT((ISNUMBER(SEARCH(D50,$D$262:$D$267)))*$E$262:$E$267)
)</f>
        <v/>
      </c>
      <c r="G50" s="77">
        <f>IFERROR(SUMPRODUCT(($F$66:$F$153=D50)*$E$66:$E$153*$G$66:$G$153),"Error")</f>
        <v/>
      </c>
      <c r="H50" s="77">
        <f>SUM(F209:I209)</f>
        <v/>
      </c>
      <c r="I50" s="77">
        <f>E50+F50-G50-H50</f>
        <v/>
      </c>
      <c r="J50" s="205">
        <f>E209</f>
        <v/>
      </c>
      <c r="K50" s="88">
        <f>J50-I50</f>
        <v/>
      </c>
      <c r="L50" s="121">
        <f>+'MERMAS S1'!D46</f>
        <v/>
      </c>
      <c r="M50" s="301" t="n"/>
      <c r="N50" s="36">
        <f>IF(K50&lt;0,K50*L50,0)</f>
        <v/>
      </c>
      <c r="O50" s="4" t="n"/>
      <c r="P50" s="4" t="n"/>
      <c r="Q50" s="4" t="n"/>
    </row>
    <row r="51">
      <c r="B51" s="4" t="n"/>
      <c r="C51" s="30" t="n"/>
      <c r="D51" s="69" t="inlineStr">
        <is>
          <t>Mix Conchas</t>
        </is>
      </c>
      <c r="E51" s="244" t="n"/>
      <c r="F51" s="77">
        <f>H253</f>
        <v/>
      </c>
      <c r="G51" s="77">
        <f>IFERROR(SUMPRODUCT(($F$66:$F$153=D51)*$E$66:$E$153*$G$66:$G$153),"Error")</f>
        <v/>
      </c>
      <c r="H51" s="77">
        <f>SUM(F210:I210)</f>
        <v/>
      </c>
      <c r="I51" s="77">
        <f>E51+F51-G51-H51</f>
        <v/>
      </c>
      <c r="J51" s="205">
        <f>E210</f>
        <v/>
      </c>
      <c r="K51" s="88">
        <f>J51-I51</f>
        <v/>
      </c>
      <c r="L51" s="121">
        <f>+'MERMAS S1'!D47</f>
        <v/>
      </c>
      <c r="M51" s="301" t="n"/>
      <c r="N51" s="36">
        <f>IF(K51&lt;0,K51*L51,0)</f>
        <v/>
      </c>
      <c r="O51" s="4" t="n"/>
      <c r="P51" s="4" t="n"/>
      <c r="Q51" s="4" t="n"/>
    </row>
    <row r="52">
      <c r="B52" s="4" t="n"/>
      <c r="C52" s="30" t="n"/>
      <c r="D52" s="69" t="inlineStr">
        <is>
          <t>Nutella</t>
        </is>
      </c>
      <c r="E52" s="244" t="n"/>
      <c r="F52" s="77">
        <f>H267</f>
        <v/>
      </c>
      <c r="G52" s="77">
        <f>J267</f>
        <v/>
      </c>
      <c r="H52" s="77">
        <f>SUM(F211:I211)</f>
        <v/>
      </c>
      <c r="I52" s="77">
        <f>E52+F52-G52-H52</f>
        <v/>
      </c>
      <c r="J52" s="205">
        <f>E211</f>
        <v/>
      </c>
      <c r="K52" s="88">
        <f>J52-I52</f>
        <v/>
      </c>
      <c r="L52" s="121">
        <f>+'MERMAS S1'!D48</f>
        <v/>
      </c>
      <c r="M52" s="301" t="n"/>
      <c r="N52" s="36">
        <f>IF(K52&lt;0,K52*L52,0)</f>
        <v/>
      </c>
      <c r="O52" s="4" t="n"/>
      <c r="P52" s="4" t="n"/>
      <c r="Q52" s="4" t="n"/>
    </row>
    <row r="53">
      <c r="B53" s="4" t="n"/>
      <c r="C53" s="30" t="n"/>
      <c r="D53" s="50" t="inlineStr">
        <is>
          <t>Queso Mozzarella</t>
        </is>
      </c>
      <c r="E53" s="244" t="n"/>
      <c r="F53" s="77">
        <f>E236</f>
        <v/>
      </c>
      <c r="G53" s="77">
        <f>IFERROR(SUMPRODUCT(($F$66:$F$153=D53)*$E$66:$E$153*$G$66:$G$153),"Error")</f>
        <v/>
      </c>
      <c r="H53" s="77">
        <f>SUM(F212:I212)</f>
        <v/>
      </c>
      <c r="I53" s="77">
        <f>E53+F53-G53-H53</f>
        <v/>
      </c>
      <c r="J53" s="205">
        <f>E212</f>
        <v/>
      </c>
      <c r="K53" s="88">
        <f>J53-I53</f>
        <v/>
      </c>
      <c r="L53" s="121">
        <f>+'MERMAS S1'!D49</f>
        <v/>
      </c>
      <c r="M53" s="301" t="n"/>
      <c r="N53" s="36">
        <f>IF(K53&lt;0,K53*L53,0)</f>
        <v/>
      </c>
      <c r="O53" s="4" t="n"/>
      <c r="P53" s="4" t="n"/>
      <c r="Q53" s="4" t="n"/>
    </row>
    <row r="54">
      <c r="B54" s="4" t="n"/>
      <c r="C54" s="30" t="n"/>
      <c r="D54" s="50" t="inlineStr">
        <is>
          <t>Sorrentinos carne mechada</t>
        </is>
      </c>
      <c r="E54" s="244" t="n"/>
      <c r="F54" s="77">
        <f>E240</f>
        <v/>
      </c>
      <c r="G54" s="77">
        <f>IFERROR(SUMPRODUCT(($F$66:$F$153=D54)*$E$66:$E$153*$G$66:$G$153),"Error")</f>
        <v/>
      </c>
      <c r="H54" s="77">
        <f>SUM(F213:I213)</f>
        <v/>
      </c>
      <c r="I54" s="77">
        <f>E54+F54-G54-H54</f>
        <v/>
      </c>
      <c r="J54" s="205">
        <f>E213</f>
        <v/>
      </c>
      <c r="K54" s="88">
        <f>J54-I54</f>
        <v/>
      </c>
      <c r="L54" s="121">
        <f>+'MERMAS S1'!D50</f>
        <v/>
      </c>
      <c r="M54" s="301" t="n"/>
      <c r="N54" s="36">
        <f>IF(K54&lt;0,K54*L54,0)</f>
        <v/>
      </c>
      <c r="O54" s="4" t="n"/>
      <c r="P54" s="4" t="n"/>
      <c r="Q54" s="4" t="n"/>
    </row>
    <row r="55">
      <c r="B55" s="4" t="n"/>
      <c r="C55" s="30" t="n"/>
      <c r="D55" s="50" t="inlineStr">
        <is>
          <t>Sorrentinos pulpo y salmón</t>
        </is>
      </c>
      <c r="E55" s="244" t="n"/>
      <c r="F55" s="77">
        <f>E241</f>
        <v/>
      </c>
      <c r="G55" s="77">
        <f>IFERROR(SUMPRODUCT(($F$66:$F$153=D55)*$E$66:$E$153*$G$66:$G$153),"Error")</f>
        <v/>
      </c>
      <c r="H55" s="77">
        <f>SUM(F214:I214)</f>
        <v/>
      </c>
      <c r="I55" s="77">
        <f>E55+F55-G55-H55</f>
        <v/>
      </c>
      <c r="J55" s="205">
        <f>E214</f>
        <v/>
      </c>
      <c r="K55" s="88">
        <f>J55-I55</f>
        <v/>
      </c>
      <c r="L55" s="121">
        <f>+'MERMAS S1'!D51</f>
        <v/>
      </c>
      <c r="M55" s="301" t="n"/>
      <c r="N55" s="36">
        <f>IF(K55&lt;0,K55*L55,0)</f>
        <v/>
      </c>
      <c r="O55" s="4" t="n"/>
      <c r="P55" s="4" t="n"/>
      <c r="Q55" s="4" t="n"/>
    </row>
    <row r="56">
      <c r="B56" s="4" t="n"/>
      <c r="C56" s="30" t="n"/>
      <c r="D56" s="50" t="inlineStr">
        <is>
          <t>Sorrentinos zapallo</t>
        </is>
      </c>
      <c r="E56" s="244" t="n"/>
      <c r="F56" s="77">
        <f>E242</f>
        <v/>
      </c>
      <c r="G56" s="77">
        <f>IFERROR(SUMPRODUCT(($F$66:$F$153=D56)*$E$66:$E$153*$G$66:$G$153),"Error")</f>
        <v/>
      </c>
      <c r="H56" s="77">
        <f>SUM(F215:I215)</f>
        <v/>
      </c>
      <c r="I56" s="77">
        <f>E56+F56-G56-H56</f>
        <v/>
      </c>
      <c r="J56" s="205">
        <f>E215</f>
        <v/>
      </c>
      <c r="K56" s="88">
        <f>J56-I56</f>
        <v/>
      </c>
      <c r="L56" s="121">
        <f>+'MERMAS S1'!D52</f>
        <v/>
      </c>
      <c r="M56" s="301" t="n"/>
      <c r="N56" s="36">
        <f>IF(K56&lt;0,K56*L56,0)</f>
        <v/>
      </c>
      <c r="O56" s="4" t="n"/>
      <c r="P56" s="4" t="n"/>
      <c r="Q56" s="4" t="n"/>
    </row>
    <row r="57" ht="13.5" customHeight="1" s="95" thickBot="1">
      <c r="B57" s="4" t="n"/>
      <c r="C57" s="30" t="n"/>
      <c r="D57" s="89" t="inlineStr">
        <is>
          <t>Volcán de Chocolate</t>
        </is>
      </c>
      <c r="E57" s="245" t="n"/>
      <c r="F57" s="166">
        <f>E267</f>
        <v/>
      </c>
      <c r="G57" s="166">
        <f>IFERROR(SUMPRODUCT(($F$66:$F$153=D57)*$E$66:$E$153*$G$66:$G$153),"Error")</f>
        <v/>
      </c>
      <c r="H57" s="166">
        <f>SUM(F216:I216)</f>
        <v/>
      </c>
      <c r="I57" s="166">
        <f>E57+F57-G57-H57</f>
        <v/>
      </c>
      <c r="J57" s="206">
        <f>E216</f>
        <v/>
      </c>
      <c r="K57" s="167">
        <f>J57-I57</f>
        <v/>
      </c>
      <c r="L57" s="131">
        <f>+'MERMAS S1'!D53</f>
        <v/>
      </c>
      <c r="M57" s="303" t="n"/>
      <c r="N57" s="110">
        <f>IF(K57&lt;0,K57*L57,0)</f>
        <v/>
      </c>
      <c r="O57" s="4" t="n"/>
      <c r="P57" s="4" t="n"/>
      <c r="Q57" s="4" t="n"/>
    </row>
    <row r="58" ht="13.5" customHeight="1" s="95" thickBot="1">
      <c r="B58" s="4" t="n"/>
      <c r="C58" s="4" t="n"/>
      <c r="D58" s="16" t="n"/>
      <c r="E58" s="9" t="n"/>
      <c r="F58" s="9" t="n"/>
      <c r="G58" s="9" t="n"/>
      <c r="H58" s="9" t="n"/>
      <c r="I58" s="8" t="n"/>
      <c r="J58" s="8" t="n"/>
      <c r="K58" s="8" t="n"/>
      <c r="L58" s="9" t="n"/>
      <c r="M58" s="4" t="n"/>
      <c r="N58" s="4" t="n"/>
      <c r="O58" s="4" t="n"/>
      <c r="P58" s="4" t="n"/>
      <c r="Q58" s="4" t="n"/>
    </row>
    <row r="59" ht="13.5" customHeight="1" s="95" thickBot="1">
      <c r="B59" s="4" t="n"/>
      <c r="C59" s="4" t="n"/>
      <c r="D59" s="16" t="n"/>
      <c r="E59" s="9" t="n"/>
      <c r="F59" s="9" t="n"/>
      <c r="G59" s="9" t="n"/>
      <c r="H59" s="17" t="n"/>
      <c r="I59" s="304" t="inlineStr">
        <is>
          <t>DIFERENCIAS PROMEDIO</t>
        </is>
      </c>
      <c r="J59" s="305" t="n"/>
      <c r="K59" s="11">
        <f>SUM(K37:K57)</f>
        <v/>
      </c>
      <c r="L59" s="4" t="n"/>
      <c r="M59" s="12" t="inlineStr">
        <is>
          <t>DCTO. TOTAL</t>
        </is>
      </c>
      <c r="N59" s="13">
        <f>SUM(N37:N57)</f>
        <v/>
      </c>
      <c r="O59" s="4" t="n"/>
      <c r="P59" s="4" t="n"/>
      <c r="Q59" s="4" t="n"/>
    </row>
    <row r="60"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</row>
    <row r="61"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</row>
    <row r="62"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</row>
    <row r="63" ht="13.5" customHeight="1" s="95" thickBot="1"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</row>
    <row r="64">
      <c r="B64" s="4" t="n"/>
      <c r="C64" s="197" t="inlineStr">
        <is>
          <t>VENTAS</t>
        </is>
      </c>
      <c r="D64" s="308" t="n"/>
      <c r="E64" s="308" t="n"/>
      <c r="F64" s="308" t="n"/>
      <c r="G64" s="308" t="n"/>
      <c r="H64" s="300" t="n"/>
      <c r="I64" s="55" t="n"/>
      <c r="J64" s="55" t="n"/>
      <c r="K64" s="55" t="n"/>
      <c r="L64" s="55" t="n"/>
      <c r="M64" s="55" t="n"/>
      <c r="N64" s="55" t="n"/>
      <c r="O64" s="4" t="n"/>
      <c r="P64" s="4" t="n"/>
      <c r="Q64" s="4" t="n"/>
    </row>
    <row r="65">
      <c r="B65" s="4" t="n"/>
      <c r="C65" s="200" t="inlineStr">
        <is>
          <t>Código</t>
        </is>
      </c>
      <c r="D65" s="196" t="inlineStr">
        <is>
          <t>Ítem</t>
        </is>
      </c>
      <c r="E65" s="196" t="inlineStr">
        <is>
          <t xml:space="preserve">Vendido </t>
        </is>
      </c>
      <c r="F65" s="196" t="inlineStr">
        <is>
          <t>Producto</t>
        </is>
      </c>
      <c r="G65" s="196" t="inlineStr">
        <is>
          <t>Cantidad</t>
        </is>
      </c>
      <c r="H65" s="201" t="inlineStr">
        <is>
          <t>Medida</t>
        </is>
      </c>
      <c r="I65" s="56" t="n"/>
      <c r="J65" s="56" t="n"/>
      <c r="K65" s="56" t="n"/>
      <c r="L65" s="56" t="n"/>
      <c r="M65" s="56" t="n"/>
      <c r="N65" s="56" t="n"/>
      <c r="O65" s="4" t="n"/>
      <c r="P65" s="4" t="n"/>
      <c r="Q65" s="4" t="n"/>
    </row>
    <row r="66">
      <c r="B66" s="4" t="n"/>
      <c r="C66" s="96" t="inlineStr">
        <is>
          <t>VECARAGR013</t>
        </is>
      </c>
      <c r="D66" s="18" t="inlineStr">
        <is>
          <t>Age Salmon Ahumado</t>
        </is>
      </c>
      <c r="E66" s="207">
        <f>IFERROR(
IF(
INDEX($K$272:$K$977,MATCH(C66,$B$272:$B$977,0))&lt;&gt;0,
INDEX($K$272:$K$977,MATCH(C66,$B$272:$B$977,0)),
INDEX($L$272:$L$977,MATCH(C66,$B$272:$B$977,0))
),
0)</f>
        <v/>
      </c>
      <c r="F66" s="1" t="inlineStr">
        <is>
          <t>Salmón ahumado en Caliente</t>
        </is>
      </c>
      <c r="G66" s="52" t="n">
        <v>0.12</v>
      </c>
      <c r="H66" s="81" t="inlineStr">
        <is>
          <t>Kg</t>
        </is>
      </c>
      <c r="I66" s="79" t="n"/>
      <c r="J66" s="78" t="n"/>
      <c r="K66" s="79" t="n"/>
      <c r="L66" s="80" t="n"/>
      <c r="M66" s="80" t="n"/>
      <c r="N66" s="80" t="n"/>
      <c r="O66" s="4" t="n"/>
      <c r="P66" s="4" t="n"/>
      <c r="Q66" s="4" t="n"/>
    </row>
    <row r="67">
      <c r="B67" s="4" t="n"/>
      <c r="C67" s="96" t="inlineStr">
        <is>
          <t>VECARAGR007</t>
        </is>
      </c>
      <c r="D67" s="18" t="inlineStr">
        <is>
          <t>Agr. Jamon Crudo</t>
        </is>
      </c>
      <c r="E67" s="207">
        <f>IFERROR(
IF(
INDEX($K$272:$K$977,MATCH(C67,$B$272:$B$977,0))&lt;&gt;0,
INDEX($K$272:$K$977,MATCH(C67,$B$272:$B$977,0)),
INDEX($L$272:$L$977,MATCH(C67,$B$272:$B$977,0))
),
0)</f>
        <v/>
      </c>
      <c r="F67" s="1" t="inlineStr">
        <is>
          <t>Jamón serrano</t>
        </is>
      </c>
      <c r="G67" s="52" t="n">
        <v>0.03</v>
      </c>
      <c r="H67" s="81" t="inlineStr">
        <is>
          <t>Kg</t>
        </is>
      </c>
      <c r="I67" s="79" t="n"/>
      <c r="J67" s="78" t="n"/>
      <c r="K67" s="79" t="n"/>
      <c r="L67" s="80" t="n"/>
      <c r="M67" s="80" t="n"/>
      <c r="N67" s="80" t="n"/>
      <c r="O67" s="4" t="n"/>
      <c r="P67" s="4" t="n"/>
      <c r="Q67" s="4" t="n"/>
    </row>
    <row r="68">
      <c r="B68" s="4" t="n"/>
      <c r="C68" s="96" t="inlineStr">
        <is>
          <t>VECARENT001</t>
        </is>
      </c>
      <c r="D68" s="18" t="inlineStr">
        <is>
          <t>Atún Apanado</t>
        </is>
      </c>
      <c r="E68" s="207">
        <f>IFERROR(
IF(
INDEX($K$272:$K$977,MATCH(C68,$B$272:$B$977,0))&lt;&gt;0,
INDEX($K$272:$K$977,MATCH(C68,$B$272:$B$977,0)),
INDEX($L$272:$L$977,MATCH(C68,$B$272:$B$977,0))
),
0)</f>
        <v/>
      </c>
      <c r="F68" s="1" t="inlineStr">
        <is>
          <t>Atún Steak</t>
        </is>
      </c>
      <c r="G68" s="52" t="n">
        <v>0.18</v>
      </c>
      <c r="H68" s="81" t="inlineStr">
        <is>
          <t>Kg</t>
        </is>
      </c>
      <c r="I68" s="79" t="n"/>
      <c r="J68" s="78" t="n"/>
      <c r="K68" s="79" t="n"/>
      <c r="L68" s="80" t="n"/>
      <c r="M68" s="80" t="n"/>
      <c r="N68" s="80" t="n"/>
      <c r="O68" s="20" t="n"/>
      <c r="P68" s="4" t="n"/>
      <c r="Q68" s="4" t="n"/>
    </row>
    <row r="69">
      <c r="B69" s="4" t="n"/>
      <c r="C69" s="96" t="inlineStr">
        <is>
          <t>VECARFJT001</t>
        </is>
      </c>
      <c r="D69" s="18" t="inlineStr">
        <is>
          <t>Atún Sellado JT</t>
        </is>
      </c>
      <c r="E69" s="207">
        <f>IFERROR(
IF(
INDEX($K$272:$K$977,MATCH(C69,$B$272:$B$977,0))&lt;&gt;0,
INDEX($K$272:$K$977,MATCH(C69,$B$272:$B$977,0)),
INDEX($L$272:$L$977,MATCH(C69,$B$272:$B$977,0))
),
0)</f>
        <v/>
      </c>
      <c r="F69" s="1" t="inlineStr">
        <is>
          <t>Atún Steak</t>
        </is>
      </c>
      <c r="G69" s="52" t="n">
        <v>0.18</v>
      </c>
      <c r="H69" s="81" t="inlineStr">
        <is>
          <t>Kg</t>
        </is>
      </c>
      <c r="I69" s="79" t="n"/>
      <c r="J69" s="78" t="n"/>
      <c r="K69" s="79" t="n"/>
      <c r="L69" s="80" t="n"/>
      <c r="M69" s="80" t="n"/>
      <c r="N69" s="80" t="n"/>
      <c r="O69" s="20" t="n"/>
      <c r="P69" s="4" t="n"/>
      <c r="Q69" s="4" t="n"/>
    </row>
    <row r="70">
      <c r="B70" s="4" t="n"/>
      <c r="C70" s="96" t="inlineStr">
        <is>
          <t>VECARFON002</t>
        </is>
      </c>
      <c r="D70" s="18" t="inlineStr">
        <is>
          <t>Atún Risotto</t>
        </is>
      </c>
      <c r="E70" s="207">
        <f>IFERROR(
IF(
INDEX($K$272:$K$977,MATCH(C70,$B$272:$B$977,0))&lt;&gt;0,
INDEX($K$272:$K$977,MATCH(C70,$B$272:$B$977,0)),
INDEX($L$272:$L$977,MATCH(C70,$B$272:$B$977,0))
),
0)</f>
        <v/>
      </c>
      <c r="F70" s="1" t="inlineStr">
        <is>
          <t>Atún Steak</t>
        </is>
      </c>
      <c r="G70" s="52" t="n">
        <v>0.18</v>
      </c>
      <c r="H70" s="81" t="inlineStr">
        <is>
          <t>Kg</t>
        </is>
      </c>
      <c r="I70" s="79" t="n"/>
      <c r="J70" s="78" t="n"/>
      <c r="K70" s="79" t="n"/>
      <c r="L70" s="80" t="n"/>
      <c r="M70" s="80" t="n"/>
      <c r="N70" s="80" t="n"/>
      <c r="O70" s="20" t="n"/>
      <c r="P70" s="4" t="n"/>
      <c r="Q70" s="4" t="n"/>
    </row>
    <row r="71">
      <c r="B71" s="4" t="n"/>
      <c r="C71" s="96" t="inlineStr">
        <is>
          <t>VECARFUB001</t>
        </is>
      </c>
      <c r="D71" s="18" t="inlineStr">
        <is>
          <t>Atún Risotto PY</t>
        </is>
      </c>
      <c r="E71" s="207">
        <f>IFERROR(
IF(
INDEX($K$272:$K$977,MATCH(C71,$B$272:$B$977,0))&lt;&gt;0,
INDEX($K$272:$K$977,MATCH(C71,$B$272:$B$977,0)),
INDEX($L$272:$L$977,MATCH(C71,$B$272:$B$977,0))
),
0)</f>
        <v/>
      </c>
      <c r="F71" s="1" t="inlineStr">
        <is>
          <t>Atún Steak</t>
        </is>
      </c>
      <c r="G71" s="52" t="n">
        <v>0.18</v>
      </c>
      <c r="H71" s="81" t="inlineStr">
        <is>
          <t>Kg</t>
        </is>
      </c>
      <c r="I71" s="79" t="n"/>
      <c r="J71" s="78" t="n"/>
      <c r="K71" s="79" t="n"/>
      <c r="L71" s="80" t="n"/>
      <c r="M71" s="80" t="n"/>
      <c r="N71" s="80" t="n"/>
      <c r="O71" s="20" t="n"/>
      <c r="P71" s="4" t="n"/>
      <c r="Q71" s="4" t="n"/>
    </row>
    <row r="72">
      <c r="B72" s="4" t="n"/>
      <c r="C72" s="96" t="inlineStr">
        <is>
          <t>VECARENT034</t>
        </is>
      </c>
      <c r="D72" s="18" t="inlineStr">
        <is>
          <t>Brocheta Langostino</t>
        </is>
      </c>
      <c r="E72" s="207">
        <f>IFERROR(
IF(
INDEX($K$272:$K$977,MATCH(C72,$B$272:$B$977,0))&lt;&gt;0,
INDEX($K$272:$K$977,MATCH(C72,$B$272:$B$977,0)),
INDEX($L$272:$L$977,MATCH(C72,$B$272:$B$977,0))
),
0)</f>
        <v/>
      </c>
      <c r="F72" s="1" t="inlineStr">
        <is>
          <t>Langostinos</t>
        </is>
      </c>
      <c r="G72" s="52" t="n">
        <v>1</v>
      </c>
      <c r="H72" s="81" t="inlineStr">
        <is>
          <t>Und</t>
        </is>
      </c>
      <c r="I72" s="79" t="n"/>
      <c r="J72" s="78" t="n"/>
      <c r="K72" s="79" t="n"/>
      <c r="L72" s="80" t="n"/>
      <c r="M72" s="80" t="n"/>
      <c r="N72" s="80" t="n"/>
      <c r="O72" s="20" t="n"/>
      <c r="P72" s="4" t="n"/>
      <c r="Q72" s="4" t="n"/>
    </row>
    <row r="73">
      <c r="B73" s="4" t="n"/>
      <c r="C73" s="96" t="inlineStr">
        <is>
          <t>VECARPOS013</t>
        </is>
      </c>
      <c r="D73" s="18" t="inlineStr">
        <is>
          <t>Brownie Choc Vegano</t>
        </is>
      </c>
      <c r="E73" s="207">
        <f>IFERROR(
IF(
INDEX($K$272:$K$977,MATCH(C73,$B$272:$B$977,0))&lt;&gt;0,
INDEX($K$272:$K$977,MATCH(C73,$B$272:$B$977,0)),
INDEX($L$272:$L$977,MATCH(C73,$B$272:$B$977,0))
),
0)</f>
        <v/>
      </c>
      <c r="F73" s="18" t="inlineStr">
        <is>
          <t>Brownie Vegano</t>
        </is>
      </c>
      <c r="G73" s="52" t="n">
        <v>1</v>
      </c>
      <c r="H73" s="81" t="inlineStr">
        <is>
          <t>Kg</t>
        </is>
      </c>
      <c r="I73" s="79" t="n"/>
      <c r="J73" s="78" t="n"/>
      <c r="K73" s="79" t="n"/>
      <c r="L73" s="80" t="n"/>
      <c r="M73" s="80" t="n"/>
      <c r="N73" s="80" t="n"/>
      <c r="O73" s="20" t="n"/>
      <c r="P73" s="4" t="n"/>
      <c r="Q73" s="4" t="n"/>
    </row>
    <row r="74">
      <c r="B74" s="4" t="n"/>
      <c r="C74" s="96" t="inlineStr">
        <is>
          <t>VECARPOS024</t>
        </is>
      </c>
      <c r="D74" s="18" t="inlineStr">
        <is>
          <t>Brownie Nutella</t>
        </is>
      </c>
      <c r="E74" s="207">
        <f>IFERROR(
IF(
INDEX($K$272:$K$977,MATCH(C74,$B$272:$B$977,0))&lt;&gt;0,
INDEX($K$272:$K$977,MATCH(C74,$B$272:$B$977,0)),
INDEX($L$272:$L$977,MATCH(C74,$B$272:$B$977,0))
),
0)</f>
        <v/>
      </c>
      <c r="F74" s="18" t="inlineStr">
        <is>
          <t>Brownie Nutella</t>
        </is>
      </c>
      <c r="G74" s="52" t="n">
        <v>1</v>
      </c>
      <c r="H74" s="81" t="inlineStr">
        <is>
          <t>Kg</t>
        </is>
      </c>
      <c r="I74" s="79" t="n"/>
      <c r="J74" s="78" t="n"/>
      <c r="K74" s="79" t="n"/>
      <c r="L74" s="80" t="n"/>
      <c r="M74" s="80" t="n"/>
      <c r="N74" s="80" t="n"/>
      <c r="O74" s="4" t="n"/>
      <c r="P74" s="4" t="n"/>
      <c r="Q74" s="4" t="n"/>
    </row>
    <row r="75">
      <c r="B75" s="4" t="n"/>
      <c r="C75" s="96" t="inlineStr">
        <is>
          <t>VECARPUB012</t>
        </is>
      </c>
      <c r="D75" s="18" t="inlineStr">
        <is>
          <t>Brownie Nutella  PY</t>
        </is>
      </c>
      <c r="E75" s="207">
        <f>IFERROR(
IF(
INDEX($K$272:$K$977,MATCH(C75,$B$272:$B$977,0))&lt;&gt;0,
INDEX($K$272:$K$977,MATCH(C75,$B$272:$B$977,0)),
INDEX($L$272:$L$977,MATCH(C75,$B$272:$B$977,0))
),
0)</f>
        <v/>
      </c>
      <c r="F75" s="18" t="inlineStr">
        <is>
          <t>Brownie Nutella</t>
        </is>
      </c>
      <c r="G75" s="52" t="n">
        <v>1</v>
      </c>
      <c r="H75" s="81" t="inlineStr">
        <is>
          <t>Kg</t>
        </is>
      </c>
      <c r="I75" s="79" t="n"/>
      <c r="J75" s="78" t="n"/>
      <c r="K75" s="79" t="n"/>
      <c r="L75" s="80" t="n"/>
      <c r="M75" s="80" t="n"/>
      <c r="N75" s="80" t="n"/>
      <c r="O75" s="4" t="n"/>
      <c r="P75" s="4" t="n"/>
      <c r="Q75" s="4" t="n"/>
    </row>
    <row r="76">
      <c r="B76" s="4" t="n"/>
      <c r="C76" s="96" t="inlineStr">
        <is>
          <t>VECARPJT005</t>
        </is>
      </c>
      <c r="D76" s="18" t="inlineStr">
        <is>
          <t>Brownie Vegano JT</t>
        </is>
      </c>
      <c r="E76" s="207">
        <f>IFERROR(
IF(
INDEX($K$272:$K$977,MATCH(C76,$B$272:$B$977,0))&lt;&gt;0,
INDEX($K$272:$K$977,MATCH(C76,$B$272:$B$977,0)),
INDEX($L$272:$L$977,MATCH(C76,$B$272:$B$977,0))
),
0)</f>
        <v/>
      </c>
      <c r="F76" s="18" t="inlineStr">
        <is>
          <t>Brownie Vegano</t>
        </is>
      </c>
      <c r="G76" s="52" t="n">
        <v>1</v>
      </c>
      <c r="H76" s="81" t="inlineStr">
        <is>
          <t>Kg</t>
        </is>
      </c>
      <c r="I76" s="79" t="n"/>
      <c r="J76" s="78" t="n"/>
      <c r="K76" s="79" t="n"/>
      <c r="L76" s="80" t="n"/>
      <c r="M76" s="80" t="n"/>
      <c r="N76" s="80" t="n"/>
      <c r="O76" s="4" t="n"/>
      <c r="P76" s="4" t="n"/>
      <c r="Q76" s="4" t="n"/>
    </row>
    <row r="77">
      <c r="B77" s="4" t="n"/>
      <c r="C77" s="96" t="inlineStr">
        <is>
          <t>VECARPUB005</t>
        </is>
      </c>
      <c r="D77" s="18" t="inlineStr">
        <is>
          <t>Brownie Vegano PY</t>
        </is>
      </c>
      <c r="E77" s="207">
        <f>IFERROR(
IF(
INDEX($K$272:$K$977,MATCH(C77,$B$272:$B$977,0))&lt;&gt;0,
INDEX($K$272:$K$977,MATCH(C77,$B$272:$B$977,0)),
INDEX($L$272:$L$977,MATCH(C77,$B$272:$B$977,0))
),
0)</f>
        <v/>
      </c>
      <c r="F77" s="18" t="inlineStr">
        <is>
          <t>Brownie Vegano</t>
        </is>
      </c>
      <c r="G77" s="52" t="n">
        <v>1</v>
      </c>
      <c r="H77" s="81" t="inlineStr">
        <is>
          <t>Kg</t>
        </is>
      </c>
      <c r="I77" s="79" t="n"/>
      <c r="J77" s="78" t="n"/>
      <c r="K77" s="79" t="n"/>
      <c r="L77" s="80" t="n"/>
      <c r="M77" s="80" t="n"/>
      <c r="N77" s="80" t="n"/>
      <c r="O77" s="20" t="n"/>
      <c r="P77" s="4" t="n"/>
      <c r="Q77" s="4" t="n"/>
    </row>
    <row r="78">
      <c r="B78" s="4" t="n"/>
      <c r="C78" s="96" t="inlineStr">
        <is>
          <t>VECARFON067</t>
        </is>
      </c>
      <c r="D78" s="18" t="inlineStr">
        <is>
          <t>Carne Desmechada con Ñoquis</t>
        </is>
      </c>
      <c r="E78" s="207">
        <f>IFERROR(
IF(
INDEX($K$272:$K$977,MATCH(C78,$B$272:$B$977,0))&lt;&gt;0,
INDEX($K$272:$K$977,MATCH(C78,$B$272:$B$977,0)),
INDEX($L$272:$L$977,MATCH(C78,$B$272:$B$977,0))
),
0)</f>
        <v/>
      </c>
      <c r="F78" s="18" t="inlineStr">
        <is>
          <t>Ganso</t>
        </is>
      </c>
      <c r="G78" s="52" t="n">
        <v>0.12</v>
      </c>
      <c r="H78" s="81" t="inlineStr">
        <is>
          <t>Kg</t>
        </is>
      </c>
      <c r="I78" s="79" t="n"/>
      <c r="J78" s="78" t="n"/>
      <c r="K78" s="79" t="n"/>
      <c r="L78" s="80" t="n"/>
      <c r="M78" s="80" t="n"/>
      <c r="N78" s="80" t="n"/>
      <c r="O78" s="20" t="n"/>
      <c r="P78" s="4" t="n"/>
      <c r="Q78" s="4" t="n"/>
    </row>
    <row r="79">
      <c r="B79" s="4" t="n"/>
      <c r="C79" s="96" t="inlineStr">
        <is>
          <t>VECARAUB013</t>
        </is>
      </c>
      <c r="D79" s="18" t="inlineStr">
        <is>
          <t>Carpaccio de Res Margó PY</t>
        </is>
      </c>
      <c r="E79" s="207">
        <f>IFERROR(
IF(
INDEX($K$272:$K$977,MATCH(C79,$B$272:$B$977,0))&lt;&gt;0,
INDEX($K$272:$K$977,MATCH(C79,$B$272:$B$977,0)),
INDEX($L$272:$L$977,MATCH(C79,$B$272:$B$977,0))
),
0)</f>
        <v/>
      </c>
      <c r="F79" s="1" t="inlineStr">
        <is>
          <t>Carpaccio de res</t>
        </is>
      </c>
      <c r="G79" s="52" t="n">
        <v>0.12</v>
      </c>
      <c r="H79" s="81" t="inlineStr">
        <is>
          <t>Kg</t>
        </is>
      </c>
      <c r="I79" s="79" t="n"/>
      <c r="J79" s="78" t="n"/>
      <c r="K79" s="79" t="n"/>
      <c r="L79" s="80" t="n"/>
      <c r="M79" s="80" t="n"/>
      <c r="N79" s="80" t="n"/>
      <c r="O79" s="20" t="n"/>
      <c r="P79" s="4" t="n"/>
      <c r="Q79" s="4" t="n"/>
    </row>
    <row r="80">
      <c r="B80" s="4" t="n"/>
      <c r="C80" s="96" t="inlineStr">
        <is>
          <t>VECARENT002</t>
        </is>
      </c>
      <c r="D80" s="18" t="inlineStr">
        <is>
          <t>Carpaccio Filete Res</t>
        </is>
      </c>
      <c r="E80" s="207">
        <f>IFERROR(
IF(
INDEX($K$272:$K$977,MATCH(C80,$B$272:$B$977,0))&lt;&gt;0,
INDEX($K$272:$K$977,MATCH(C80,$B$272:$B$977,0)),
INDEX($L$272:$L$977,MATCH(C80,$B$272:$B$977,0))
),
0)</f>
        <v/>
      </c>
      <c r="F80" s="1" t="inlineStr">
        <is>
          <t>Carpaccio de res</t>
        </is>
      </c>
      <c r="G80" s="52" t="n">
        <v>0.12</v>
      </c>
      <c r="H80" s="81" t="inlineStr">
        <is>
          <t>Kg</t>
        </is>
      </c>
      <c r="I80" s="79" t="n"/>
      <c r="J80" s="78" t="n"/>
      <c r="K80" s="79" t="n"/>
      <c r="L80" s="80" t="n"/>
      <c r="M80" s="80" t="n"/>
      <c r="N80" s="80" t="n"/>
      <c r="O80" s="20" t="n"/>
      <c r="P80" s="4" t="n"/>
      <c r="Q80" s="4" t="n"/>
    </row>
    <row r="81">
      <c r="B81" s="4" t="n"/>
      <c r="C81" s="96" t="inlineStr">
        <is>
          <t>VECARFON004</t>
        </is>
      </c>
      <c r="D81" s="18" t="inlineStr">
        <is>
          <t>Caldillo de Congrio</t>
        </is>
      </c>
      <c r="E81" s="207">
        <f>IFERROR(
IF(
INDEX($K$272:$K$977,MATCH(C81,$B$272:$B$977,0))&lt;&gt;0,
INDEX($K$272:$K$977,MATCH(C81,$B$272:$B$977,0)),
INDEX($L$272:$L$977,MATCH(C81,$B$272:$B$977,0))
),
0)</f>
        <v/>
      </c>
      <c r="F81" s="1" t="inlineStr">
        <is>
          <t>Congrio</t>
        </is>
      </c>
      <c r="G81" s="52" t="n">
        <v>0.15</v>
      </c>
      <c r="H81" s="81" t="inlineStr">
        <is>
          <t>Kg</t>
        </is>
      </c>
      <c r="I81" s="79" t="n"/>
      <c r="J81" s="78" t="n"/>
      <c r="K81" s="79" t="n"/>
      <c r="L81" s="80" t="n"/>
      <c r="M81" s="80" t="n"/>
      <c r="N81" s="80" t="n"/>
      <c r="O81" s="20" t="n"/>
      <c r="P81" s="4" t="n"/>
      <c r="Q81" s="4" t="n"/>
    </row>
    <row r="82">
      <c r="B82" s="4" t="n"/>
      <c r="C82" s="96" t="inlineStr">
        <is>
          <t>VECARFON004</t>
        </is>
      </c>
      <c r="D82" s="18" t="inlineStr">
        <is>
          <t>Caldillo de Congrio</t>
        </is>
      </c>
      <c r="E82" s="207">
        <f>IFERROR(
IF(
INDEX($K$272:$K$977,MATCH(C82,$B$272:$B$977,0))&lt;&gt;0,
INDEX($K$272:$K$977,MATCH(C82,$B$272:$B$977,0)),
INDEX($L$272:$L$977,MATCH(C82,$B$272:$B$977,0))
),
0)</f>
        <v/>
      </c>
      <c r="F82" s="1" t="inlineStr">
        <is>
          <t>Mix Conchas</t>
        </is>
      </c>
      <c r="G82" s="52" t="n">
        <v>1</v>
      </c>
      <c r="H82" s="81" t="inlineStr">
        <is>
          <t>Porción</t>
        </is>
      </c>
      <c r="I82" s="79" t="n"/>
      <c r="J82" s="78" t="n"/>
      <c r="K82" s="79" t="n"/>
      <c r="L82" s="80" t="n"/>
      <c r="M82" s="80" t="n"/>
      <c r="N82" s="80" t="n"/>
      <c r="O82" s="20" t="n"/>
      <c r="P82" s="4" t="n"/>
      <c r="Q82" s="4" t="n"/>
    </row>
    <row r="83">
      <c r="B83" s="4" t="n"/>
      <c r="C83" s="97" t="inlineStr">
        <is>
          <t>VECARENT003</t>
        </is>
      </c>
      <c r="D83" s="18" t="inlineStr">
        <is>
          <t>Ceviche Margo</t>
        </is>
      </c>
      <c r="E83" s="207">
        <f>IFERROR(
IF(
INDEX($K$272:$K$977,MATCH(C83,$B$272:$B$977,0))&lt;&gt;0,
INDEX($K$272:$K$977,MATCH(C83,$B$272:$B$977,0)),
INDEX($L$272:$L$977,MATCH(C83,$B$272:$B$977,0))
),
0)</f>
        <v/>
      </c>
      <c r="F83" s="1" t="inlineStr">
        <is>
          <t>Reineta</t>
        </is>
      </c>
      <c r="G83" s="52" t="n">
        <v>0.1</v>
      </c>
      <c r="H83" s="81" t="inlineStr">
        <is>
          <t>Kg</t>
        </is>
      </c>
      <c r="I83" s="79" t="n"/>
      <c r="J83" s="78" t="n"/>
      <c r="K83" s="79" t="n"/>
      <c r="L83" s="80" t="n"/>
      <c r="M83" s="80" t="n"/>
      <c r="N83" s="80" t="n"/>
      <c r="O83" s="20" t="n"/>
      <c r="P83" s="4" t="n"/>
      <c r="Q83" s="4" t="n"/>
    </row>
    <row r="84">
      <c r="B84" s="4" t="n"/>
      <c r="C84" s="96" t="inlineStr">
        <is>
          <t>VECARPOS015</t>
        </is>
      </c>
      <c r="D84" s="122" t="inlineStr">
        <is>
          <t>Cheesecake Berries</t>
        </is>
      </c>
      <c r="E84" s="207">
        <f>IFERROR(
IF(
INDEX($K$272:$K$977,MATCH(C84,$B$272:$B$977,0))&lt;&gt;0,
INDEX($K$272:$K$977,MATCH(C84,$B$272:$B$977,0)),
INDEX($L$272:$L$977,MATCH(C84,$B$272:$B$977,0))
),
0)</f>
        <v/>
      </c>
      <c r="F84" s="1" t="inlineStr">
        <is>
          <t>Cheesecake Berries</t>
        </is>
      </c>
      <c r="G84" s="52" t="n">
        <v>1</v>
      </c>
      <c r="H84" s="81" t="inlineStr">
        <is>
          <t>Kg</t>
        </is>
      </c>
      <c r="I84" s="79" t="n"/>
      <c r="J84" s="78" t="n"/>
      <c r="K84" s="79" t="n"/>
      <c r="L84" s="80" t="n"/>
      <c r="M84" s="80" t="n"/>
      <c r="N84" s="80" t="n"/>
      <c r="O84" s="20" t="n"/>
      <c r="P84" s="4" t="n"/>
      <c r="Q84" s="4" t="n"/>
    </row>
    <row r="85">
      <c r="B85" s="4" t="n"/>
      <c r="C85" s="96" t="inlineStr">
        <is>
          <t>VECARPUB006</t>
        </is>
      </c>
      <c r="D85" s="122" t="inlineStr">
        <is>
          <t>Cheesecake Berries PY</t>
        </is>
      </c>
      <c r="E85" s="207">
        <f>IFERROR(
IF(
INDEX($K$272:$K$977,MATCH(C85,$B$272:$B$977,0))&lt;&gt;0,
INDEX($K$272:$K$977,MATCH(C85,$B$272:$B$977,0)),
INDEX($L$272:$L$977,MATCH(C85,$B$272:$B$977,0))
),
0)</f>
        <v/>
      </c>
      <c r="F85" s="1" t="inlineStr">
        <is>
          <t>Cheesecake Berries</t>
        </is>
      </c>
      <c r="G85" s="52" t="n">
        <v>1</v>
      </c>
      <c r="H85" s="81" t="inlineStr">
        <is>
          <t>Kg</t>
        </is>
      </c>
      <c r="I85" s="79" t="n"/>
      <c r="J85" s="78" t="n"/>
      <c r="K85" s="79" t="n"/>
      <c r="L85" s="80" t="n"/>
      <c r="M85" s="80" t="n"/>
      <c r="N85" s="80" t="n"/>
      <c r="O85" s="20" t="n"/>
      <c r="P85" s="4" t="n"/>
      <c r="Q85" s="4" t="n"/>
    </row>
    <row r="86">
      <c r="B86" s="4" t="n"/>
      <c r="C86" s="96" t="inlineStr">
        <is>
          <t>VECARPJT006</t>
        </is>
      </c>
      <c r="D86" s="122" t="inlineStr">
        <is>
          <t>Cheesecake Berries JT</t>
        </is>
      </c>
      <c r="E86" s="207">
        <f>IFERROR(
IF(
INDEX($K$272:$K$977,MATCH(C86,$B$272:$B$977,0))&lt;&gt;0,
INDEX($K$272:$K$977,MATCH(C86,$B$272:$B$977,0)),
INDEX($L$272:$L$977,MATCH(C86,$B$272:$B$977,0))
),
0)</f>
        <v/>
      </c>
      <c r="F86" s="1" t="inlineStr">
        <is>
          <t>Cheesecake Berries</t>
        </is>
      </c>
      <c r="G86" s="52" t="n">
        <v>1</v>
      </c>
      <c r="H86" s="81" t="inlineStr">
        <is>
          <t>Kg</t>
        </is>
      </c>
      <c r="I86" s="79" t="n"/>
      <c r="J86" s="78" t="n"/>
      <c r="K86" s="79" t="n"/>
      <c r="L86" s="80" t="n"/>
      <c r="M86" s="80" t="n"/>
      <c r="N86" s="80" t="n"/>
      <c r="O86" s="20" t="n"/>
      <c r="P86" s="4" t="n"/>
      <c r="Q86" s="4" t="n"/>
    </row>
    <row r="87" ht="15" customHeight="1" s="95">
      <c r="B87" s="4" t="n"/>
      <c r="C87" s="96" t="inlineStr">
        <is>
          <t>VECARPOS003</t>
        </is>
      </c>
      <c r="D87" s="18" t="inlineStr">
        <is>
          <t>Cheesecake Limón</t>
        </is>
      </c>
      <c r="E87" s="207">
        <f>IFERROR(
IF(
INDEX($K$272:$K$977,MATCH(C87,$B$272:$B$977,0))&lt;&gt;0,
INDEX($K$272:$K$977,MATCH(C87,$B$272:$B$977,0)),
INDEX($L$272:$L$977,MATCH(C87,$B$272:$B$977,0))
),
0)</f>
        <v/>
      </c>
      <c r="F87" s="1" t="inlineStr">
        <is>
          <t>Cheesecake de Limón</t>
        </is>
      </c>
      <c r="G87" s="52" t="n">
        <v>1</v>
      </c>
      <c r="H87" s="81" t="inlineStr">
        <is>
          <t>Kg</t>
        </is>
      </c>
      <c r="I87" s="79" t="n"/>
      <c r="J87" s="78" t="n"/>
      <c r="K87" s="79" t="n"/>
      <c r="L87" s="80" t="n"/>
      <c r="M87" s="80" t="n"/>
      <c r="N87" s="80" t="n"/>
      <c r="O87" s="20" t="n"/>
      <c r="P87" s="4" t="n"/>
      <c r="Q87" s="4" t="n"/>
    </row>
    <row r="88" ht="15" customHeight="1" s="95">
      <c r="B88" s="4" t="n"/>
      <c r="C88" s="96" t="inlineStr">
        <is>
          <t>VECARPJT011</t>
        </is>
      </c>
      <c r="D88" s="18" t="inlineStr">
        <is>
          <t>Cheesecake Limón JT</t>
        </is>
      </c>
      <c r="E88" s="207">
        <f>IFERROR(
IF(
INDEX($K$272:$K$977,MATCH(C88,$B$272:$B$977,0))&lt;&gt;0,
INDEX($K$272:$K$977,MATCH(C88,$B$272:$B$977,0)),
INDEX($L$272:$L$977,MATCH(C88,$B$272:$B$977,0))
),
0)</f>
        <v/>
      </c>
      <c r="F88" s="1" t="inlineStr">
        <is>
          <t>Cheesecake de Limón</t>
        </is>
      </c>
      <c r="G88" s="52" t="n">
        <v>1</v>
      </c>
      <c r="H88" s="81" t="inlineStr">
        <is>
          <t>Kg</t>
        </is>
      </c>
      <c r="I88" s="79" t="n"/>
      <c r="J88" s="78" t="n"/>
      <c r="K88" s="79" t="n"/>
      <c r="L88" s="80" t="n"/>
      <c r="M88" s="80" t="n"/>
      <c r="N88" s="80" t="n"/>
      <c r="O88" s="20" t="n"/>
      <c r="P88" s="4" t="n"/>
      <c r="Q88" s="4" t="n"/>
    </row>
    <row r="89">
      <c r="B89" s="4" t="n"/>
      <c r="C89" s="96" t="inlineStr">
        <is>
          <t>VECARPUB011</t>
        </is>
      </c>
      <c r="D89" s="18" t="inlineStr">
        <is>
          <t>Cheesecake Limón PY</t>
        </is>
      </c>
      <c r="E89" s="207">
        <f>IFERROR(
IF(
INDEX($K$272:$K$977,MATCH(C89,$B$272:$B$977,0))&lt;&gt;0,
INDEX($K$272:$K$977,MATCH(C89,$B$272:$B$977,0)),
INDEX($L$272:$L$977,MATCH(C89,$B$272:$B$977,0))
),
0)</f>
        <v/>
      </c>
      <c r="F89" s="1" t="inlineStr">
        <is>
          <t>Cheesecake de Limón</t>
        </is>
      </c>
      <c r="G89" s="52" t="n">
        <v>1</v>
      </c>
      <c r="H89" s="81" t="inlineStr">
        <is>
          <t>Kg</t>
        </is>
      </c>
      <c r="I89" s="79" t="n"/>
      <c r="J89" s="78" t="n"/>
      <c r="K89" s="79" t="n"/>
      <c r="L89" s="80" t="n"/>
      <c r="M89" s="80" t="n"/>
      <c r="N89" s="80" t="n"/>
      <c r="O89" s="20" t="n"/>
      <c r="P89" s="4" t="n"/>
      <c r="Q89" s="4" t="n"/>
    </row>
    <row r="90">
      <c r="B90" s="4" t="n"/>
      <c r="C90" s="96" t="inlineStr">
        <is>
          <t>VECARFON061</t>
        </is>
      </c>
      <c r="D90" s="18" t="inlineStr">
        <is>
          <t>Chupe de salmón ahumado</t>
        </is>
      </c>
      <c r="E90" s="207">
        <f>IFERROR(
IF(
INDEX($K$272:$K$977,MATCH(C90,$B$272:$B$977,0))&lt;&gt;0,
INDEX($K$272:$K$977,MATCH(C90,$B$272:$B$977,0)),
INDEX($L$272:$L$977,MATCH(C90,$B$272:$B$977,0))
),
0)</f>
        <v/>
      </c>
      <c r="F90" s="1" t="inlineStr">
        <is>
          <t>Chupe</t>
        </is>
      </c>
      <c r="G90" s="52" t="n">
        <v>1</v>
      </c>
      <c r="H90" s="81" t="inlineStr">
        <is>
          <t>Porción</t>
        </is>
      </c>
      <c r="I90" s="79" t="n"/>
      <c r="J90" s="78" t="n"/>
      <c r="K90" s="79" t="n"/>
      <c r="L90" s="80" t="n"/>
      <c r="M90" s="80" t="n"/>
      <c r="N90" s="80" t="n"/>
      <c r="O90" s="20" t="n"/>
      <c r="P90" s="4" t="n"/>
      <c r="Q90" s="4" t="n"/>
    </row>
    <row r="91">
      <c r="B91" s="4" t="n"/>
      <c r="C91" s="96" t="inlineStr">
        <is>
          <t>VECARPOS006</t>
        </is>
      </c>
      <c r="D91" s="18" t="inlineStr">
        <is>
          <t>Discos de Chocolate</t>
        </is>
      </c>
      <c r="E91" s="207">
        <f>IFERROR(
IF(
INDEX($K$272:$K$977,MATCH(C91,$B$272:$B$977,0))&lt;&gt;0,
INDEX($K$272:$K$977,MATCH(C91,$B$272:$B$977,0)),
INDEX($L$272:$L$977,MATCH(C91,$B$272:$B$977,0))
),
0)</f>
        <v/>
      </c>
      <c r="F91" s="18" t="inlineStr">
        <is>
          <t>Discos de Chocolate</t>
        </is>
      </c>
      <c r="G91" s="52" t="n">
        <v>3</v>
      </c>
      <c r="H91" s="81" t="inlineStr">
        <is>
          <t>Und</t>
        </is>
      </c>
      <c r="I91" s="79" t="n"/>
      <c r="J91" s="78" t="n"/>
      <c r="K91" s="79" t="n"/>
      <c r="L91" s="80" t="n"/>
      <c r="M91" s="80" t="n"/>
      <c r="N91" s="80" t="n"/>
      <c r="O91" s="20" t="n"/>
      <c r="P91" s="4" t="n"/>
      <c r="Q91" s="4" t="n"/>
    </row>
    <row r="92">
      <c r="B92" s="4" t="n"/>
      <c r="C92" s="96" t="inlineStr">
        <is>
          <t>VECARENT004</t>
        </is>
      </c>
      <c r="D92" s="18" t="inlineStr">
        <is>
          <t>Emp Frita Mechada</t>
        </is>
      </c>
      <c r="E92" s="207">
        <f>IFERROR(
IF(
INDEX($K$272:$K$977,MATCH(C92,$B$272:$B$977,0))&lt;&gt;0,
INDEX($K$272:$K$977,MATCH(C92,$B$272:$B$977,0)),
INDEX($L$272:$L$977,MATCH(C92,$B$272:$B$977,0))
),
0)</f>
        <v/>
      </c>
      <c r="F92" s="1" t="inlineStr">
        <is>
          <t>Empanada Mechada</t>
        </is>
      </c>
      <c r="G92" s="52" t="n">
        <v>4</v>
      </c>
      <c r="H92" s="81" t="inlineStr">
        <is>
          <t>Und</t>
        </is>
      </c>
      <c r="I92" s="79" t="n"/>
      <c r="J92" s="78" t="n"/>
      <c r="K92" s="79" t="n"/>
      <c r="L92" s="80" t="n"/>
      <c r="M92" s="80" t="n"/>
      <c r="N92" s="80" t="n"/>
      <c r="O92" s="20" t="n"/>
      <c r="P92" s="4" t="n"/>
      <c r="Q92" s="4" t="n"/>
    </row>
    <row r="93">
      <c r="B93" s="4" t="n"/>
      <c r="C93" s="96" t="inlineStr">
        <is>
          <t>VECARAJT001</t>
        </is>
      </c>
      <c r="D93" s="18" t="inlineStr">
        <is>
          <t>Emp Mechada JT</t>
        </is>
      </c>
      <c r="E93" s="207">
        <f>IFERROR(
IF(
INDEX($K$272:$K$977,MATCH(C93,$B$272:$B$977,0))&lt;&gt;0,
INDEX($K$272:$K$977,MATCH(C93,$B$272:$B$977,0)),
INDEX($L$272:$L$977,MATCH(C93,$B$272:$B$977,0))
),
0)</f>
        <v/>
      </c>
      <c r="F93" s="1" t="inlineStr">
        <is>
          <t>Empanada Mechada</t>
        </is>
      </c>
      <c r="G93" s="52" t="n">
        <v>4</v>
      </c>
      <c r="H93" s="81" t="inlineStr">
        <is>
          <t>Und</t>
        </is>
      </c>
      <c r="I93" s="79" t="n"/>
      <c r="J93" s="78" t="n"/>
      <c r="K93" s="79" t="n"/>
      <c r="L93" s="80" t="n"/>
      <c r="M93" s="80" t="n"/>
      <c r="N93" s="80" t="n"/>
      <c r="O93" s="20" t="n"/>
      <c r="P93" s="4" t="n"/>
      <c r="Q93" s="4" t="n"/>
    </row>
    <row r="94">
      <c r="B94" s="4" t="n"/>
      <c r="C94" s="96" t="inlineStr">
        <is>
          <t>VECARAUB001</t>
        </is>
      </c>
      <c r="D94" s="18" t="inlineStr">
        <is>
          <t>Emp Mechada PY</t>
        </is>
      </c>
      <c r="E94" s="207">
        <f>IFERROR(
IF(
INDEX($K$272:$K$977,MATCH(C94,$B$272:$B$977,0))&lt;&gt;0,
INDEX($K$272:$K$977,MATCH(C94,$B$272:$B$977,0)),
INDEX($L$272:$L$977,MATCH(C94,$B$272:$B$977,0))
),
0)</f>
        <v/>
      </c>
      <c r="F94" s="1" t="inlineStr">
        <is>
          <t>Empanada Mechada</t>
        </is>
      </c>
      <c r="G94" s="52" t="n">
        <v>4</v>
      </c>
      <c r="H94" s="81" t="inlineStr">
        <is>
          <t>Und</t>
        </is>
      </c>
      <c r="I94" s="79" t="n"/>
      <c r="J94" s="78" t="n"/>
      <c r="K94" s="79" t="n"/>
      <c r="L94" s="80" t="n"/>
      <c r="M94" s="80" t="n"/>
      <c r="N94" s="80" t="n"/>
      <c r="O94" s="20" t="n"/>
      <c r="P94" s="4" t="n"/>
      <c r="Q94" s="4" t="n"/>
    </row>
    <row r="95">
      <c r="B95" s="4" t="n"/>
      <c r="C95" s="96" t="inlineStr">
        <is>
          <t>VECARENT035</t>
        </is>
      </c>
      <c r="D95" s="18" t="inlineStr">
        <is>
          <t>Emp Pulpo Camarón</t>
        </is>
      </c>
      <c r="E95" s="207">
        <f>IFERROR(
IF(
INDEX($K$272:$K$977,MATCH(C95,$B$272:$B$977,0))&lt;&gt;0,
INDEX($K$272:$K$977,MATCH(C95,$B$272:$B$977,0)),
INDEX($L$272:$L$977,MATCH(C95,$B$272:$B$977,0))
),
0)</f>
        <v/>
      </c>
      <c r="F95" s="1" t="inlineStr">
        <is>
          <t>Empanada Pulpo</t>
        </is>
      </c>
      <c r="G95" s="52" t="n">
        <v>4</v>
      </c>
      <c r="H95" s="81" t="inlineStr">
        <is>
          <t>Und</t>
        </is>
      </c>
      <c r="I95" s="79" t="n"/>
      <c r="J95" s="78" t="n"/>
      <c r="K95" s="79" t="n"/>
      <c r="L95" s="80" t="n"/>
      <c r="M95" s="80" t="n"/>
      <c r="N95" s="80" t="n"/>
      <c r="O95" s="20" t="n"/>
      <c r="P95" s="4" t="n"/>
      <c r="Q95" s="4" t="n"/>
    </row>
    <row r="96">
      <c r="B96" s="4" t="n"/>
      <c r="C96" s="96" t="inlineStr">
        <is>
          <t>VECARENS003</t>
        </is>
      </c>
      <c r="D96" s="18" t="inlineStr">
        <is>
          <t>Ens Atún Mango</t>
        </is>
      </c>
      <c r="E96" s="207">
        <f>IFERROR(
IF(
INDEX($K$272:$K$977,MATCH(C96,$B$272:$B$977,0))&lt;&gt;0,
INDEX($K$272:$K$977,MATCH(C96,$B$272:$B$977,0)),
INDEX($L$272:$L$977,MATCH(C96,$B$272:$B$977,0))
),
0)</f>
        <v/>
      </c>
      <c r="F96" s="1" t="inlineStr">
        <is>
          <t>Atún Steak</t>
        </is>
      </c>
      <c r="G96" s="52" t="n">
        <v>0.18</v>
      </c>
      <c r="H96" s="81" t="inlineStr">
        <is>
          <t>Kg</t>
        </is>
      </c>
      <c r="I96" s="79" t="n"/>
      <c r="J96" s="78" t="n"/>
      <c r="K96" s="79" t="n"/>
      <c r="L96" s="80" t="n"/>
      <c r="M96" s="80" t="n"/>
      <c r="N96" s="80" t="n"/>
      <c r="O96" s="20" t="n"/>
      <c r="P96" s="4" t="n"/>
      <c r="Q96" s="4" t="n"/>
    </row>
    <row r="97">
      <c r="B97" s="4" t="n"/>
      <c r="C97" s="96" t="inlineStr">
        <is>
          <t>VECAREJT001</t>
        </is>
      </c>
      <c r="D97" s="18" t="inlineStr">
        <is>
          <t>Ens Atún Mango JT</t>
        </is>
      </c>
      <c r="E97" s="207">
        <f>IFERROR(
IF(
INDEX($K$272:$K$977,MATCH(C97,$B$272:$B$977,0))&lt;&gt;0,
INDEX($K$272:$K$977,MATCH(C97,$B$272:$B$977,0)),
INDEX($L$272:$L$977,MATCH(C97,$B$272:$B$977,0))
),
0)</f>
        <v/>
      </c>
      <c r="F97" s="1" t="inlineStr">
        <is>
          <t>Atún Steak</t>
        </is>
      </c>
      <c r="G97" s="52" t="n">
        <v>0.18</v>
      </c>
      <c r="H97" s="81" t="inlineStr">
        <is>
          <t>Kg</t>
        </is>
      </c>
      <c r="I97" s="79" t="n"/>
      <c r="J97" s="78" t="n"/>
      <c r="K97" s="79" t="n"/>
      <c r="L97" s="80" t="n"/>
      <c r="M97" s="80" t="n"/>
      <c r="N97" s="80" t="n"/>
      <c r="O97" s="20" t="n"/>
      <c r="P97" s="4" t="n"/>
      <c r="Q97" s="4" t="n"/>
    </row>
    <row r="98">
      <c r="B98" s="4" t="n"/>
      <c r="C98" s="96" t="inlineStr">
        <is>
          <t>VECAREUB001</t>
        </is>
      </c>
      <c r="D98" s="18" t="inlineStr">
        <is>
          <t>Ens Atún Mango PY</t>
        </is>
      </c>
      <c r="E98" s="207">
        <f>IFERROR(
IF(
INDEX($K$272:$K$977,MATCH(C98,$B$272:$B$977,0))&lt;&gt;0,
INDEX($K$272:$K$977,MATCH(C98,$B$272:$B$977,0)),
INDEX($L$272:$L$977,MATCH(C98,$B$272:$B$977,0))
),
0)</f>
        <v/>
      </c>
      <c r="F98" s="1" t="inlineStr">
        <is>
          <t>Atún Steak</t>
        </is>
      </c>
      <c r="G98" s="52" t="n">
        <v>0.18</v>
      </c>
      <c r="H98" s="81" t="inlineStr">
        <is>
          <t>Kg</t>
        </is>
      </c>
      <c r="I98" s="79" t="n"/>
      <c r="J98" s="78" t="n"/>
      <c r="K98" s="79" t="n"/>
      <c r="L98" s="80" t="n"/>
      <c r="M98" s="80" t="n"/>
      <c r="N98" s="80" t="n"/>
      <c r="O98" s="20" t="n"/>
      <c r="P98" s="4" t="n"/>
      <c r="Q98" s="4" t="n"/>
    </row>
    <row r="99">
      <c r="B99" s="4" t="n"/>
      <c r="C99" s="96" t="inlineStr">
        <is>
          <t>VECAREJT004</t>
        </is>
      </c>
      <c r="D99" s="18" t="inlineStr">
        <is>
          <t>Ens Caprese JT</t>
        </is>
      </c>
      <c r="E99" s="207">
        <f>IFERROR(
IF(
INDEX($K$272:$K$977,MATCH(C99,$B$272:$B$977,0))&lt;&gt;0,
INDEX($K$272:$K$977,MATCH(C99,$B$272:$B$977,0)),
INDEX($L$272:$L$977,MATCH(C99,$B$272:$B$977,0))
),
0)</f>
        <v/>
      </c>
      <c r="F99" s="1" t="inlineStr">
        <is>
          <t>Queso Mozzarella</t>
        </is>
      </c>
      <c r="G99" s="52" t="n">
        <v>1</v>
      </c>
      <c r="H99" s="81" t="inlineStr">
        <is>
          <t>Und</t>
        </is>
      </c>
      <c r="I99" s="79" t="n"/>
      <c r="J99" s="78" t="n"/>
      <c r="K99" s="79" t="n"/>
      <c r="L99" s="80" t="n"/>
      <c r="M99" s="80" t="n"/>
      <c r="N99" s="80" t="n"/>
      <c r="O99" s="20" t="n"/>
      <c r="P99" s="4" t="n"/>
      <c r="Q99" s="4" t="n"/>
    </row>
    <row r="100" ht="15" customHeight="1" s="95">
      <c r="B100" s="4" t="n"/>
      <c r="C100" s="96" t="inlineStr">
        <is>
          <t>VECARENS002</t>
        </is>
      </c>
      <c r="D100" s="18" t="inlineStr">
        <is>
          <t>Ens Capresse</t>
        </is>
      </c>
      <c r="E100" s="207">
        <f>IFERROR(
IF(
INDEX($K$272:$K$977,MATCH(C100,$B$272:$B$977,0))&lt;&gt;0,
INDEX($K$272:$K$977,MATCH(C100,$B$272:$B$977,0)),
INDEX($L$272:$L$977,MATCH(C100,$B$272:$B$977,0))
),
0)</f>
        <v/>
      </c>
      <c r="F100" s="1" t="inlineStr">
        <is>
          <t>Queso Mozzarella</t>
        </is>
      </c>
      <c r="G100" s="52" t="n">
        <v>1</v>
      </c>
      <c r="H100" s="81" t="inlineStr">
        <is>
          <t>Und</t>
        </is>
      </c>
      <c r="I100" s="79" t="n"/>
      <c r="J100" s="78" t="n"/>
      <c r="K100" s="79" t="n"/>
      <c r="L100" s="80" t="n"/>
      <c r="M100" s="80" t="n"/>
      <c r="N100" s="80" t="n"/>
      <c r="O100" s="20" t="n"/>
      <c r="P100" s="4" t="n"/>
      <c r="Q100" s="4" t="n"/>
    </row>
    <row r="101" ht="15" customHeight="1" s="95">
      <c r="B101" s="4" t="n"/>
      <c r="C101" s="96" t="inlineStr">
        <is>
          <t>VECARENS023</t>
        </is>
      </c>
      <c r="D101" s="18" t="inlineStr">
        <is>
          <t>Ens Pera Queso Azul</t>
        </is>
      </c>
      <c r="E101" s="207">
        <f>IFERROR(
IF(
INDEX($K$272:$K$977,MATCH(C101,$B$272:$B$977,0))&lt;&gt;0,
INDEX($K$272:$K$977,MATCH(C101,$B$272:$B$977,0)),
INDEX($L$272:$L$977,MATCH(C101,$B$272:$B$977,0))
),
0)</f>
        <v/>
      </c>
      <c r="F101" s="1" t="inlineStr">
        <is>
          <t>Jamón serrano</t>
        </is>
      </c>
      <c r="G101" s="52" t="n">
        <v>0.04</v>
      </c>
      <c r="H101" s="81" t="inlineStr">
        <is>
          <t>Kg</t>
        </is>
      </c>
      <c r="I101" s="79" t="n"/>
      <c r="J101" s="78" t="n"/>
      <c r="K101" s="79" t="n"/>
      <c r="L101" s="80" t="n"/>
      <c r="M101" s="80" t="n"/>
      <c r="N101" s="80" t="n"/>
      <c r="O101" s="20" t="n"/>
      <c r="P101" s="4" t="n"/>
      <c r="Q101" s="4" t="n"/>
    </row>
    <row r="102" ht="15" customHeight="1" s="95">
      <c r="B102" s="4" t="n"/>
      <c r="C102" s="96" t="inlineStr">
        <is>
          <t>VECAREJT016</t>
        </is>
      </c>
      <c r="D102" s="18" t="inlineStr">
        <is>
          <t>Ens Pera Oporto JT</t>
        </is>
      </c>
      <c r="E102" s="207">
        <f>IFERROR(
IF(
INDEX($K$272:$K$977,MATCH(C102,$B$272:$B$977,0))&lt;&gt;0,
INDEX($K$272:$K$977,MATCH(C102,$B$272:$B$977,0)),
INDEX($L$272:$L$977,MATCH(C102,$B$272:$B$977,0))
),
0)</f>
        <v/>
      </c>
      <c r="F102" s="1" t="inlineStr">
        <is>
          <t>Jamón serrano</t>
        </is>
      </c>
      <c r="G102" s="52" t="n">
        <v>0.04</v>
      </c>
      <c r="H102" s="81" t="inlineStr">
        <is>
          <t>Kg</t>
        </is>
      </c>
      <c r="I102" s="79" t="n"/>
      <c r="J102" s="78" t="n"/>
      <c r="K102" s="79" t="n"/>
      <c r="L102" s="80" t="n"/>
      <c r="M102" s="80" t="n"/>
      <c r="N102" s="80" t="n"/>
      <c r="O102" s="20" t="n"/>
      <c r="P102" s="4" t="n"/>
      <c r="Q102" s="4" t="n"/>
    </row>
    <row r="103">
      <c r="B103" s="4" t="n"/>
      <c r="C103" s="96" t="inlineStr">
        <is>
          <t>VECAREUB016</t>
        </is>
      </c>
      <c r="D103" s="18" t="inlineStr">
        <is>
          <t>Ens Peras Oporto  PY</t>
        </is>
      </c>
      <c r="E103" s="207">
        <f>IFERROR(
IF(
INDEX($K$272:$K$977,MATCH(C103,$B$272:$B$977,0))&lt;&gt;0,
INDEX($K$272:$K$977,MATCH(C103,$B$272:$B$977,0)),
INDEX($L$272:$L$977,MATCH(C103,$B$272:$B$977,0))
),
0)</f>
        <v/>
      </c>
      <c r="F103" s="18" t="inlineStr">
        <is>
          <t>Jamón serrano</t>
        </is>
      </c>
      <c r="G103" s="52" t="n">
        <v>0.04</v>
      </c>
      <c r="H103" s="81" t="inlineStr">
        <is>
          <t>Kg</t>
        </is>
      </c>
      <c r="I103" s="79" t="n"/>
      <c r="J103" s="78" t="n"/>
      <c r="K103" s="79" t="n"/>
      <c r="L103" s="80" t="n"/>
      <c r="M103" s="80" t="n"/>
      <c r="N103" s="80" t="n"/>
      <c r="O103" s="20" t="n"/>
      <c r="P103" s="4" t="n"/>
      <c r="Q103" s="4" t="n"/>
    </row>
    <row r="104" ht="15" customHeight="1" s="95">
      <c r="B104" s="4" t="n"/>
      <c r="C104" s="96" t="inlineStr">
        <is>
          <t>VECARENS006</t>
        </is>
      </c>
      <c r="D104" s="18" t="inlineStr">
        <is>
          <t>Ens Salmon Q.Cabra</t>
        </is>
      </c>
      <c r="E104" s="207">
        <f>IFERROR(
IF(
INDEX($K$272:$K$977,MATCH(C104,$B$272:$B$977,0))&lt;&gt;0,
INDEX($K$272:$K$977,MATCH(C104,$B$272:$B$977,0)),
INDEX($L$272:$L$977,MATCH(C104,$B$272:$B$977,0))
),
0)</f>
        <v/>
      </c>
      <c r="F104" s="1" t="inlineStr">
        <is>
          <t>Salmón ahumado en Caliente</t>
        </is>
      </c>
      <c r="G104" s="52" t="n">
        <v>0.12</v>
      </c>
      <c r="H104" s="81" t="inlineStr">
        <is>
          <t>Kg</t>
        </is>
      </c>
      <c r="I104" s="79" t="n"/>
      <c r="J104" s="78" t="n"/>
      <c r="K104" s="79" t="n"/>
      <c r="L104" s="80" t="n"/>
      <c r="M104" s="80" t="n"/>
      <c r="N104" s="80" t="n"/>
      <c r="O104" s="20" t="n"/>
      <c r="P104" s="4" t="n"/>
      <c r="Q104" s="4" t="n"/>
    </row>
    <row r="105" ht="15" customHeight="1" s="95">
      <c r="B105" s="4" t="n"/>
      <c r="C105" s="96" t="inlineStr">
        <is>
          <t>VECAREJT003</t>
        </is>
      </c>
      <c r="D105" s="18" t="inlineStr">
        <is>
          <t>Ens Salmon Q.Cabra JT</t>
        </is>
      </c>
      <c r="E105" s="207">
        <f>IFERROR(
IF(
INDEX($K$272:$K$977,MATCH(C105,$B$272:$B$977,0))&lt;&gt;0,
INDEX($K$272:$K$977,MATCH(C105,$B$272:$B$977,0)),
INDEX($L$272:$L$977,MATCH(C105,$B$272:$B$977,0))
),
0)</f>
        <v/>
      </c>
      <c r="F105" s="1" t="inlineStr">
        <is>
          <t>Salmón ahumado en Caliente</t>
        </is>
      </c>
      <c r="G105" s="52" t="n">
        <v>0.12</v>
      </c>
      <c r="H105" s="81" t="inlineStr">
        <is>
          <t>Kg</t>
        </is>
      </c>
      <c r="I105" s="79" t="n"/>
      <c r="J105" s="78" t="n"/>
      <c r="K105" s="79" t="n"/>
      <c r="L105" s="80" t="n"/>
      <c r="M105" s="80" t="n"/>
      <c r="N105" s="80" t="n"/>
      <c r="O105" s="20" t="n"/>
      <c r="P105" s="4" t="n"/>
      <c r="Q105" s="4" t="n"/>
    </row>
    <row r="106" ht="15" customHeight="1" s="95">
      <c r="B106" s="4" t="n"/>
      <c r="C106" s="96" t="inlineStr">
        <is>
          <t>VECAREUB003</t>
        </is>
      </c>
      <c r="D106" s="18" t="inlineStr">
        <is>
          <t>Ens Salmon Q.Cabra PY</t>
        </is>
      </c>
      <c r="E106" s="207">
        <f>IFERROR(
IF(
INDEX($K$272:$K$977,MATCH(C106,$B$272:$B$977,0))&lt;&gt;0,
INDEX($K$272:$K$977,MATCH(C106,$B$272:$B$977,0)),
INDEX($L$272:$L$977,MATCH(C106,$B$272:$B$977,0))
),
0)</f>
        <v/>
      </c>
      <c r="F106" s="1" t="inlineStr">
        <is>
          <t>Salmón ahumado en Caliente</t>
        </is>
      </c>
      <c r="G106" s="52" t="n">
        <v>0.12</v>
      </c>
      <c r="H106" s="81" t="inlineStr">
        <is>
          <t>Kg</t>
        </is>
      </c>
      <c r="I106" s="79" t="n"/>
      <c r="J106" s="78" t="n"/>
      <c r="K106" s="79" t="n"/>
      <c r="L106" s="80" t="n"/>
      <c r="M106" s="80" t="n"/>
      <c r="N106" s="80" t="n"/>
      <c r="O106" s="20" t="n"/>
      <c r="P106" s="4" t="n"/>
      <c r="Q106" s="4" t="n"/>
    </row>
    <row r="107" ht="15" customHeight="1" s="95">
      <c r="B107" s="4" t="n"/>
      <c r="C107" s="96" t="inlineStr">
        <is>
          <t>VECARENS009</t>
        </is>
      </c>
      <c r="D107" s="18" t="inlineStr">
        <is>
          <t>Ens Verduras Asadas</t>
        </is>
      </c>
      <c r="E107" s="207">
        <f>IFERROR(
IF(
INDEX($K$272:$K$977,MATCH(C107,$B$272:$B$977,0))&lt;&gt;0,
INDEX($K$272:$K$977,MATCH(C107,$B$272:$B$977,0)),
INDEX($L$272:$L$977,MATCH(C107,$B$272:$B$977,0))
),
0)</f>
        <v/>
      </c>
      <c r="F107" s="1" t="inlineStr">
        <is>
          <t>Granola Salada</t>
        </is>
      </c>
      <c r="G107" s="52" t="n">
        <v>0.025</v>
      </c>
      <c r="H107" s="81" t="inlineStr">
        <is>
          <t>Kg</t>
        </is>
      </c>
      <c r="I107" s="79" t="n"/>
      <c r="J107" s="78" t="n"/>
      <c r="K107" s="79" t="n"/>
      <c r="L107" s="80" t="n"/>
      <c r="M107" s="80" t="n"/>
      <c r="N107" s="80" t="n"/>
      <c r="O107" s="20" t="n"/>
      <c r="P107" s="4" t="n"/>
      <c r="Q107" s="4" t="n"/>
    </row>
    <row r="108" ht="15" customHeight="1" s="95">
      <c r="B108" s="4" t="n"/>
      <c r="C108" s="96" t="inlineStr">
        <is>
          <t>VECAREJT015</t>
        </is>
      </c>
      <c r="D108" s="18" t="inlineStr">
        <is>
          <t>Ens Verduras Asadas JT</t>
        </is>
      </c>
      <c r="E108" s="207">
        <f>IFERROR(
IF(
INDEX($K$272:$K$977,MATCH(C108,$B$272:$B$977,0))&lt;&gt;0,
INDEX($K$272:$K$977,MATCH(C108,$B$272:$B$977,0)),
INDEX($L$272:$L$977,MATCH(C108,$B$272:$B$977,0))
),
0)</f>
        <v/>
      </c>
      <c r="F108" s="1" t="inlineStr">
        <is>
          <t>Granola Salada</t>
        </is>
      </c>
      <c r="G108" s="52" t="n">
        <v>0.025</v>
      </c>
      <c r="H108" s="81" t="inlineStr">
        <is>
          <t>Kg</t>
        </is>
      </c>
      <c r="I108" s="79" t="n"/>
      <c r="J108" s="78" t="n"/>
      <c r="K108" s="79" t="n"/>
      <c r="L108" s="80" t="n"/>
      <c r="M108" s="80" t="n"/>
      <c r="N108" s="80" t="n"/>
      <c r="O108" s="20" t="n"/>
      <c r="P108" s="4" t="n"/>
      <c r="Q108" s="4" t="n"/>
    </row>
    <row r="109" ht="15" customHeight="1" s="95">
      <c r="B109" s="4" t="n"/>
      <c r="C109" s="96" t="inlineStr">
        <is>
          <t>VECAREUB015</t>
        </is>
      </c>
      <c r="D109" s="18" t="inlineStr">
        <is>
          <t>Ens Verdura Asada PY</t>
        </is>
      </c>
      <c r="E109" s="207">
        <f>IFERROR(
IF(
INDEX($K$272:$K$977,MATCH(C109,$B$272:$B$977,0))&lt;&gt;0,
INDEX($K$272:$K$977,MATCH(C109,$B$272:$B$977,0)),
INDEX($L$272:$L$977,MATCH(C109,$B$272:$B$977,0))
),
0)</f>
        <v/>
      </c>
      <c r="F109" s="1" t="inlineStr">
        <is>
          <t>Granola Salada</t>
        </is>
      </c>
      <c r="G109" s="52" t="n">
        <v>0.025</v>
      </c>
      <c r="H109" s="81" t="inlineStr">
        <is>
          <t>Kg</t>
        </is>
      </c>
      <c r="I109" s="79" t="n"/>
      <c r="J109" s="78" t="n"/>
      <c r="K109" s="79" t="n"/>
      <c r="L109" s="80" t="n"/>
      <c r="M109" s="80" t="n"/>
      <c r="N109" s="80" t="n"/>
      <c r="O109" s="20" t="n"/>
      <c r="P109" s="4" t="n"/>
      <c r="Q109" s="4" t="n"/>
    </row>
    <row r="110" ht="15" customHeight="1" s="95">
      <c r="B110" s="4" t="n"/>
      <c r="C110" s="96" t="inlineStr">
        <is>
          <t>VECAREUB004</t>
        </is>
      </c>
      <c r="D110" s="18" t="inlineStr">
        <is>
          <t>Ens.Caprese PY</t>
        </is>
      </c>
      <c r="E110" s="207">
        <f>IFERROR(
IF(
INDEX($K$272:$K$977,MATCH(C110,$B$272:$B$977,0))&lt;&gt;0,
INDEX($K$272:$K$977,MATCH(C110,$B$272:$B$977,0)),
INDEX($L$272:$L$977,MATCH(C110,$B$272:$B$977,0))
),
0)</f>
        <v/>
      </c>
      <c r="F110" s="1" t="inlineStr">
        <is>
          <t>Queso Mozzarella</t>
        </is>
      </c>
      <c r="G110" s="52" t="n">
        <v>1</v>
      </c>
      <c r="H110" s="81" t="inlineStr">
        <is>
          <t>Und</t>
        </is>
      </c>
      <c r="I110" s="79" t="n"/>
      <c r="J110" s="78" t="n"/>
      <c r="K110" s="79" t="n"/>
      <c r="L110" s="80" t="n"/>
      <c r="M110" s="80" t="n"/>
      <c r="N110" s="80" t="n"/>
      <c r="O110" s="20" t="n"/>
      <c r="P110" s="4" t="n"/>
      <c r="Q110" s="4" t="n"/>
    </row>
    <row r="111" ht="15" customHeight="1" s="95">
      <c r="B111" s="4" t="n"/>
      <c r="C111" s="96" t="inlineStr">
        <is>
          <t>VECARFUB024</t>
        </is>
      </c>
      <c r="D111" s="18" t="inlineStr">
        <is>
          <t>Fettuccini Salsa Jamón Py</t>
        </is>
      </c>
      <c r="E111" s="207">
        <f>IFERROR(
IF(
INDEX($K$272:$K$977,MATCH(C111,$B$272:$B$977,0))&lt;&gt;0,
INDEX($K$272:$K$977,MATCH(C111,$B$272:$B$977,0)),
INDEX($L$272:$L$977,MATCH(C111,$B$272:$B$977,0))
),
0)</f>
        <v/>
      </c>
      <c r="F111" s="1" t="inlineStr">
        <is>
          <t>Jamón de Pavo</t>
        </is>
      </c>
      <c r="G111" s="52" t="n">
        <v>0.07000000000000001</v>
      </c>
      <c r="H111" s="81" t="inlineStr">
        <is>
          <t>Kg</t>
        </is>
      </c>
      <c r="I111" s="79" t="n"/>
      <c r="J111" s="78" t="n"/>
      <c r="K111" s="79" t="n"/>
      <c r="L111" s="80" t="n"/>
      <c r="M111" s="80" t="n"/>
      <c r="N111" s="80" t="n"/>
      <c r="O111" s="20" t="n"/>
      <c r="P111" s="4" t="n"/>
      <c r="Q111" s="4" t="n"/>
    </row>
    <row r="112" ht="15" customHeight="1" s="95">
      <c r="B112" s="4" t="n"/>
      <c r="C112" s="96" t="inlineStr">
        <is>
          <t>VECARNIN002</t>
        </is>
      </c>
      <c r="D112" s="18" t="inlineStr">
        <is>
          <t>Fetuccini Salsa Jamón</t>
        </is>
      </c>
      <c r="E112" s="207">
        <f>IFERROR(
IF(
INDEX($K$272:$K$977,MATCH(C112,$B$272:$B$977,0))&lt;&gt;0,
INDEX($K$272:$K$977,MATCH(C112,$B$272:$B$977,0)),
INDEX($L$272:$L$977,MATCH(C112,$B$272:$B$977,0))
),
0)</f>
        <v/>
      </c>
      <c r="F112" s="1" t="inlineStr">
        <is>
          <t>Jamón de Pavo</t>
        </is>
      </c>
      <c r="G112" s="52" t="n">
        <v>0.07000000000000001</v>
      </c>
      <c r="H112" s="81" t="inlineStr">
        <is>
          <t>Kg</t>
        </is>
      </c>
      <c r="I112" s="79" t="n"/>
      <c r="J112" s="78" t="n"/>
      <c r="K112" s="79" t="n"/>
      <c r="L112" s="80" t="n"/>
      <c r="M112" s="80" t="n"/>
      <c r="N112" s="80" t="n"/>
      <c r="O112" s="20" t="n"/>
      <c r="P112" s="4" t="n"/>
      <c r="Q112" s="4" t="n"/>
    </row>
    <row r="113" ht="15" customHeight="1" s="95">
      <c r="B113" s="4" t="n"/>
      <c r="C113" s="96" t="inlineStr">
        <is>
          <t>VECARFUB028</t>
        </is>
      </c>
      <c r="D113" s="18" t="inlineStr">
        <is>
          <t>Filete Saltado con Arroz y Papas PY</t>
        </is>
      </c>
      <c r="E113" s="207">
        <f>IFERROR(
IF(
INDEX($K$272:$K$977,MATCH(C113,$B$272:$B$977,0))&lt;&gt;0,
INDEX($K$272:$K$977,MATCH(C113,$B$272:$B$977,0)),
INDEX($L$272:$L$977,MATCH(C113,$B$272:$B$977,0))
),
0)</f>
        <v/>
      </c>
      <c r="F113" s="1" t="inlineStr">
        <is>
          <t>Filete Salteado</t>
        </is>
      </c>
      <c r="G113" s="52" t="n">
        <v>0.16</v>
      </c>
      <c r="H113" s="81" t="inlineStr">
        <is>
          <t>Kg</t>
        </is>
      </c>
      <c r="I113" s="79" t="n"/>
      <c r="J113" s="78" t="n"/>
      <c r="K113" s="79" t="n"/>
      <c r="L113" s="80" t="n"/>
      <c r="M113" s="80" t="n"/>
      <c r="N113" s="80" t="n"/>
      <c r="O113" s="20" t="n"/>
      <c r="P113" s="4" t="n"/>
      <c r="Q113" s="4" t="n"/>
    </row>
    <row r="114" ht="15" customHeight="1" s="95">
      <c r="B114" s="4" t="n"/>
      <c r="C114" s="96" t="inlineStr">
        <is>
          <t>VECARFON010</t>
        </is>
      </c>
      <c r="D114" s="18" t="inlineStr">
        <is>
          <t>Filete Salteado Fritas</t>
        </is>
      </c>
      <c r="E114" s="207">
        <f>IFERROR(
IF(
INDEX($K$272:$K$977,MATCH(C114,$B$272:$B$977,0))&lt;&gt;0,
INDEX($K$272:$K$977,MATCH(C114,$B$272:$B$977,0)),
INDEX($L$272:$L$977,MATCH(C114,$B$272:$B$977,0))
),
0)</f>
        <v/>
      </c>
      <c r="F114" s="1" t="inlineStr">
        <is>
          <t>Filete Salteado</t>
        </is>
      </c>
      <c r="G114" s="52" t="n">
        <v>0.16</v>
      </c>
      <c r="H114" s="81" t="inlineStr">
        <is>
          <t>Kg</t>
        </is>
      </c>
      <c r="I114" s="79" t="n"/>
      <c r="J114" s="78" t="n"/>
      <c r="K114" s="79" t="n"/>
      <c r="L114" s="80" t="n"/>
      <c r="M114" s="80" t="n"/>
      <c r="N114" s="80" t="n"/>
      <c r="O114" s="20" t="n"/>
      <c r="P114" s="4" t="n"/>
      <c r="Q114" s="4" t="n"/>
    </row>
    <row r="115" ht="15" customHeight="1" s="95">
      <c r="B115" s="4" t="n"/>
      <c r="C115" s="96" t="inlineStr">
        <is>
          <t>VECARPUB002</t>
        </is>
      </c>
      <c r="D115" s="18" t="inlineStr">
        <is>
          <t>Flan Caluga  PY</t>
        </is>
      </c>
      <c r="E115" s="207">
        <f>IFERROR(
IF(
INDEX($K$272:$K$977,MATCH(C115,$B$272:$B$977,0))&lt;&gt;0,
INDEX($K$272:$K$977,MATCH(C115,$B$272:$B$977,0)),
INDEX($L$272:$L$977,MATCH(C115,$B$272:$B$977,0))
),
0)</f>
        <v/>
      </c>
      <c r="F115" s="1" t="inlineStr">
        <is>
          <t>Flan de Caluga</t>
        </is>
      </c>
      <c r="G115" s="52" t="n">
        <v>1</v>
      </c>
      <c r="H115" s="81" t="inlineStr">
        <is>
          <t>Kg</t>
        </is>
      </c>
      <c r="I115" s="79" t="n"/>
      <c r="J115" s="78" t="n"/>
      <c r="K115" s="79" t="n"/>
      <c r="L115" s="80" t="n"/>
      <c r="M115" s="80" t="n"/>
      <c r="N115" s="80" t="n"/>
      <c r="O115" s="20" t="n"/>
      <c r="P115" s="4" t="n"/>
      <c r="Q115" s="4" t="n"/>
    </row>
    <row r="116" ht="15" customHeight="1" s="95">
      <c r="B116" s="4" t="n"/>
      <c r="C116" s="96" t="inlineStr">
        <is>
          <t>VECARPJT002</t>
        </is>
      </c>
      <c r="D116" s="18" t="inlineStr">
        <is>
          <t>Flan Caluga JT</t>
        </is>
      </c>
      <c r="E116" s="207">
        <f>IFERROR(
IF(
INDEX($K$272:$K$977,MATCH(C116,$B$272:$B$977,0))&lt;&gt;0,
INDEX($K$272:$K$977,MATCH(C116,$B$272:$B$977,0)),
INDEX($L$272:$L$977,MATCH(C116,$B$272:$B$977,0))
),
0)</f>
        <v/>
      </c>
      <c r="F116" s="1" t="inlineStr">
        <is>
          <t>Flan de Caluga</t>
        </is>
      </c>
      <c r="G116" s="52" t="n">
        <v>1</v>
      </c>
      <c r="H116" s="81" t="inlineStr">
        <is>
          <t>Kg</t>
        </is>
      </c>
      <c r="I116" s="79" t="n"/>
      <c r="J116" s="78" t="n"/>
      <c r="K116" s="79" t="n"/>
      <c r="L116" s="80" t="n"/>
      <c r="M116" s="80" t="n"/>
      <c r="N116" s="80" t="n"/>
      <c r="O116" s="20" t="n"/>
      <c r="P116" s="4" t="n"/>
      <c r="Q116" s="4" t="n"/>
    </row>
    <row r="117" ht="15" customHeight="1" s="95">
      <c r="B117" s="4" t="n"/>
      <c r="C117" s="96" t="inlineStr">
        <is>
          <t>VECARPOS007</t>
        </is>
      </c>
      <c r="D117" s="18" t="inlineStr">
        <is>
          <t>Flan de Caluga</t>
        </is>
      </c>
      <c r="E117" s="207">
        <f>IFERROR(
IF(
INDEX($K$272:$K$977,MATCH(C117,$B$272:$B$977,0))&lt;&gt;0,
INDEX($K$272:$K$977,MATCH(C117,$B$272:$B$977,0)),
INDEX($L$272:$L$977,MATCH(C117,$B$272:$B$977,0))
),
0)</f>
        <v/>
      </c>
      <c r="F117" s="1" t="inlineStr">
        <is>
          <t>Flan de Caluga</t>
        </is>
      </c>
      <c r="G117" s="52" t="n">
        <v>1</v>
      </c>
      <c r="H117" s="81" t="inlineStr">
        <is>
          <t>Kg</t>
        </is>
      </c>
      <c r="I117" s="79" t="n"/>
      <c r="J117" s="78" t="n"/>
      <c r="K117" s="79" t="n"/>
      <c r="L117" s="80" t="n"/>
      <c r="M117" s="80" t="n"/>
      <c r="N117" s="80" t="n"/>
      <c r="O117" s="20" t="n"/>
      <c r="P117" s="4" t="n"/>
      <c r="Q117" s="4" t="n"/>
    </row>
    <row r="118" ht="15" customHeight="1" s="95">
      <c r="B118" s="4" t="n"/>
      <c r="C118" s="96" t="inlineStr">
        <is>
          <t>VECARNIN004</t>
        </is>
      </c>
      <c r="D118" s="18" t="inlineStr">
        <is>
          <t>Hamburguesa Niños</t>
        </is>
      </c>
      <c r="E118" s="207">
        <f>IFERROR(
IF(
INDEX($K$272:$K$977,MATCH(C118,$B$272:$B$977,0))&lt;&gt;0,
INDEX($K$272:$K$977,MATCH(C118,$B$272:$B$977,0)),
INDEX($L$272:$L$977,MATCH(C118,$B$272:$B$977,0))
),
0)</f>
        <v/>
      </c>
      <c r="F118" s="1" t="inlineStr">
        <is>
          <t>Hamburguesas</t>
        </is>
      </c>
      <c r="G118" s="52" t="n">
        <v>0.2</v>
      </c>
      <c r="H118" s="81" t="inlineStr">
        <is>
          <t>Kg</t>
        </is>
      </c>
      <c r="I118" s="79" t="n"/>
      <c r="J118" s="78" t="n"/>
      <c r="K118" s="79" t="n"/>
      <c r="L118" s="80" t="n"/>
      <c r="M118" s="80" t="n"/>
      <c r="N118" s="80" t="n"/>
      <c r="O118" s="20" t="n"/>
      <c r="P118" s="4" t="n"/>
      <c r="Q118" s="4" t="n"/>
    </row>
    <row r="119" ht="15" customHeight="1" s="95">
      <c r="B119" s="4" t="n"/>
      <c r="C119" s="96" t="inlineStr">
        <is>
          <t>VECARFON088</t>
        </is>
      </c>
      <c r="D119" s="18" t="inlineStr">
        <is>
          <t>Hojaldre de Carne Desmechada</t>
        </is>
      </c>
      <c r="E119" s="207">
        <f>IFERROR(
IF(
INDEX($K$272:$K$977,MATCH(C119,$B$272:$B$977,0))&lt;&gt;0,
INDEX($K$272:$K$977,MATCH(C119,$B$272:$B$977,0)),
INDEX($L$272:$L$977,MATCH(C119,$B$272:$B$977,0))
),
0)</f>
        <v/>
      </c>
      <c r="F119" s="1" t="inlineStr">
        <is>
          <t>Ganso</t>
        </is>
      </c>
      <c r="G119" s="52" t="n">
        <v>0.12</v>
      </c>
      <c r="H119" s="81" t="inlineStr">
        <is>
          <t>Kg</t>
        </is>
      </c>
      <c r="I119" s="79" t="n"/>
      <c r="J119" s="78" t="n"/>
      <c r="K119" s="79" t="n"/>
      <c r="L119" s="80" t="n"/>
      <c r="M119" s="80" t="n"/>
      <c r="N119" s="80" t="n"/>
      <c r="O119" s="20" t="n"/>
      <c r="P119" s="4" t="n"/>
      <c r="Q119" s="4" t="n"/>
    </row>
    <row r="120" ht="15" customHeight="1" s="95">
      <c r="B120" s="4" t="n"/>
      <c r="C120" s="96" t="inlineStr">
        <is>
          <t>VECARFON048</t>
        </is>
      </c>
      <c r="D120" s="18" t="inlineStr">
        <is>
          <t>Lasagna Ragout</t>
        </is>
      </c>
      <c r="E120" s="207">
        <f>IFERROR(
IF(
INDEX($K$272:$K$977,MATCH(C120,$B$272:$B$977,0))&lt;&gt;0,
INDEX($K$272:$K$977,MATCH(C120,$B$272:$B$977,0)),
INDEX($L$272:$L$977,MATCH(C120,$B$272:$B$977,0))
),
0)</f>
        <v/>
      </c>
      <c r="F120" s="1" t="inlineStr">
        <is>
          <t>Lasagna de Berenjenas</t>
        </is>
      </c>
      <c r="G120" s="52" t="n">
        <v>1</v>
      </c>
      <c r="H120" s="81" t="inlineStr">
        <is>
          <t>Porción</t>
        </is>
      </c>
      <c r="I120" s="79" t="n"/>
      <c r="J120" s="78" t="n"/>
      <c r="K120" s="79" t="n"/>
      <c r="L120" s="80" t="n"/>
      <c r="M120" s="80" t="n"/>
      <c r="N120" s="80" t="n"/>
      <c r="O120" s="20" t="n"/>
      <c r="P120" s="4" t="n"/>
      <c r="Q120" s="4" t="n"/>
    </row>
    <row r="121" ht="15" customHeight="1" s="95">
      <c r="B121" s="4" t="n"/>
      <c r="C121" s="96" t="inlineStr">
        <is>
          <t>VECARFON066</t>
        </is>
      </c>
      <c r="D121" s="18" t="inlineStr">
        <is>
          <t>Lomo Liso con Risotto Funghi</t>
        </is>
      </c>
      <c r="E121" s="207">
        <f>IFERROR(
IF(
INDEX($K$272:$K$977,MATCH(C121,$B$272:$B$977,0))&lt;&gt;0,
INDEX($K$272:$K$977,MATCH(C121,$B$272:$B$977,0)),
INDEX($L$272:$L$977,MATCH(C121,$B$272:$B$977,0))
),
0)</f>
        <v/>
      </c>
      <c r="F121" s="1" t="inlineStr">
        <is>
          <t>Lomo liso</t>
        </is>
      </c>
      <c r="G121" s="52" t="n">
        <v>0.18</v>
      </c>
      <c r="H121" s="81" t="inlineStr">
        <is>
          <t>Kg</t>
        </is>
      </c>
      <c r="I121" s="79" t="n"/>
      <c r="J121" s="78" t="n"/>
      <c r="K121" s="79" t="n"/>
      <c r="L121" s="80" t="n"/>
      <c r="M121" s="80" t="n"/>
      <c r="N121" s="80" t="n"/>
      <c r="O121" s="20" t="n"/>
      <c r="P121" s="4" t="n"/>
      <c r="Q121" s="4" t="n"/>
    </row>
    <row r="122" ht="15" customHeight="1" s="95">
      <c r="B122" s="4" t="n"/>
      <c r="C122" s="96" t="inlineStr">
        <is>
          <t>VECARFUB035</t>
        </is>
      </c>
      <c r="D122" s="18" t="inlineStr">
        <is>
          <t>Lomo Liso con Risotto Funghi PY</t>
        </is>
      </c>
      <c r="E122" s="207">
        <f>IFERROR(
IF(
INDEX($K$272:$K$977,MATCH(C122,$B$272:$B$977,0))&lt;&gt;0,
INDEX($K$272:$K$977,MATCH(C122,$B$272:$B$977,0)),
INDEX($L$272:$L$977,MATCH(C122,$B$272:$B$977,0))
),
0)</f>
        <v/>
      </c>
      <c r="F122" s="1" t="inlineStr">
        <is>
          <t>Lomo liso</t>
        </is>
      </c>
      <c r="G122" s="52" t="n">
        <v>0.18</v>
      </c>
      <c r="H122" s="81" t="inlineStr">
        <is>
          <t>Kg</t>
        </is>
      </c>
      <c r="I122" s="79" t="n"/>
      <c r="J122" s="78" t="n"/>
      <c r="K122" s="79" t="n"/>
      <c r="L122" s="80" t="n"/>
      <c r="M122" s="80" t="n"/>
      <c r="N122" s="80" t="n"/>
      <c r="O122" s="20" t="n"/>
      <c r="P122" s="4" t="n"/>
      <c r="Q122" s="4" t="n"/>
    </row>
    <row r="123" ht="15" customHeight="1" s="95">
      <c r="B123" s="4" t="n"/>
      <c r="C123" s="96" t="inlineStr">
        <is>
          <t>VECARFON012</t>
        </is>
      </c>
      <c r="D123" s="18" t="inlineStr">
        <is>
          <t>Merluza Austral</t>
        </is>
      </c>
      <c r="E123" s="207">
        <f>IFERROR(
IF(
INDEX($K$272:$K$977,MATCH(C123,$B$272:$B$977,0))&lt;&gt;0,
INDEX($K$272:$K$977,MATCH(C123,$B$272:$B$977,0)),
INDEX($L$272:$L$977,MATCH(C123,$B$272:$B$977,0))
),
0)</f>
        <v/>
      </c>
      <c r="F123" s="1" t="inlineStr">
        <is>
          <t>Merluza</t>
        </is>
      </c>
      <c r="G123" s="52" t="n">
        <v>0.18</v>
      </c>
      <c r="H123" s="81" t="inlineStr">
        <is>
          <t>Kg</t>
        </is>
      </c>
      <c r="I123" s="79" t="n"/>
      <c r="J123" s="78" t="n"/>
      <c r="K123" s="79" t="n"/>
      <c r="L123" s="80" t="n"/>
      <c r="M123" s="80" t="n"/>
      <c r="N123" s="80" t="n"/>
      <c r="O123" s="20" t="n"/>
      <c r="P123" s="4" t="n"/>
      <c r="Q123" s="4" t="n"/>
    </row>
    <row r="124" ht="15" customHeight="1" s="95">
      <c r="B124" s="4" t="n"/>
      <c r="C124" s="96" t="inlineStr">
        <is>
          <t>VECARFJT027</t>
        </is>
      </c>
      <c r="D124" s="18" t="inlineStr">
        <is>
          <t>Merluza Austral JT</t>
        </is>
      </c>
      <c r="E124" s="207">
        <f>IFERROR(
IF(
INDEX($K$272:$K$977,MATCH(C124,$B$272:$B$977,0))&lt;&gt;0,
INDEX($K$272:$K$977,MATCH(C124,$B$272:$B$977,0)),
INDEX($L$272:$L$977,MATCH(C124,$B$272:$B$977,0))
),
0)</f>
        <v/>
      </c>
      <c r="F124" s="1" t="inlineStr">
        <is>
          <t>Merluza</t>
        </is>
      </c>
      <c r="G124" s="52" t="n">
        <v>0.18</v>
      </c>
      <c r="H124" s="81" t="inlineStr">
        <is>
          <t>Kg</t>
        </is>
      </c>
      <c r="I124" s="79" t="n"/>
      <c r="J124" s="78" t="n"/>
      <c r="K124" s="79" t="n"/>
      <c r="L124" s="80" t="n"/>
      <c r="M124" s="80" t="n"/>
      <c r="N124" s="80" t="n"/>
      <c r="O124" s="20" t="n"/>
      <c r="P124" s="4" t="n"/>
      <c r="Q124" s="4" t="n"/>
    </row>
    <row r="125" ht="15" customHeight="1" s="95">
      <c r="B125" s="4" t="n"/>
      <c r="C125" s="96" t="inlineStr">
        <is>
          <t>VECARFUB027</t>
        </is>
      </c>
      <c r="D125" s="18" t="inlineStr">
        <is>
          <t>Merluza Austral PY</t>
        </is>
      </c>
      <c r="E125" s="207">
        <f>IFERROR(
IF(
INDEX($K$272:$K$977,MATCH(C125,$B$272:$B$977,0))&lt;&gt;0,
INDEX($K$272:$K$977,MATCH(C125,$B$272:$B$977,0)),
INDEX($L$272:$L$977,MATCH(C125,$B$272:$B$977,0))
),
0)</f>
        <v/>
      </c>
      <c r="F125" s="1" t="inlineStr">
        <is>
          <t>Merluza</t>
        </is>
      </c>
      <c r="G125" s="52" t="n">
        <v>0.18</v>
      </c>
      <c r="H125" s="81" t="inlineStr">
        <is>
          <t>Kg</t>
        </is>
      </c>
      <c r="I125" s="79" t="n"/>
      <c r="J125" s="78" t="n"/>
      <c r="K125" s="79" t="n"/>
      <c r="L125" s="80" t="n"/>
      <c r="M125" s="80" t="n"/>
      <c r="N125" s="80" t="n"/>
      <c r="O125" s="20" t="n"/>
      <c r="P125" s="4" t="n"/>
      <c r="Q125" s="4" t="n"/>
    </row>
    <row r="126" ht="15" customHeight="1" s="95">
      <c r="B126" s="4" t="n"/>
      <c r="C126" s="96" t="inlineStr">
        <is>
          <t>VECARENT042</t>
        </is>
      </c>
      <c r="D126" s="18" t="inlineStr">
        <is>
          <t>Ostiones con Cebolla</t>
        </is>
      </c>
      <c r="E126" s="207">
        <f>IFERROR(
IF(
INDEX($K$272:$K$977,MATCH(C126,$B$272:$B$977,0))&lt;&gt;0,
INDEX($K$272:$K$977,MATCH(C126,$B$272:$B$977,0)),
INDEX($L$272:$L$977,MATCH(C126,$B$272:$B$977,0))
),
0)</f>
        <v/>
      </c>
      <c r="F126" s="1" t="inlineStr">
        <is>
          <t>Ostiones</t>
        </is>
      </c>
      <c r="G126" s="52" t="n">
        <v>1</v>
      </c>
      <c r="H126" s="81" t="inlineStr">
        <is>
          <t>Kg</t>
        </is>
      </c>
      <c r="I126" s="79" t="n"/>
      <c r="J126" s="78" t="n"/>
      <c r="K126" s="79" t="n"/>
      <c r="L126" s="80" t="n"/>
      <c r="M126" s="80" t="n"/>
      <c r="N126" s="80" t="n"/>
      <c r="O126" s="20" t="n"/>
      <c r="P126" s="4" t="n"/>
      <c r="Q126" s="4" t="n"/>
    </row>
    <row r="127" ht="15" customHeight="1" s="95">
      <c r="B127" s="4" t="n"/>
      <c r="C127" s="96" t="inlineStr">
        <is>
          <t>VECARFON068</t>
        </is>
      </c>
      <c r="D127" s="18" t="inlineStr">
        <is>
          <t>Paila de Carne Mechada</t>
        </is>
      </c>
      <c r="E127" s="207">
        <f>IFERROR(
IF(
INDEX($K$272:$K$977,MATCH(C127,$B$272:$B$977,0))&lt;&gt;0,
INDEX($K$272:$K$977,MATCH(C127,$B$272:$B$977,0)),
INDEX($L$272:$L$977,MATCH(C127,$B$272:$B$977,0))
),
0)</f>
        <v/>
      </c>
      <c r="F127" s="18" t="inlineStr">
        <is>
          <t>Ganso</t>
        </is>
      </c>
      <c r="G127" s="52" t="n">
        <v>0.12</v>
      </c>
      <c r="H127" s="81" t="inlineStr">
        <is>
          <t>Kg</t>
        </is>
      </c>
      <c r="I127" s="79" t="n"/>
      <c r="J127" s="78" t="n"/>
      <c r="K127" s="79" t="n"/>
      <c r="L127" s="80" t="n"/>
      <c r="M127" s="80" t="n"/>
      <c r="N127" s="80" t="n"/>
      <c r="O127" s="20" t="n"/>
      <c r="P127" s="4" t="n"/>
      <c r="Q127" s="4" t="n"/>
    </row>
    <row r="128" ht="15" customHeight="1" s="95">
      <c r="B128" s="4" t="n"/>
      <c r="C128" s="96" t="inlineStr">
        <is>
          <t>VECARFUB011</t>
        </is>
      </c>
      <c r="D128" s="18" t="inlineStr">
        <is>
          <t>Plateada Pastel PY</t>
        </is>
      </c>
      <c r="E128" s="207">
        <f>IFERROR(
IF(
INDEX($K$272:$K$977,MATCH(C128,$B$272:$B$977,0))&lt;&gt;0,
INDEX($K$272:$K$977,MATCH(C128,$B$272:$B$977,0)),
INDEX($L$272:$L$977,MATCH(C128,$B$272:$B$977,0))
),
0)</f>
        <v/>
      </c>
      <c r="F128" s="1" t="inlineStr">
        <is>
          <t>Plateada</t>
        </is>
      </c>
      <c r="G128" s="52" t="n">
        <v>0.18</v>
      </c>
      <c r="H128" s="81" t="inlineStr">
        <is>
          <t>Kg</t>
        </is>
      </c>
      <c r="I128" s="79" t="n"/>
      <c r="J128" s="78" t="n"/>
      <c r="K128" s="79" t="n"/>
      <c r="L128" s="80" t="n"/>
      <c r="M128" s="80" t="n"/>
      <c r="N128" s="80" t="n"/>
      <c r="O128" s="20" t="n"/>
      <c r="P128" s="4" t="n"/>
      <c r="Q128" s="4" t="n"/>
    </row>
    <row r="129" ht="15" customHeight="1" s="95">
      <c r="B129" s="4" t="n"/>
      <c r="C129" s="96" t="inlineStr">
        <is>
          <t>VECARFJT011</t>
        </is>
      </c>
      <c r="D129" s="18" t="inlineStr">
        <is>
          <t>Plateada Pastele JT</t>
        </is>
      </c>
      <c r="E129" s="207">
        <f>IFERROR(
IF(
INDEX($K$272:$K$977,MATCH(C129,$B$272:$B$977,0))&lt;&gt;0,
INDEX($K$272:$K$977,MATCH(C129,$B$272:$B$977,0)),
INDEX($L$272:$L$977,MATCH(C129,$B$272:$B$977,0))
),
0)</f>
        <v/>
      </c>
      <c r="F129" s="1" t="inlineStr">
        <is>
          <t>Plateada</t>
        </is>
      </c>
      <c r="G129" s="52" t="n">
        <v>0.18</v>
      </c>
      <c r="H129" s="81" t="inlineStr">
        <is>
          <t>Kg</t>
        </is>
      </c>
      <c r="I129" s="79" t="n"/>
      <c r="J129" s="78" t="n"/>
      <c r="K129" s="79" t="n"/>
      <c r="L129" s="80" t="n"/>
      <c r="M129" s="80" t="n"/>
      <c r="N129" s="80" t="n"/>
      <c r="O129" s="20" t="n"/>
      <c r="P129" s="4" t="n"/>
      <c r="Q129" s="4" t="n"/>
    </row>
    <row r="130" ht="15" customHeight="1" s="95">
      <c r="B130" s="4" t="n"/>
      <c r="C130" s="96" t="inlineStr">
        <is>
          <t>VECARFON017</t>
        </is>
      </c>
      <c r="D130" s="18" t="inlineStr">
        <is>
          <t>Plateada Pastelera</t>
        </is>
      </c>
      <c r="E130" s="207">
        <f>IFERROR(
IF(
INDEX($K$272:$K$977,MATCH(C130,$B$272:$B$977,0))&lt;&gt;0,
INDEX($K$272:$K$977,MATCH(C130,$B$272:$B$977,0)),
INDEX($L$272:$L$977,MATCH(C130,$B$272:$B$977,0))
),
0)</f>
        <v/>
      </c>
      <c r="F130" s="1" t="inlineStr">
        <is>
          <t>Plateada</t>
        </is>
      </c>
      <c r="G130" s="52" t="n">
        <v>0.18</v>
      </c>
      <c r="H130" s="81" t="inlineStr">
        <is>
          <t>Kg</t>
        </is>
      </c>
      <c r="I130" s="79" t="n"/>
      <c r="J130" s="78" t="n"/>
      <c r="K130" s="79" t="n"/>
      <c r="L130" s="80" t="n"/>
      <c r="M130" s="80" t="n"/>
      <c r="N130" s="80" t="n"/>
      <c r="O130" s="20" t="n"/>
      <c r="P130" s="4" t="n"/>
      <c r="Q130" s="4" t="n"/>
    </row>
    <row r="131" ht="15" customHeight="1" s="95">
      <c r="B131" s="4" t="n"/>
      <c r="C131" s="96" t="inlineStr">
        <is>
          <t>VECARPRU089</t>
        </is>
      </c>
      <c r="D131" s="18" t="inlineStr">
        <is>
          <t>Promo Ens. Jamón Serrano + Beb. PY</t>
        </is>
      </c>
      <c r="E131" s="207">
        <f>IFERROR(
IF(
INDEX($K$272:$K$977,MATCH(C131,$B$272:$B$977,0))&lt;&gt;0,
INDEX($K$272:$K$977,MATCH(C131,$B$272:$B$977,0)),
INDEX($L$272:$L$977,MATCH(C131,$B$272:$B$977,0))
),
0)</f>
        <v/>
      </c>
      <c r="F131" s="1" t="inlineStr">
        <is>
          <t>Jamón serrano</t>
        </is>
      </c>
      <c r="G131" s="52" t="n">
        <v>0.04</v>
      </c>
      <c r="H131" s="81" t="inlineStr">
        <is>
          <t>Kg</t>
        </is>
      </c>
      <c r="I131" s="79" t="n"/>
      <c r="J131" s="78" t="n"/>
      <c r="K131" s="79" t="n"/>
      <c r="L131" s="80" t="n"/>
      <c r="M131" s="80" t="n"/>
      <c r="N131" s="80" t="n"/>
      <c r="O131" s="20" t="n"/>
      <c r="P131" s="4" t="n"/>
      <c r="Q131" s="4" t="n"/>
    </row>
    <row r="132" ht="15" customHeight="1" s="95">
      <c r="B132" s="4" t="n"/>
      <c r="C132" s="96" t="inlineStr">
        <is>
          <t>VECARFON054</t>
        </is>
      </c>
      <c r="D132" s="18" t="inlineStr">
        <is>
          <t>Pulpo Mote</t>
        </is>
      </c>
      <c r="E132" s="207">
        <f>IFERROR(
IF(
INDEX($K$272:$K$977,MATCH(C132,$B$272:$B$977,0))&lt;&gt;0,
INDEX($K$272:$K$977,MATCH(C132,$B$272:$B$977,0)),
INDEX($L$272:$L$977,MATCH(C132,$B$272:$B$977,0))
),
0)</f>
        <v/>
      </c>
      <c r="F132" s="18" t="inlineStr">
        <is>
          <t>Pulpo</t>
        </is>
      </c>
      <c r="G132" s="52" t="n">
        <v>0.145</v>
      </c>
      <c r="H132" s="81" t="inlineStr">
        <is>
          <t>Kg</t>
        </is>
      </c>
      <c r="I132" s="79" t="n"/>
      <c r="J132" s="78" t="n"/>
      <c r="K132" s="79" t="n"/>
      <c r="L132" s="80" t="n"/>
      <c r="M132" s="80" t="n"/>
      <c r="N132" s="80" t="n"/>
      <c r="O132" s="20" t="n"/>
      <c r="P132" s="4" t="n"/>
      <c r="Q132" s="4" t="n"/>
    </row>
    <row r="133" ht="15" customHeight="1" s="95">
      <c r="B133" s="4" t="n"/>
      <c r="C133" s="96" t="inlineStr">
        <is>
          <t>VECARFON085</t>
        </is>
      </c>
      <c r="D133" s="18" t="inlineStr">
        <is>
          <t>Rigatoni con Ragout de Filete</t>
        </is>
      </c>
      <c r="E133" s="207">
        <f>IFERROR(
IF(
INDEX($K$272:$K$977,MATCH(C133,$B$272:$B$977,0))&lt;&gt;0,
INDEX($K$272:$K$977,MATCH(C133,$B$272:$B$977,0)),
INDEX($L$272:$L$977,MATCH(C133,$B$272:$B$977,0))
),
0)</f>
        <v/>
      </c>
      <c r="F133" s="18" t="inlineStr">
        <is>
          <t>Ragout Rigatoni</t>
        </is>
      </c>
      <c r="G133" s="52" t="n">
        <v>0.15</v>
      </c>
      <c r="H133" s="81" t="inlineStr">
        <is>
          <t>Kg</t>
        </is>
      </c>
      <c r="I133" s="79" t="n"/>
      <c r="J133" s="78" t="n"/>
      <c r="K133" s="79" t="n"/>
      <c r="L133" s="80" t="n"/>
      <c r="M133" s="80" t="n"/>
      <c r="N133" s="80" t="n"/>
      <c r="O133" s="20" t="n"/>
      <c r="P133" s="4" t="n"/>
      <c r="Q133" s="4" t="n"/>
    </row>
    <row r="134" ht="15" customHeight="1" s="95">
      <c r="B134" s="4" t="n"/>
      <c r="C134" s="96" t="inlineStr">
        <is>
          <t>VECARSND012</t>
        </is>
      </c>
      <c r="D134" s="18" t="inlineStr">
        <is>
          <t>Sándwich de Filete Italiano</t>
        </is>
      </c>
      <c r="E134" s="207">
        <f>IFERROR(
IF(
INDEX($K$272:$K$977,MATCH(C134,$B$272:$B$977,0))&lt;&gt;0,
INDEX($K$272:$K$977,MATCH(C134,$B$272:$B$977,0)),
INDEX($L$272:$L$977,MATCH(C134,$B$272:$B$977,0))
),
0)</f>
        <v/>
      </c>
      <c r="F134" s="18" t="inlineStr">
        <is>
          <t>Filete para churrasco</t>
        </is>
      </c>
      <c r="G134" s="52" t="n">
        <v>0.12</v>
      </c>
      <c r="H134" s="81" t="inlineStr">
        <is>
          <t>Kg</t>
        </is>
      </c>
      <c r="I134" s="79" t="n"/>
      <c r="J134" s="78" t="n"/>
      <c r="K134" s="79" t="n"/>
      <c r="L134" s="80" t="n"/>
      <c r="M134" s="80" t="n"/>
      <c r="N134" s="80" t="n"/>
      <c r="O134" s="20" t="n"/>
      <c r="P134" s="4" t="n"/>
      <c r="Q134" s="4" t="n"/>
    </row>
    <row r="135" ht="15" customHeight="1" s="95">
      <c r="B135" s="4" t="n"/>
      <c r="C135" s="96" t="inlineStr">
        <is>
          <t>VECARFON020</t>
        </is>
      </c>
      <c r="D135" s="18" t="inlineStr">
        <is>
          <t>Salmon Cancato</t>
        </is>
      </c>
      <c r="E135" s="207">
        <f>IFERROR(
IF(
INDEX($K$272:$K$977,MATCH(C135,$B$272:$B$977,0))&lt;&gt;0,
INDEX($K$272:$K$977,MATCH(C135,$B$272:$B$977,0)),
INDEX($L$272:$L$977,MATCH(C135,$B$272:$B$977,0))
),
0)</f>
        <v/>
      </c>
      <c r="F135" s="1" t="inlineStr">
        <is>
          <t>Salmón cancato</t>
        </is>
      </c>
      <c r="G135" s="52" t="n">
        <v>0.16</v>
      </c>
      <c r="H135" s="81" t="inlineStr">
        <is>
          <t>Kg</t>
        </is>
      </c>
      <c r="I135" s="79" t="n"/>
      <c r="J135" s="78" t="n"/>
      <c r="K135" s="79" t="n"/>
      <c r="L135" s="80" t="n"/>
      <c r="M135" s="80" t="n"/>
      <c r="N135" s="80" t="n"/>
      <c r="O135" s="20" t="n"/>
      <c r="P135" s="4" t="n"/>
      <c r="Q135" s="4" t="n"/>
    </row>
    <row r="136" ht="15" customHeight="1" s="95">
      <c r="B136" s="4" t="n"/>
      <c r="C136" s="96" t="inlineStr">
        <is>
          <t>VECARFJT006</t>
        </is>
      </c>
      <c r="D136" s="18" t="inlineStr">
        <is>
          <t>Salmon Cancato JT</t>
        </is>
      </c>
      <c r="E136" s="207">
        <f>IFERROR(
IF(
INDEX($K$272:$K$977,MATCH(C136,$B$272:$B$977,0))&lt;&gt;0,
INDEX($K$272:$K$977,MATCH(C136,$B$272:$B$977,0)),
INDEX($L$272:$L$977,MATCH(C136,$B$272:$B$977,0))
),
0)</f>
        <v/>
      </c>
      <c r="F136" s="1" t="inlineStr">
        <is>
          <t>Salmón cancato</t>
        </is>
      </c>
      <c r="G136" s="52" t="n">
        <v>0.16</v>
      </c>
      <c r="H136" s="81" t="inlineStr">
        <is>
          <t>Kg</t>
        </is>
      </c>
      <c r="I136" s="79" t="n"/>
      <c r="J136" s="78" t="n"/>
      <c r="K136" s="79" t="n"/>
      <c r="L136" s="80" t="n"/>
      <c r="M136" s="80" t="n"/>
      <c r="N136" s="80" t="n"/>
      <c r="O136" s="20" t="n"/>
      <c r="P136" s="4" t="n"/>
      <c r="Q136" s="4" t="n"/>
    </row>
    <row r="137" ht="15" customHeight="1" s="95">
      <c r="B137" s="4" t="n"/>
      <c r="C137" s="96" t="inlineStr">
        <is>
          <t>VECARFUB006</t>
        </is>
      </c>
      <c r="D137" s="18" t="inlineStr">
        <is>
          <t>Salmon Cancato PY</t>
        </is>
      </c>
      <c r="E137" s="207">
        <f>IFERROR(
IF(
INDEX($K$272:$K$977,MATCH(C137,$B$272:$B$977,0))&lt;&gt;0,
INDEX($K$272:$K$977,MATCH(C137,$B$272:$B$977,0)),
INDEX($L$272:$L$977,MATCH(C137,$B$272:$B$977,0))
),
0)</f>
        <v/>
      </c>
      <c r="F137" s="1" t="inlineStr">
        <is>
          <t>Salmón cancato</t>
        </is>
      </c>
      <c r="G137" s="52" t="n">
        <v>0.16</v>
      </c>
      <c r="H137" s="81" t="inlineStr">
        <is>
          <t>Kg</t>
        </is>
      </c>
      <c r="I137" s="79" t="n"/>
      <c r="J137" s="78" t="n"/>
      <c r="K137" s="79" t="n"/>
      <c r="L137" s="80" t="n"/>
      <c r="M137" s="80" t="n"/>
      <c r="N137" s="80" t="n"/>
      <c r="O137" s="20" t="n"/>
      <c r="P137" s="4" t="n"/>
      <c r="Q137" s="4" t="n"/>
    </row>
    <row r="138" ht="15" customHeight="1" s="95">
      <c r="B138" s="4" t="n"/>
      <c r="C138" s="96" t="inlineStr">
        <is>
          <t>VECARFON021</t>
        </is>
      </c>
      <c r="D138" s="18" t="inlineStr">
        <is>
          <t>Sorrentino Mechada</t>
        </is>
      </c>
      <c r="E138" s="207">
        <f>IFERROR(
IF(
INDEX($K$272:$K$977,MATCH(C138,$B$272:$B$977,0))&lt;&gt;0,
INDEX($K$272:$K$977,MATCH(C138,$B$272:$B$977,0)),
INDEX($L$272:$L$977,MATCH(C138,$B$272:$B$977,0))
),
0)</f>
        <v/>
      </c>
      <c r="F138" s="1" t="inlineStr">
        <is>
          <t>Sorrentinos carne mechada</t>
        </is>
      </c>
      <c r="G138" s="52" t="n">
        <v>1</v>
      </c>
      <c r="H138" s="81" t="inlineStr">
        <is>
          <t>Und</t>
        </is>
      </c>
      <c r="I138" s="79" t="n"/>
      <c r="J138" s="78" t="n"/>
      <c r="K138" s="79" t="n"/>
      <c r="L138" s="80" t="n"/>
      <c r="M138" s="80" t="n"/>
      <c r="N138" s="80" t="n"/>
      <c r="O138" s="20" t="n"/>
      <c r="P138" s="4" t="n"/>
      <c r="Q138" s="4" t="n"/>
    </row>
    <row r="139" ht="15" customHeight="1" s="95">
      <c r="B139" s="4" t="n"/>
      <c r="C139" s="96" t="inlineStr">
        <is>
          <t>VECARFON022</t>
        </is>
      </c>
      <c r="D139" s="18" t="inlineStr">
        <is>
          <t>Sorrentino Zapallo</t>
        </is>
      </c>
      <c r="E139" s="207">
        <f>IFERROR(
IF(
INDEX($K$272:$K$977,MATCH(C139,$B$272:$B$977,0))&lt;&gt;0,
INDEX($K$272:$K$977,MATCH(C139,$B$272:$B$977,0)),
INDEX($L$272:$L$977,MATCH(C139,$B$272:$B$977,0))
),
0)</f>
        <v/>
      </c>
      <c r="F139" s="1" t="inlineStr">
        <is>
          <t>Sorrentinos zapallo</t>
        </is>
      </c>
      <c r="G139" s="52" t="n">
        <v>1</v>
      </c>
      <c r="H139" s="81" t="inlineStr">
        <is>
          <t>Und</t>
        </is>
      </c>
      <c r="I139" s="79" t="n"/>
      <c r="J139" s="78" t="n"/>
      <c r="K139" s="79" t="n"/>
      <c r="L139" s="80" t="n"/>
      <c r="M139" s="80" t="n"/>
      <c r="N139" s="80" t="n"/>
      <c r="O139" s="20" t="n"/>
      <c r="P139" s="4" t="n"/>
      <c r="Q139" s="4" t="n"/>
    </row>
    <row r="140" ht="15" customHeight="1" s="95">
      <c r="B140" s="4" t="n"/>
      <c r="C140" s="96" t="inlineStr">
        <is>
          <t>VECARFUB036</t>
        </is>
      </c>
      <c r="D140" s="18" t="inlineStr">
        <is>
          <t>Sorrentinos de Carne Mechada PY</t>
        </is>
      </c>
      <c r="E140" s="207">
        <f>IFERROR(
IF(
INDEX($K$272:$K$977,MATCH(C140,$B$272:$B$977,0))&lt;&gt;0,
INDEX($K$272:$K$977,MATCH(C140,$B$272:$B$977,0)),
INDEX($L$272:$L$977,MATCH(C140,$B$272:$B$977,0))
),
0)</f>
        <v/>
      </c>
      <c r="F140" s="1" t="inlineStr">
        <is>
          <t>Sorrentinos carne mechada</t>
        </is>
      </c>
      <c r="G140" s="52" t="n">
        <v>1</v>
      </c>
      <c r="H140" s="81" t="inlineStr">
        <is>
          <t>Und</t>
        </is>
      </c>
      <c r="I140" s="79" t="n"/>
      <c r="J140" s="78" t="n"/>
      <c r="K140" s="79" t="n"/>
      <c r="L140" s="80" t="n"/>
      <c r="M140" s="80" t="n"/>
      <c r="N140" s="80" t="n"/>
      <c r="O140" s="20" t="n"/>
      <c r="P140" s="4" t="n"/>
      <c r="Q140" s="4" t="n"/>
    </row>
    <row r="141" ht="15" customHeight="1" s="95">
      <c r="B141" s="4" t="n"/>
      <c r="C141" s="96" t="inlineStr">
        <is>
          <t>VECARFON062</t>
        </is>
      </c>
      <c r="D141" s="18" t="inlineStr">
        <is>
          <t>Sorrentinos de pulpo y salmón</t>
        </is>
      </c>
      <c r="E141" s="207">
        <f>IFERROR(
IF(
INDEX($K$272:$K$977,MATCH(C141,$B$272:$B$977,0))&lt;&gt;0,
INDEX($K$272:$K$977,MATCH(C141,$B$272:$B$977,0)),
INDEX($L$272:$L$977,MATCH(C141,$B$272:$B$977,0))
),
0)</f>
        <v/>
      </c>
      <c r="F141" s="1" t="inlineStr">
        <is>
          <t>Sorrentinos pulpo y salmón</t>
        </is>
      </c>
      <c r="G141" s="52" t="n">
        <v>1</v>
      </c>
      <c r="H141" s="81" t="inlineStr">
        <is>
          <t>Und</t>
        </is>
      </c>
      <c r="I141" s="79" t="n"/>
      <c r="J141" s="78" t="n"/>
      <c r="K141" s="79" t="n"/>
      <c r="L141" s="80" t="n"/>
      <c r="M141" s="80" t="n"/>
      <c r="N141" s="80" t="n"/>
      <c r="O141" s="20" t="n"/>
      <c r="P141" s="4" t="n"/>
      <c r="Q141" s="4" t="n"/>
    </row>
    <row r="142" ht="15" customHeight="1" s="95">
      <c r="B142" s="4" t="n"/>
      <c r="C142" s="96" t="inlineStr">
        <is>
          <t>VECARFUB007</t>
        </is>
      </c>
      <c r="D142" s="18" t="inlineStr">
        <is>
          <t>Strogonof Arroz PY</t>
        </is>
      </c>
      <c r="E142" s="207">
        <f>IFERROR(
IF(
INDEX($K$272:$K$977,MATCH(C142,$B$272:$B$977,0))&lt;&gt;0,
INDEX($K$272:$K$977,MATCH(C142,$B$272:$B$977,0)),
INDEX($L$272:$L$977,MATCH(C142,$B$272:$B$977,0))
),
0)</f>
        <v/>
      </c>
      <c r="F142" s="1" t="inlineStr">
        <is>
          <t>Filete Salteado</t>
        </is>
      </c>
      <c r="G142" s="52" t="n">
        <v>0.16</v>
      </c>
      <c r="H142" s="81" t="inlineStr">
        <is>
          <t>Kg</t>
        </is>
      </c>
      <c r="I142" s="79" t="n"/>
      <c r="J142" s="78" t="n"/>
      <c r="K142" s="79" t="n"/>
      <c r="L142" s="80" t="n"/>
      <c r="M142" s="80" t="n"/>
      <c r="N142" s="80" t="n"/>
      <c r="O142" s="20" t="n"/>
      <c r="P142" s="4" t="n"/>
      <c r="Q142" s="4" t="n"/>
    </row>
    <row r="143" ht="15" customHeight="1" s="95">
      <c r="B143" s="4" t="n"/>
      <c r="C143" s="96" t="inlineStr">
        <is>
          <t>VECARFJT007</t>
        </is>
      </c>
      <c r="D143" s="18" t="inlineStr">
        <is>
          <t>Strogonof Arroz JT</t>
        </is>
      </c>
      <c r="E143" s="207">
        <f>IFERROR(
IF(
INDEX($K$272:$K$977,MATCH(C143,$B$272:$B$977,0))&lt;&gt;0,
INDEX($K$272:$K$977,MATCH(C143,$B$272:$B$977,0)),
INDEX($L$272:$L$977,MATCH(C143,$B$272:$B$977,0))
),
0)</f>
        <v/>
      </c>
      <c r="F143" s="1" t="inlineStr">
        <is>
          <t>Filete Salteado</t>
        </is>
      </c>
      <c r="G143" s="52" t="n">
        <v>0.16</v>
      </c>
      <c r="H143" s="81" t="inlineStr">
        <is>
          <t>Kg</t>
        </is>
      </c>
      <c r="I143" s="79" t="n"/>
      <c r="J143" s="78" t="n"/>
      <c r="K143" s="79" t="n"/>
      <c r="L143" s="80" t="n"/>
      <c r="M143" s="80" t="n"/>
      <c r="N143" s="80" t="n"/>
      <c r="O143" s="20" t="n"/>
      <c r="P143" s="4" t="n"/>
      <c r="Q143" s="4" t="n"/>
    </row>
    <row r="144" ht="15" customHeight="1" s="95">
      <c r="B144" s="4" t="n"/>
      <c r="C144" s="96" t="inlineStr">
        <is>
          <t>VECARFON023</t>
        </is>
      </c>
      <c r="D144" s="18" t="inlineStr">
        <is>
          <t>Strogonoff Arroz</t>
        </is>
      </c>
      <c r="E144" s="207">
        <f>IFERROR(
IF(
INDEX($K$272:$K$977,MATCH(C144,$B$272:$B$977,0))&lt;&gt;0,
INDEX($K$272:$K$977,MATCH(C144,$B$272:$B$977,0)),
INDEX($L$272:$L$977,MATCH(C144,$B$272:$B$977,0))
),
0)</f>
        <v/>
      </c>
      <c r="F144" s="1" t="inlineStr">
        <is>
          <t>Filete Salteado</t>
        </is>
      </c>
      <c r="G144" s="52" t="n">
        <v>0.16</v>
      </c>
      <c r="H144" s="81" t="inlineStr">
        <is>
          <t>Kg</t>
        </is>
      </c>
      <c r="I144" s="79" t="n"/>
      <c r="J144" s="78" t="n"/>
      <c r="K144" s="79" t="n"/>
      <c r="L144" s="80" t="n"/>
      <c r="M144" s="80" t="n"/>
      <c r="N144" s="80" t="n"/>
      <c r="O144" s="20" t="n"/>
      <c r="P144" s="4" t="n"/>
      <c r="Q144" s="4" t="n"/>
    </row>
    <row r="145" ht="15" customHeight="1" s="95">
      <c r="B145" s="4" t="n"/>
      <c r="C145" s="96" t="inlineStr">
        <is>
          <t>VECARENT008</t>
        </is>
      </c>
      <c r="D145" s="18" t="inlineStr">
        <is>
          <t>Tartar Atún</t>
        </is>
      </c>
      <c r="E145" s="207">
        <f>IFERROR(
IF(
INDEX($K$272:$K$977,MATCH(C145,$B$272:$B$977,0))&lt;&gt;0,
INDEX($K$272:$K$977,MATCH(C145,$B$272:$B$977,0)),
INDEX($L$272:$L$977,MATCH(C145,$B$272:$B$977,0))
),
0)</f>
        <v/>
      </c>
      <c r="F145" s="1" t="inlineStr">
        <is>
          <t>Atún Trozos</t>
        </is>
      </c>
      <c r="G145" s="52" t="n">
        <v>0.18</v>
      </c>
      <c r="H145" s="81" t="inlineStr">
        <is>
          <t>Kg</t>
        </is>
      </c>
      <c r="I145" s="79" t="n"/>
      <c r="J145" s="78" t="n"/>
      <c r="K145" s="79" t="n"/>
      <c r="L145" s="80" t="n"/>
      <c r="M145" s="80" t="n"/>
      <c r="N145" s="80" t="n"/>
      <c r="O145" s="20" t="n"/>
      <c r="P145" s="4" t="n"/>
      <c r="Q145" s="4" t="n"/>
    </row>
    <row r="146" ht="15" customHeight="1" s="95">
      <c r="B146" s="4" t="n"/>
      <c r="C146" s="96" t="inlineStr">
        <is>
          <t>VECARAJT002</t>
        </is>
      </c>
      <c r="D146" s="18" t="inlineStr">
        <is>
          <t>Tartar Atún JT</t>
        </is>
      </c>
      <c r="E146" s="207">
        <f>IFERROR(
IF(
INDEX($K$272:$K$977,MATCH(C146,$B$272:$B$977,0))&lt;&gt;0,
INDEX($K$272:$K$977,MATCH(C146,$B$272:$B$977,0)),
INDEX($L$272:$L$977,MATCH(C146,$B$272:$B$977,0))
),
0)</f>
        <v/>
      </c>
      <c r="F146" s="1" t="inlineStr">
        <is>
          <t>Atún Trozos</t>
        </is>
      </c>
      <c r="G146" s="52" t="n">
        <v>0.18</v>
      </c>
      <c r="H146" s="81" t="inlineStr">
        <is>
          <t>Kg</t>
        </is>
      </c>
      <c r="I146" s="79" t="n"/>
      <c r="J146" s="78" t="n"/>
      <c r="K146" s="79" t="n"/>
      <c r="L146" s="80" t="n"/>
      <c r="M146" s="80" t="n"/>
      <c r="N146" s="80" t="n"/>
      <c r="O146" s="20" t="n"/>
      <c r="P146" s="4" t="n"/>
      <c r="Q146" s="4" t="n"/>
    </row>
    <row r="147" ht="15" customHeight="1" s="95">
      <c r="B147" s="4" t="n"/>
      <c r="C147" s="96" t="inlineStr">
        <is>
          <t>VECARAUB002</t>
        </is>
      </c>
      <c r="D147" s="18" t="inlineStr">
        <is>
          <t>Tartar Atún Palta  PY</t>
        </is>
      </c>
      <c r="E147" s="207">
        <f>IFERROR(
IF(
INDEX($K$272:$K$977,MATCH(C147,$B$272:$B$977,0))&lt;&gt;0,
INDEX($K$272:$K$977,MATCH(C147,$B$272:$B$977,0)),
INDEX($L$272:$L$977,MATCH(C147,$B$272:$B$977,0))
),
0)</f>
        <v/>
      </c>
      <c r="F147" s="1" t="inlineStr">
        <is>
          <t>Atún Trozos</t>
        </is>
      </c>
      <c r="G147" s="52" t="n">
        <v>0.18</v>
      </c>
      <c r="H147" s="81" t="inlineStr">
        <is>
          <t>Kg</t>
        </is>
      </c>
      <c r="I147" s="79" t="n"/>
      <c r="J147" s="78" t="n"/>
      <c r="K147" s="79" t="n"/>
      <c r="L147" s="80" t="n"/>
      <c r="M147" s="80" t="n"/>
      <c r="N147" s="80" t="n"/>
      <c r="O147" s="20" t="n"/>
      <c r="P147" s="4" t="n"/>
      <c r="Q147" s="4" t="n"/>
    </row>
    <row r="148" ht="15" customHeight="1" s="95">
      <c r="B148" s="4" t="n"/>
      <c r="C148" s="96" t="inlineStr">
        <is>
          <t>VECARAUB012</t>
        </is>
      </c>
      <c r="D148" s="18" t="inlineStr">
        <is>
          <t>Tártaro Filete PY</t>
        </is>
      </c>
      <c r="E148" s="207">
        <f>IFERROR(
IF(
INDEX($K$272:$K$977,MATCH(C148,$B$272:$B$977,0))&lt;&gt;0,
INDEX($K$272:$K$977,MATCH(C148,$B$272:$B$977,0)),
INDEX($L$272:$L$977,MATCH(C148,$B$272:$B$977,0))
),
0)</f>
        <v/>
      </c>
      <c r="F148" s="18" t="inlineStr">
        <is>
          <t>Filete para crudo</t>
        </is>
      </c>
      <c r="G148" s="52" t="n">
        <v>0.17</v>
      </c>
      <c r="H148" s="81" t="inlineStr">
        <is>
          <t>Kg</t>
        </is>
      </c>
      <c r="I148" s="79" t="n"/>
      <c r="J148" s="78" t="n"/>
      <c r="K148" s="79" t="n"/>
      <c r="L148" s="80" t="n"/>
      <c r="M148" s="80" t="n"/>
      <c r="N148" s="80" t="n"/>
      <c r="O148" s="20" t="n"/>
      <c r="P148" s="4" t="n"/>
      <c r="Q148" s="4" t="n"/>
    </row>
    <row r="149" ht="15" customHeight="1" s="95">
      <c r="B149" s="4" t="n"/>
      <c r="C149" s="96" t="inlineStr">
        <is>
          <t>VECARAJT012</t>
        </is>
      </c>
      <c r="D149" s="18" t="inlineStr">
        <is>
          <t>Tartaro Filete JT</t>
        </is>
      </c>
      <c r="E149" s="207">
        <f>IFERROR(
IF(
INDEX($K$272:$K$977,MATCH(C149,$B$272:$B$977,0))&lt;&gt;0,
INDEX($K$272:$K$977,MATCH(C149,$B$272:$B$977,0)),
INDEX($L$272:$L$977,MATCH(C149,$B$272:$B$977,0))
),
0)</f>
        <v/>
      </c>
      <c r="F149" s="18" t="inlineStr">
        <is>
          <t>Filete para crudo</t>
        </is>
      </c>
      <c r="G149" s="52" t="n">
        <v>0.17</v>
      </c>
      <c r="H149" s="81" t="inlineStr">
        <is>
          <t>Kg</t>
        </is>
      </c>
      <c r="I149" s="79" t="n"/>
      <c r="J149" s="78" t="n"/>
      <c r="K149" s="79" t="n"/>
      <c r="L149" s="80" t="n"/>
      <c r="M149" s="80" t="n"/>
      <c r="N149" s="80" t="n"/>
      <c r="O149" s="20" t="n"/>
      <c r="P149" s="4" t="n"/>
      <c r="Q149" s="4" t="n"/>
    </row>
    <row r="150" ht="15" customHeight="1" s="95">
      <c r="B150" s="4" t="n"/>
      <c r="C150" s="96" t="inlineStr">
        <is>
          <t>VECARENT027</t>
        </is>
      </c>
      <c r="D150" s="18" t="inlineStr">
        <is>
          <t>Tártaro Res</t>
        </is>
      </c>
      <c r="E150" s="207">
        <f>IFERROR(
IF(
INDEX($K$272:$K$977,MATCH(C150,$B$272:$B$977,0))&lt;&gt;0,
INDEX($K$272:$K$977,MATCH(C150,$B$272:$B$977,0)),
INDEX($L$272:$L$977,MATCH(C150,$B$272:$B$977,0))
),
0)</f>
        <v/>
      </c>
      <c r="F150" s="18" t="inlineStr">
        <is>
          <t>Filete para crudo</t>
        </is>
      </c>
      <c r="G150" s="52" t="n">
        <v>0.17</v>
      </c>
      <c r="H150" s="81" t="inlineStr">
        <is>
          <t>Kg</t>
        </is>
      </c>
      <c r="I150" s="79" t="n"/>
      <c r="J150" s="78" t="n"/>
      <c r="K150" s="79" t="n"/>
      <c r="L150" s="80" t="n"/>
      <c r="M150" s="80" t="n"/>
      <c r="N150" s="80" t="n"/>
      <c r="O150" s="20" t="n"/>
      <c r="P150" s="4" t="n"/>
      <c r="Q150" s="4" t="n"/>
    </row>
    <row r="151" ht="15" customHeight="1" s="95">
      <c r="B151" s="4" t="n"/>
      <c r="C151" s="96" t="inlineStr">
        <is>
          <t>VECARENT041</t>
        </is>
      </c>
      <c r="D151" s="18" t="inlineStr">
        <is>
          <t>Tiradito de Locos</t>
        </is>
      </c>
      <c r="E151" s="207">
        <f>IFERROR(
IF(
INDEX($K$272:$K$977,MATCH(C151,$B$272:$B$977,0))&lt;&gt;0,
INDEX($K$272:$K$977,MATCH(C151,$B$272:$B$977,0)),
INDEX($L$272:$L$977,MATCH(C151,$B$272:$B$977,0))
),
0)</f>
        <v/>
      </c>
      <c r="F151" s="18" t="inlineStr">
        <is>
          <t>Locos</t>
        </is>
      </c>
      <c r="G151" s="52" t="n">
        <v>0.09</v>
      </c>
      <c r="H151" s="81" t="inlineStr">
        <is>
          <t>Kg</t>
        </is>
      </c>
      <c r="I151" s="79" t="n"/>
      <c r="J151" s="78" t="n"/>
      <c r="K151" s="79" t="n"/>
      <c r="L151" s="80" t="n"/>
      <c r="M151" s="80" t="n"/>
      <c r="N151" s="80" t="n"/>
      <c r="O151" s="20" t="n"/>
      <c r="P151" s="4" t="n"/>
      <c r="Q151" s="4" t="n"/>
    </row>
    <row r="152" ht="15" customHeight="1" s="95">
      <c r="B152" s="4" t="n"/>
      <c r="C152" s="97" t="inlineStr">
        <is>
          <t>VECARENT036</t>
        </is>
      </c>
      <c r="D152" s="18" t="inlineStr">
        <is>
          <t>Tiradito Salmón</t>
        </is>
      </c>
      <c r="E152" s="207">
        <f>IFERROR(
IF(
INDEX($K$272:$K$977,MATCH(C152,$B$272:$B$977,0))&lt;&gt;0,
INDEX($K$272:$K$977,MATCH(C152,$B$272:$B$977,0)),
INDEX($L$272:$L$977,MATCH(C152,$B$272:$B$977,0))
),
0)</f>
        <v/>
      </c>
      <c r="F152" s="1" t="inlineStr">
        <is>
          <t>Salmón fresco premium</t>
        </is>
      </c>
      <c r="G152" s="52" t="n">
        <v>0.09</v>
      </c>
      <c r="H152" s="81" t="inlineStr">
        <is>
          <t>Kg</t>
        </is>
      </c>
      <c r="I152" s="79" t="n"/>
      <c r="J152" s="78" t="n"/>
      <c r="K152" s="79" t="n"/>
      <c r="L152" s="80" t="n"/>
      <c r="M152" s="80" t="n"/>
      <c r="N152" s="80" t="n"/>
      <c r="O152" s="20" t="n"/>
      <c r="P152" s="4" t="n"/>
      <c r="Q152" s="4" t="n"/>
    </row>
    <row r="153" ht="15" customHeight="1" s="95" thickBot="1">
      <c r="B153" s="4" t="n"/>
      <c r="C153" s="82" t="inlineStr">
        <is>
          <t>VECARPOS011</t>
        </is>
      </c>
      <c r="D153" s="83" t="inlineStr">
        <is>
          <t>Volcán de Chocolate</t>
        </is>
      </c>
      <c r="E153" s="208">
        <f>IFERROR(
IF(
INDEX($K$272:$K$977,MATCH(C153,$B$272:$B$977,0))&lt;&gt;0,
INDEX($K$272:$K$977,MATCH(C153,$B$272:$B$977,0)),
INDEX($L$272:$L$977,MATCH(C153,$B$272:$B$977,0))
),
0)</f>
        <v/>
      </c>
      <c r="F153" s="31" t="inlineStr">
        <is>
          <t>Volcán de Chocolate</t>
        </is>
      </c>
      <c r="G153" s="84" t="n">
        <v>1</v>
      </c>
      <c r="H153" s="85" t="inlineStr">
        <is>
          <t>Kg</t>
        </is>
      </c>
      <c r="I153" s="79" t="n"/>
      <c r="J153" s="78" t="n"/>
      <c r="K153" s="79" t="n"/>
      <c r="L153" s="80" t="n"/>
      <c r="M153" s="80" t="n"/>
      <c r="N153" s="80" t="n"/>
      <c r="O153" s="20" t="n"/>
      <c r="P153" s="4" t="n"/>
      <c r="Q153" s="4" t="n"/>
    </row>
    <row r="154" ht="15.75" customHeight="1" s="95"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20" t="n"/>
      <c r="M154" s="20" t="n"/>
      <c r="N154" s="20" t="n"/>
      <c r="O154" s="20" t="n"/>
      <c r="P154" s="4" t="n"/>
      <c r="Q154" s="4" t="n"/>
    </row>
    <row r="155"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5" t="n"/>
      <c r="M155" s="5" t="n"/>
      <c r="N155" s="5" t="n"/>
      <c r="O155" s="5" t="n"/>
      <c r="P155" s="5" t="n"/>
      <c r="Q155" s="5" t="n"/>
      <c r="R155" s="209" t="n"/>
    </row>
    <row r="156" ht="13.5" customHeight="1" s="95" thickBot="1"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209" t="n"/>
    </row>
    <row r="157" ht="15.75" customHeight="1" s="95">
      <c r="B157" s="134" t="inlineStr">
        <is>
          <t>GRAMAJE</t>
        </is>
      </c>
      <c r="C157" s="309" t="inlineStr">
        <is>
          <t>MEDIDA</t>
        </is>
      </c>
      <c r="D157" s="309" t="inlineStr">
        <is>
          <t>PRODUCTOS</t>
        </is>
      </c>
      <c r="E157" s="144" t="inlineStr">
        <is>
          <t>STOCK INFORMADO</t>
        </is>
      </c>
      <c r="F157" s="310" t="inlineStr">
        <is>
          <t>* MERMAS EN KILOGRAMOS</t>
        </is>
      </c>
      <c r="G157" s="308" t="n"/>
      <c r="H157" s="308" t="n"/>
      <c r="I157" s="308" t="n"/>
      <c r="J157" s="311" t="n"/>
      <c r="K157" s="28" t="n"/>
      <c r="L157" s="65" t="n"/>
      <c r="M157" s="148" t="n"/>
      <c r="R157" s="209" t="n"/>
    </row>
    <row r="158" ht="26.25" customHeight="1" s="95" thickBot="1">
      <c r="B158" s="312" t="n"/>
      <c r="C158" s="313" t="n"/>
      <c r="D158" s="313" t="n"/>
      <c r="E158" s="314" t="n"/>
      <c r="F158" s="185" t="inlineStr">
        <is>
          <t>PRODUCCIÓN</t>
        </is>
      </c>
      <c r="G158" s="185" t="inlineStr">
        <is>
          <t>DEFECTUOSOS</t>
        </is>
      </c>
      <c r="H158" s="185" t="inlineStr">
        <is>
          <t>CLIENTES</t>
        </is>
      </c>
      <c r="I158" s="185" t="inlineStr">
        <is>
          <t>CORTESÍA</t>
        </is>
      </c>
      <c r="J158" s="76" t="inlineStr">
        <is>
          <t>REUTILIZAR</t>
        </is>
      </c>
      <c r="K158" s="28" t="n"/>
      <c r="L158" s="65" t="n"/>
      <c r="M158" s="148" t="n"/>
      <c r="N158" s="148" t="n"/>
      <c r="O158" s="148" t="n"/>
      <c r="P158" s="148" t="n"/>
      <c r="R158" s="209" t="n"/>
    </row>
    <row r="159" ht="13.5" customHeight="1" s="95" thickBot="1">
      <c r="B159" s="187" t="n">
        <v>0.18</v>
      </c>
      <c r="C159" s="188" t="inlineStr">
        <is>
          <t>Kg</t>
        </is>
      </c>
      <c r="D159" s="189" t="inlineStr">
        <is>
          <t>Atún apanado</t>
        </is>
      </c>
      <c r="E159" s="190" t="n"/>
      <c r="F159" s="190" t="n"/>
      <c r="G159" s="190" t="n"/>
      <c r="H159" s="190" t="n"/>
      <c r="I159" s="191" t="n"/>
      <c r="J159" s="246" t="n"/>
      <c r="K159" s="28" t="n"/>
      <c r="L159" s="65" t="n"/>
      <c r="M159" s="210" t="n"/>
      <c r="N159" s="6" t="n"/>
      <c r="O159" s="6" t="n"/>
      <c r="P159" s="210" t="n"/>
      <c r="R159" s="209" t="n"/>
    </row>
    <row r="160">
      <c r="B160" s="68" t="n">
        <v>0.25</v>
      </c>
      <c r="C160" s="23" t="inlineStr">
        <is>
          <t>Kg</t>
        </is>
      </c>
      <c r="D160" s="25" t="inlineStr">
        <is>
          <t>Atún Trozos</t>
        </is>
      </c>
      <c r="E160" s="26" t="n"/>
      <c r="F160" s="26" t="n"/>
      <c r="G160" s="26" t="n"/>
      <c r="H160" s="26" t="n"/>
      <c r="I160" s="67" t="n"/>
      <c r="J160" s="210" t="n"/>
      <c r="K160" s="28" t="n"/>
      <c r="L160" s="65" t="n"/>
      <c r="M160" s="210" t="n"/>
      <c r="N160" s="210" t="n"/>
      <c r="O160" s="210" t="n"/>
      <c r="P160" s="210" t="n"/>
      <c r="R160" s="209" t="n"/>
    </row>
    <row r="161">
      <c r="B161" s="68" t="n">
        <v>1</v>
      </c>
      <c r="C161" s="23" t="inlineStr">
        <is>
          <t>Kg</t>
        </is>
      </c>
      <c r="D161" s="25" t="inlineStr">
        <is>
          <t>Almejas Julianas</t>
        </is>
      </c>
      <c r="E161" s="26" t="n"/>
      <c r="F161" s="26" t="n"/>
      <c r="G161" s="26" t="n"/>
      <c r="H161" s="26" t="n"/>
      <c r="I161" s="67" t="n"/>
      <c r="J161" s="210" t="n"/>
      <c r="K161" s="28" t="n"/>
      <c r="L161" s="65" t="n"/>
      <c r="M161" s="210" t="n"/>
      <c r="N161" s="210" t="n"/>
      <c r="O161" s="210" t="n"/>
      <c r="P161" s="210" t="n"/>
      <c r="Q161" s="210" t="n"/>
      <c r="R161" s="209" t="n"/>
    </row>
    <row r="162">
      <c r="B162" s="68" t="n">
        <v>0.12</v>
      </c>
      <c r="C162" s="23" t="inlineStr">
        <is>
          <t>Kg</t>
        </is>
      </c>
      <c r="D162" s="25" t="inlineStr">
        <is>
          <t>Carpaccio de res</t>
        </is>
      </c>
      <c r="E162" s="26" t="n"/>
      <c r="F162" s="26" t="n"/>
      <c r="G162" s="26" t="n"/>
      <c r="H162" s="26" t="n"/>
      <c r="I162" s="67" t="n"/>
      <c r="J162" s="210" t="n"/>
      <c r="K162" s="28" t="n"/>
      <c r="L162" s="65" t="n"/>
      <c r="M162" s="43" t="n"/>
      <c r="N162" s="43" t="n"/>
      <c r="O162" s="43" t="n"/>
      <c r="P162" s="43" t="n"/>
      <c r="Q162" s="43" t="n"/>
      <c r="R162" s="209" t="n"/>
    </row>
    <row r="163">
      <c r="B163" s="68" t="n">
        <v>0.1</v>
      </c>
      <c r="C163" s="23" t="inlineStr">
        <is>
          <t>Kg</t>
        </is>
      </c>
      <c r="D163" s="27" t="inlineStr">
        <is>
          <t>Ceviche de Reineta</t>
        </is>
      </c>
      <c r="E163" s="26" t="n"/>
      <c r="F163" s="26" t="n"/>
      <c r="G163" s="26" t="n"/>
      <c r="H163" s="26" t="n"/>
      <c r="I163" s="67" t="n"/>
      <c r="J163" s="210" t="n"/>
      <c r="K163" s="28" t="n"/>
      <c r="L163" s="65" t="n"/>
      <c r="M163" s="65" t="n"/>
      <c r="N163" s="65" t="n"/>
      <c r="O163" s="65" t="n"/>
      <c r="P163" s="65" t="n"/>
      <c r="Q163" s="65" t="n"/>
      <c r="R163" s="209" t="n"/>
    </row>
    <row r="164">
      <c r="B164" s="68" t="n">
        <v>0.15</v>
      </c>
      <c r="C164" s="23" t="inlineStr">
        <is>
          <t>Kg</t>
        </is>
      </c>
      <c r="D164" s="27" t="inlineStr">
        <is>
          <t>Congrio</t>
        </is>
      </c>
      <c r="E164" s="26" t="n"/>
      <c r="F164" s="26" t="n"/>
      <c r="G164" s="26" t="n"/>
      <c r="H164" s="26" t="n"/>
      <c r="I164" s="67" t="n"/>
      <c r="J164" s="210" t="n"/>
      <c r="K164" s="28" t="n"/>
      <c r="L164" s="65" t="n"/>
      <c r="M164" s="65" t="n"/>
      <c r="N164" s="65" t="n"/>
      <c r="O164" s="65" t="n"/>
      <c r="P164" s="65" t="n"/>
      <c r="Q164" s="65" t="n"/>
      <c r="R164" s="209" t="n"/>
    </row>
    <row r="165">
      <c r="B165" s="68" t="n">
        <v>1</v>
      </c>
      <c r="C165" s="23" t="inlineStr">
        <is>
          <t>Porción</t>
        </is>
      </c>
      <c r="D165" s="27" t="inlineStr">
        <is>
          <t>Chupe de Salmón</t>
        </is>
      </c>
      <c r="E165" s="26" t="n"/>
      <c r="F165" s="26" t="n"/>
      <c r="G165" s="26" t="n"/>
      <c r="H165" s="26" t="n"/>
      <c r="I165" s="67" t="n"/>
      <c r="J165" s="210" t="n"/>
      <c r="K165" s="28" t="n"/>
      <c r="L165" s="28" t="n"/>
      <c r="M165" s="28" t="n"/>
      <c r="N165" s="28" t="n"/>
      <c r="O165" s="28" t="n"/>
      <c r="P165" s="28" t="n"/>
      <c r="Q165" s="28" t="n"/>
    </row>
    <row r="166">
      <c r="B166" s="68" t="n">
        <v>1</v>
      </c>
      <c r="C166" s="23" t="inlineStr">
        <is>
          <t>Kg</t>
        </is>
      </c>
      <c r="D166" s="27" t="inlineStr">
        <is>
          <t>Despunte de pulpo</t>
        </is>
      </c>
      <c r="E166" s="26" t="n"/>
      <c r="F166" s="26" t="n"/>
      <c r="G166" s="26" t="n"/>
      <c r="H166" s="26" t="n"/>
      <c r="I166" s="67" t="n"/>
      <c r="J166" s="210" t="n"/>
      <c r="K166" s="28" t="n"/>
      <c r="L166" s="28" t="n"/>
      <c r="M166" s="28" t="n"/>
      <c r="N166" s="28" t="n"/>
      <c r="O166" s="28" t="n"/>
      <c r="P166" s="28" t="n"/>
      <c r="Q166" s="28" t="n"/>
    </row>
    <row r="167">
      <c r="B167" s="68" t="n">
        <v>1</v>
      </c>
      <c r="C167" s="23" t="inlineStr">
        <is>
          <t>Kg</t>
        </is>
      </c>
      <c r="D167" s="27" t="inlineStr">
        <is>
          <t>Filete despunte</t>
        </is>
      </c>
      <c r="E167" s="26" t="n"/>
      <c r="F167" s="26" t="n"/>
      <c r="G167" s="26" t="n"/>
      <c r="H167" s="26" t="n"/>
      <c r="I167" s="67" t="n"/>
      <c r="J167" s="210" t="n"/>
      <c r="K167" s="28" t="n"/>
      <c r="L167" s="28" t="n"/>
      <c r="M167" s="28" t="n"/>
      <c r="N167" s="28" t="n"/>
      <c r="O167" s="28" t="n"/>
      <c r="P167" s="28" t="n"/>
      <c r="Q167" s="28" t="n"/>
    </row>
    <row r="168">
      <c r="B168" s="68" t="n">
        <v>0.12</v>
      </c>
      <c r="C168" s="23" t="inlineStr">
        <is>
          <t>Kg</t>
        </is>
      </c>
      <c r="D168" s="27" t="inlineStr">
        <is>
          <t>Filete para churrasco</t>
        </is>
      </c>
      <c r="E168" s="26" t="n"/>
      <c r="F168" s="26" t="n"/>
      <c r="G168" s="26" t="n"/>
      <c r="H168" s="26" t="n"/>
      <c r="I168" s="67" t="n"/>
      <c r="J168" s="210" t="n"/>
      <c r="K168" s="28" t="n"/>
      <c r="L168" s="28" t="n"/>
      <c r="M168" s="28" t="n"/>
      <c r="N168" s="28" t="n"/>
      <c r="O168" s="28" t="n"/>
      <c r="P168" s="28" t="n"/>
      <c r="Q168" s="28" t="n"/>
    </row>
    <row r="169">
      <c r="B169" s="68" t="n">
        <v>0.48</v>
      </c>
      <c r="C169" s="23" t="inlineStr">
        <is>
          <t>Kg</t>
        </is>
      </c>
      <c r="D169" s="70" t="inlineStr">
        <is>
          <t>Filete para crudo</t>
        </is>
      </c>
      <c r="E169" s="26" t="n"/>
      <c r="F169" s="26" t="n"/>
      <c r="G169" s="26" t="n"/>
      <c r="H169" s="26" t="n"/>
      <c r="I169" s="67" t="n"/>
      <c r="J169" s="210" t="n"/>
      <c r="K169" s="28" t="n"/>
      <c r="L169" s="28" t="n"/>
      <c r="M169" s="28" t="n"/>
      <c r="N169" s="28" t="n"/>
      <c r="O169" s="28" t="n"/>
      <c r="P169" s="28" t="n"/>
      <c r="Q169" s="28" t="n"/>
    </row>
    <row r="170">
      <c r="B170" s="68" t="n">
        <v>0.16</v>
      </c>
      <c r="C170" s="23" t="inlineStr">
        <is>
          <t>Kg</t>
        </is>
      </c>
      <c r="D170" s="25" t="inlineStr">
        <is>
          <t>Filete salteado</t>
        </is>
      </c>
      <c r="E170" s="26" t="n"/>
      <c r="F170" s="26" t="n"/>
      <c r="G170" s="26" t="n"/>
      <c r="H170" s="26" t="n"/>
      <c r="I170" s="67" t="n"/>
      <c r="J170" s="210" t="n"/>
      <c r="K170" s="28" t="n"/>
      <c r="L170" s="28" t="n"/>
      <c r="M170" s="28" t="n"/>
      <c r="N170" s="28" t="n"/>
      <c r="O170" s="28" t="n"/>
      <c r="P170" s="28" t="n"/>
      <c r="Q170" s="28" t="n"/>
    </row>
    <row r="171">
      <c r="B171" s="68" t="n">
        <v>0.12</v>
      </c>
      <c r="C171" s="23" t="inlineStr">
        <is>
          <t>Kg</t>
        </is>
      </c>
      <c r="D171" s="25" t="inlineStr">
        <is>
          <t>Ganso</t>
        </is>
      </c>
      <c r="E171" s="26" t="n"/>
      <c r="F171" s="26" t="n"/>
      <c r="G171" s="26" t="n"/>
      <c r="H171" s="26" t="n"/>
      <c r="I171" s="67" t="n"/>
      <c r="J171" s="210" t="n"/>
      <c r="K171" s="28" t="n"/>
      <c r="L171" s="28" t="n"/>
      <c r="M171" s="28" t="n"/>
      <c r="N171" s="28" t="n"/>
      <c r="O171" s="28" t="n"/>
      <c r="P171" s="28" t="n"/>
      <c r="Q171" s="28" t="n"/>
    </row>
    <row r="172">
      <c r="B172" s="68" t="n">
        <v>0.2</v>
      </c>
      <c r="C172" s="23" t="inlineStr">
        <is>
          <t>Kg</t>
        </is>
      </c>
      <c r="D172" s="25" t="inlineStr">
        <is>
          <t>Hamburguesas</t>
        </is>
      </c>
      <c r="E172" s="26" t="n"/>
      <c r="F172" s="26" t="n"/>
      <c r="G172" s="26" t="n"/>
      <c r="H172" s="26" t="n"/>
      <c r="I172" s="67" t="n"/>
      <c r="J172" s="210" t="n"/>
      <c r="K172" s="28" t="n"/>
      <c r="L172" s="28" t="n"/>
      <c r="M172" s="28" t="n"/>
      <c r="N172" s="28" t="n"/>
      <c r="O172" s="28" t="n"/>
      <c r="P172" s="28" t="n"/>
      <c r="Q172" s="28" t="n"/>
    </row>
    <row r="173">
      <c r="B173" s="68" t="n">
        <v>1</v>
      </c>
      <c r="C173" s="23" t="inlineStr">
        <is>
          <t>Kg</t>
        </is>
      </c>
      <c r="D173" s="70" t="inlineStr">
        <is>
          <t>Langostinos</t>
        </is>
      </c>
      <c r="E173" s="26" t="n"/>
      <c r="F173" s="26" t="n"/>
      <c r="G173" s="26" t="n"/>
      <c r="H173" s="26" t="n"/>
      <c r="I173" s="67" t="n"/>
      <c r="J173" s="210" t="n"/>
      <c r="K173" s="28" t="n"/>
      <c r="L173" s="28" t="n"/>
      <c r="M173" s="28" t="n"/>
      <c r="N173" s="28" t="n"/>
      <c r="O173" s="28" t="n"/>
      <c r="P173" s="28" t="n"/>
      <c r="Q173" s="28" t="n"/>
    </row>
    <row r="174">
      <c r="B174" s="68" t="n">
        <v>1</v>
      </c>
      <c r="C174" s="23" t="inlineStr">
        <is>
          <t>Kg</t>
        </is>
      </c>
      <c r="D174" s="25" t="inlineStr">
        <is>
          <t>Jamón serrano</t>
        </is>
      </c>
      <c r="E174" s="26" t="n"/>
      <c r="F174" s="26" t="n"/>
      <c r="G174" s="26" t="n"/>
      <c r="H174" s="26" t="n"/>
      <c r="I174" s="67" t="n"/>
      <c r="J174" s="210" t="n"/>
      <c r="K174" s="28" t="n"/>
      <c r="L174" s="28" t="n"/>
      <c r="M174" s="4" t="n"/>
      <c r="N174" s="4" t="n"/>
      <c r="O174" s="28" t="n"/>
      <c r="P174" s="28" t="n"/>
      <c r="Q174" s="28" t="n"/>
    </row>
    <row r="175">
      <c r="B175" s="68" t="n">
        <v>1</v>
      </c>
      <c r="C175" s="23" t="inlineStr">
        <is>
          <t>Porción</t>
        </is>
      </c>
      <c r="D175" s="25" t="inlineStr">
        <is>
          <t>Lasagna Berenjenas</t>
        </is>
      </c>
      <c r="E175" s="186" t="n"/>
      <c r="F175" s="26" t="n"/>
      <c r="G175" s="26" t="n"/>
      <c r="H175" s="26" t="n"/>
      <c r="I175" s="67" t="n"/>
      <c r="J175" s="210" t="n"/>
      <c r="K175" s="28" t="n"/>
      <c r="L175" s="28" t="n"/>
      <c r="M175" s="28" t="n"/>
      <c r="N175" s="28" t="n"/>
      <c r="O175" s="28" t="n"/>
      <c r="P175" s="28" t="n"/>
      <c r="Q175" s="28" t="n"/>
    </row>
    <row r="176">
      <c r="B176" s="68" t="n">
        <v>0.18</v>
      </c>
      <c r="C176" s="23" t="inlineStr">
        <is>
          <t>Kg</t>
        </is>
      </c>
      <c r="D176" s="25" t="inlineStr">
        <is>
          <t>Lomo liso</t>
        </is>
      </c>
      <c r="E176" s="26" t="n"/>
      <c r="F176" s="26" t="n"/>
      <c r="G176" s="26" t="n"/>
      <c r="H176" s="26" t="n"/>
      <c r="I176" s="67" t="n"/>
      <c r="J176" s="210" t="n"/>
      <c r="K176" s="28" t="n"/>
      <c r="L176" s="28" t="n"/>
      <c r="M176" s="28" t="n"/>
      <c r="N176" s="28" t="n"/>
      <c r="O176" s="28" t="n"/>
      <c r="P176" s="28" t="n"/>
      <c r="Q176" s="28" t="n"/>
    </row>
    <row r="177">
      <c r="B177" s="68" t="n">
        <v>0.09</v>
      </c>
      <c r="C177" s="23" t="inlineStr">
        <is>
          <t>Kg</t>
        </is>
      </c>
      <c r="D177" s="25" t="inlineStr">
        <is>
          <t>Locos</t>
        </is>
      </c>
      <c r="E177" s="26" t="n"/>
      <c r="F177" s="26" t="n"/>
      <c r="G177" s="26" t="n"/>
      <c r="H177" s="26" t="n"/>
      <c r="I177" s="67" t="n"/>
      <c r="J177" s="210" t="n"/>
      <c r="K177" s="28" t="n"/>
      <c r="L177" s="28" t="n"/>
      <c r="M177" s="28" t="n"/>
      <c r="N177" s="28" t="n"/>
      <c r="O177" s="28" t="n"/>
      <c r="P177" s="28" t="n"/>
      <c r="Q177" s="28" t="n"/>
    </row>
    <row r="178">
      <c r="B178" s="68" t="n">
        <v>1</v>
      </c>
      <c r="C178" s="23" t="inlineStr">
        <is>
          <t>Kg</t>
        </is>
      </c>
      <c r="D178" s="25" t="inlineStr">
        <is>
          <t>Mejillones</t>
        </is>
      </c>
      <c r="E178" s="26" t="n"/>
      <c r="F178" s="26" t="n"/>
      <c r="G178" s="26" t="n"/>
      <c r="H178" s="26" t="n"/>
      <c r="I178" s="67" t="n"/>
      <c r="J178" s="210" t="n"/>
      <c r="K178" s="28" t="n"/>
      <c r="L178" s="28" t="n"/>
      <c r="M178" s="28" t="n"/>
      <c r="N178" s="28" t="n"/>
      <c r="O178" s="28" t="n"/>
      <c r="P178" s="28" t="n"/>
      <c r="Q178" s="28" t="n"/>
    </row>
    <row r="179">
      <c r="B179" s="68" t="n">
        <v>0.18</v>
      </c>
      <c r="C179" s="23" t="inlineStr">
        <is>
          <t>Kg</t>
        </is>
      </c>
      <c r="D179" s="25" t="inlineStr">
        <is>
          <t>Merluza</t>
        </is>
      </c>
      <c r="E179" s="26" t="n"/>
      <c r="F179" s="26" t="n"/>
      <c r="G179" s="26" t="n"/>
      <c r="H179" s="26" t="n"/>
      <c r="I179" s="67" t="n"/>
      <c r="J179" s="210" t="n"/>
      <c r="K179" s="28" t="n"/>
      <c r="L179" s="28" t="n"/>
      <c r="M179" s="28" t="n"/>
      <c r="N179" s="28" t="n"/>
      <c r="O179" s="28" t="n"/>
      <c r="P179" s="28" t="n"/>
      <c r="Q179" s="28" t="n"/>
    </row>
    <row r="180">
      <c r="B180" s="68" t="n">
        <v>0.12</v>
      </c>
      <c r="C180" s="23" t="inlineStr">
        <is>
          <t>Kg</t>
        </is>
      </c>
      <c r="D180" s="25" t="inlineStr">
        <is>
          <t>Paila de Carne</t>
        </is>
      </c>
      <c r="E180" s="26" t="n"/>
      <c r="F180" s="26" t="n"/>
      <c r="G180" s="26" t="n"/>
      <c r="H180" s="26" t="n"/>
      <c r="I180" s="67" t="n"/>
      <c r="J180" s="210" t="n"/>
      <c r="K180" s="28" t="n"/>
      <c r="L180" s="28" t="n"/>
      <c r="M180" s="28" t="n"/>
      <c r="N180" s="28" t="n"/>
      <c r="O180" s="28" t="n"/>
      <c r="P180" s="28" t="n"/>
      <c r="Q180" s="28" t="n"/>
    </row>
    <row r="181">
      <c r="B181" s="68" t="n">
        <v>0.18</v>
      </c>
      <c r="C181" s="23" t="inlineStr">
        <is>
          <t>Kg</t>
        </is>
      </c>
      <c r="D181" s="25" t="inlineStr">
        <is>
          <t>Plateada</t>
        </is>
      </c>
      <c r="E181" s="26" t="n"/>
      <c r="F181" s="26" t="n"/>
      <c r="G181" s="26" t="n"/>
      <c r="H181" s="26" t="n"/>
      <c r="I181" s="67" t="n"/>
      <c r="J181" s="210" t="n"/>
      <c r="K181" s="28" t="n"/>
      <c r="L181" s="28" t="n"/>
      <c r="M181" s="28" t="n"/>
      <c r="N181" s="28" t="n"/>
      <c r="O181" s="28" t="n"/>
      <c r="P181" s="28" t="n"/>
      <c r="Q181" s="28" t="n"/>
    </row>
    <row r="182">
      <c r="B182" s="68" t="n">
        <v>0.145</v>
      </c>
      <c r="C182" s="23" t="inlineStr">
        <is>
          <t>kg</t>
        </is>
      </c>
      <c r="D182" s="25" t="inlineStr">
        <is>
          <t>Pulpo</t>
        </is>
      </c>
      <c r="E182" s="26" t="n"/>
      <c r="F182" s="26" t="n"/>
      <c r="G182" s="26" t="n"/>
      <c r="H182" s="26" t="n"/>
      <c r="I182" s="67" t="n"/>
      <c r="J182" s="210" t="n"/>
      <c r="K182" s="28" t="n"/>
      <c r="L182" s="28" t="n"/>
      <c r="M182" s="4" t="n"/>
      <c r="N182" s="4" t="n"/>
      <c r="O182" s="28" t="n"/>
      <c r="P182" s="28" t="n"/>
      <c r="Q182" s="28" t="n"/>
    </row>
    <row r="183">
      <c r="B183" s="168" t="n">
        <v>0.411</v>
      </c>
      <c r="C183" s="23" t="inlineStr">
        <is>
          <t>Kg</t>
        </is>
      </c>
      <c r="D183" s="25" t="inlineStr">
        <is>
          <t>Ragout Lasagna</t>
        </is>
      </c>
      <c r="E183" s="26" t="n"/>
      <c r="F183" s="26" t="n"/>
      <c r="G183" s="26" t="n"/>
      <c r="H183" s="26" t="n"/>
      <c r="I183" s="67" t="n"/>
      <c r="J183" s="210" t="n"/>
      <c r="K183" s="28" t="n"/>
      <c r="L183" s="28" t="n"/>
      <c r="M183" s="4" t="n"/>
      <c r="N183" s="4" t="n"/>
      <c r="O183" s="28" t="n"/>
      <c r="P183" s="28" t="n"/>
      <c r="Q183" s="28" t="n"/>
    </row>
    <row r="184">
      <c r="B184" s="168" t="n">
        <v>0.36</v>
      </c>
      <c r="C184" s="23" t="inlineStr">
        <is>
          <t>Kg</t>
        </is>
      </c>
      <c r="D184" s="25" t="inlineStr">
        <is>
          <t>Ragout Rigatoni</t>
        </is>
      </c>
      <c r="E184" s="26" t="n"/>
      <c r="F184" s="26" t="n"/>
      <c r="G184" s="26" t="n"/>
      <c r="H184" s="26" t="n"/>
      <c r="I184" s="67" t="n"/>
      <c r="J184" s="210" t="n"/>
      <c r="K184" s="28" t="n"/>
      <c r="L184" s="28" t="n"/>
      <c r="M184" s="4" t="n"/>
      <c r="N184" s="4" t="n"/>
      <c r="O184" s="28" t="n"/>
      <c r="P184" s="28" t="n"/>
      <c r="Q184" s="28" t="n"/>
    </row>
    <row r="185">
      <c r="B185" s="68" t="n">
        <v>1</v>
      </c>
      <c r="C185" s="23" t="inlineStr">
        <is>
          <t>Kg</t>
        </is>
      </c>
      <c r="D185" s="25" t="inlineStr">
        <is>
          <t>Salmon ahumado en frío</t>
        </is>
      </c>
      <c r="E185" s="26" t="n"/>
      <c r="F185" s="26" t="n"/>
      <c r="G185" s="26" t="n"/>
      <c r="H185" s="26" t="n"/>
      <c r="I185" s="67" t="n"/>
      <c r="J185" s="210" t="n"/>
      <c r="K185" s="28" t="n"/>
      <c r="L185" s="28" t="n"/>
      <c r="M185" s="4" t="n"/>
      <c r="N185" s="4" t="n"/>
      <c r="O185" s="28" t="n"/>
      <c r="P185" s="28" t="n"/>
      <c r="Q185" s="28" t="n"/>
    </row>
    <row r="186">
      <c r="B186" s="68" t="n">
        <v>0.12</v>
      </c>
      <c r="C186" s="23" t="inlineStr">
        <is>
          <t>Kg</t>
        </is>
      </c>
      <c r="D186" s="25" t="inlineStr">
        <is>
          <t>Salmón ahumado en caliente</t>
        </is>
      </c>
      <c r="E186" s="26" t="n"/>
      <c r="F186" s="26" t="n"/>
      <c r="G186" s="26" t="n"/>
      <c r="H186" s="26" t="n"/>
      <c r="I186" s="67" t="n"/>
      <c r="J186" s="210" t="n"/>
      <c r="K186" s="28" t="n"/>
      <c r="L186" s="28" t="n"/>
      <c r="M186" s="28" t="n"/>
      <c r="N186" s="28" t="n"/>
      <c r="O186" s="28" t="n"/>
      <c r="P186" s="28" t="n"/>
      <c r="Q186" s="28" t="n"/>
    </row>
    <row r="187">
      <c r="B187" s="68" t="n">
        <v>0.16</v>
      </c>
      <c r="C187" s="23" t="inlineStr">
        <is>
          <t>Kg</t>
        </is>
      </c>
      <c r="D187" s="25" t="inlineStr">
        <is>
          <t>Salmón cancato</t>
        </is>
      </c>
      <c r="E187" s="26" t="n"/>
      <c r="F187" s="26" t="n"/>
      <c r="G187" s="26" t="n"/>
      <c r="H187" s="26" t="n"/>
      <c r="I187" s="67" t="n"/>
      <c r="J187" s="210" t="n"/>
      <c r="K187" s="28" t="n"/>
      <c r="L187" s="28" t="n"/>
      <c r="M187" s="28" t="n"/>
      <c r="N187" s="28" t="n"/>
      <c r="O187" s="28" t="n"/>
      <c r="P187" s="28" t="n"/>
      <c r="Q187" s="28" t="n"/>
    </row>
    <row r="188">
      <c r="B188" s="68" t="n">
        <v>0.09</v>
      </c>
      <c r="C188" s="23" t="inlineStr">
        <is>
          <t>Kg</t>
        </is>
      </c>
      <c r="D188" s="25" t="inlineStr">
        <is>
          <t>Salmón fresco premium</t>
        </is>
      </c>
      <c r="E188" s="26" t="n"/>
      <c r="F188" s="26" t="n"/>
      <c r="G188" s="26" t="n"/>
      <c r="H188" s="26" t="n"/>
      <c r="I188" s="67" t="n"/>
      <c r="J188" s="210" t="n"/>
      <c r="K188" s="28" t="n"/>
      <c r="L188" s="28" t="n"/>
      <c r="M188" s="28" t="n"/>
      <c r="N188" s="28" t="n"/>
      <c r="O188" s="28" t="n"/>
      <c r="P188" s="28" t="n"/>
      <c r="Q188" s="28" t="n"/>
    </row>
    <row r="189">
      <c r="B189" s="68" t="n">
        <v>0.17</v>
      </c>
      <c r="C189" s="23" t="inlineStr">
        <is>
          <t>Kg</t>
        </is>
      </c>
      <c r="D189" s="25" t="inlineStr">
        <is>
          <t>Tartar de res</t>
        </is>
      </c>
      <c r="E189" s="26" t="n"/>
      <c r="F189" s="26" t="n"/>
      <c r="G189" s="26" t="n"/>
      <c r="H189" s="26" t="n"/>
      <c r="I189" s="67" t="n"/>
      <c r="J189" s="210" t="n"/>
      <c r="K189" s="28" t="n"/>
      <c r="L189" s="28" t="n"/>
      <c r="M189" s="28" t="n"/>
      <c r="N189" s="28" t="n"/>
      <c r="O189" s="28" t="n"/>
      <c r="P189" s="28" t="n"/>
      <c r="Q189" s="28" t="n"/>
    </row>
    <row r="190" ht="13.5" customHeight="1" s="95" thickBot="1">
      <c r="B190" s="71" t="n">
        <v>0.18</v>
      </c>
      <c r="C190" s="75" t="inlineStr">
        <is>
          <t>Kg</t>
        </is>
      </c>
      <c r="D190" s="174" t="inlineStr">
        <is>
          <t xml:space="preserve">Tártaro de atún </t>
        </is>
      </c>
      <c r="E190" s="72" t="n"/>
      <c r="F190" s="72" t="n"/>
      <c r="G190" s="72" t="n"/>
      <c r="H190" s="72" t="n"/>
      <c r="I190" s="73" t="n"/>
      <c r="J190" s="210" t="n"/>
      <c r="K190" s="28" t="n"/>
      <c r="L190" s="28" t="n"/>
      <c r="M190" s="28" t="n"/>
      <c r="N190" s="28" t="n"/>
      <c r="O190" s="28" t="n"/>
      <c r="P190" s="28" t="n"/>
      <c r="Q190" s="28" t="n"/>
    </row>
    <row r="191" ht="13.5" customHeight="1" s="95" thickBot="1">
      <c r="B191" s="210" t="n"/>
      <c r="C191" s="28" t="n"/>
      <c r="D191" s="65" t="n"/>
      <c r="E191" s="210" t="n"/>
      <c r="F191" s="210" t="n"/>
      <c r="G191" s="210" t="n"/>
      <c r="H191" s="210" t="n"/>
      <c r="I191" s="210" t="n"/>
      <c r="J191" s="210" t="n"/>
      <c r="K191" s="28" t="n"/>
      <c r="L191" s="28" t="n"/>
      <c r="M191" s="28" t="n"/>
      <c r="N191" s="28" t="n"/>
      <c r="O191" s="28" t="n"/>
      <c r="P191" s="28" t="n"/>
      <c r="Q191" s="28" t="n"/>
    </row>
    <row r="192" ht="15.75" customHeight="1" s="95">
      <c r="B192" s="169" t="inlineStr">
        <is>
          <t>UNIDADES</t>
        </is>
      </c>
      <c r="C192" s="170" t="inlineStr">
        <is>
          <t>MEDIDA</t>
        </is>
      </c>
      <c r="D192" s="170" t="inlineStr">
        <is>
          <t>PRODUCTOS</t>
        </is>
      </c>
      <c r="E192" s="171" t="n"/>
      <c r="F192" s="172" t="n"/>
      <c r="G192" s="308" t="n"/>
      <c r="H192" s="308" t="n"/>
      <c r="I192" s="300" t="n"/>
      <c r="J192" s="136" t="n"/>
      <c r="K192" s="28" t="n"/>
      <c r="L192" s="28" t="n"/>
      <c r="M192" s="28" t="n"/>
      <c r="N192" s="28" t="n"/>
      <c r="O192" s="28" t="n"/>
      <c r="P192" s="28" t="n"/>
      <c r="Q192" s="28" t="n"/>
    </row>
    <row r="193" ht="26.25" customHeight="1" s="95" thickBot="1">
      <c r="B193" s="315" t="n"/>
      <c r="C193" s="316" t="n"/>
      <c r="D193" s="316" t="n"/>
      <c r="E193" s="316" t="n"/>
      <c r="F193" s="180" t="n"/>
      <c r="G193" s="180" t="n"/>
      <c r="H193" s="180" t="n"/>
      <c r="I193" s="181" t="n"/>
      <c r="K193" s="28" t="n"/>
      <c r="L193" s="28" t="n"/>
      <c r="M193" s="28" t="n"/>
      <c r="N193" s="28" t="n"/>
      <c r="O193" s="28" t="n"/>
      <c r="P193" s="28" t="n"/>
      <c r="Q193" s="28" t="n"/>
    </row>
    <row r="194">
      <c r="B194" s="66" t="n">
        <v>1</v>
      </c>
      <c r="C194" s="74" t="inlineStr">
        <is>
          <t>Und</t>
        </is>
      </c>
      <c r="D194" s="24" t="inlineStr">
        <is>
          <t>Brownie Nutella</t>
        </is>
      </c>
      <c r="E194" s="175" t="n"/>
      <c r="F194" s="175" t="n"/>
      <c r="G194" s="175" t="n"/>
      <c r="H194" s="175" t="n"/>
      <c r="I194" s="176" t="n"/>
      <c r="J194" s="210" t="n"/>
      <c r="K194" s="28" t="n"/>
      <c r="L194" s="28" t="n"/>
      <c r="M194" s="28" t="n"/>
      <c r="N194" s="28" t="n"/>
      <c r="O194" s="28" t="n"/>
      <c r="P194" s="28" t="n"/>
      <c r="Q194" s="28" t="n"/>
    </row>
    <row r="195">
      <c r="B195" s="68" t="n">
        <v>4</v>
      </c>
      <c r="C195" s="23" t="inlineStr">
        <is>
          <t>Und</t>
        </is>
      </c>
      <c r="D195" s="25" t="inlineStr">
        <is>
          <t>Brownie Vegano</t>
        </is>
      </c>
      <c r="E195" s="26" t="n"/>
      <c r="F195" s="26" t="n"/>
      <c r="G195" s="26" t="n"/>
      <c r="H195" s="26" t="n"/>
      <c r="I195" s="67" t="n"/>
      <c r="J195" s="210" t="n"/>
      <c r="K195" s="28" t="n"/>
      <c r="L195" s="28" t="n"/>
      <c r="M195" s="28" t="n"/>
      <c r="N195" s="28" t="n"/>
      <c r="O195" s="28" t="n"/>
      <c r="P195" s="28" t="n"/>
      <c r="Q195" s="28" t="n"/>
    </row>
    <row r="196">
      <c r="B196" s="68" t="n">
        <v>1</v>
      </c>
      <c r="C196" s="23" t="inlineStr">
        <is>
          <t>Und</t>
        </is>
      </c>
      <c r="D196" s="25" t="inlineStr">
        <is>
          <t>Cheesecake de Berries</t>
        </is>
      </c>
      <c r="E196" s="26" t="n"/>
      <c r="F196" s="26" t="n"/>
      <c r="G196" s="26" t="n"/>
      <c r="H196" s="26" t="n"/>
      <c r="I196" s="67" t="n"/>
      <c r="J196" s="210" t="n"/>
      <c r="K196" s="28" t="n"/>
      <c r="L196" s="28" t="n"/>
      <c r="M196" s="28" t="n"/>
      <c r="N196" s="28" t="n"/>
      <c r="O196" s="28" t="n"/>
      <c r="P196" s="28" t="n"/>
      <c r="Q196" s="28" t="n"/>
    </row>
    <row r="197">
      <c r="B197" s="68" t="n">
        <v>1</v>
      </c>
      <c r="C197" s="23" t="inlineStr">
        <is>
          <t>Und</t>
        </is>
      </c>
      <c r="D197" s="25" t="inlineStr">
        <is>
          <t>Cheesecake de limón</t>
        </is>
      </c>
      <c r="E197" s="26" t="n"/>
      <c r="F197" s="26" t="n"/>
      <c r="G197" s="26" t="n"/>
      <c r="H197" s="26" t="n"/>
      <c r="I197" s="67" t="n"/>
      <c r="J197" s="210" t="n"/>
      <c r="K197" s="28" t="n"/>
      <c r="L197" s="28" t="n"/>
      <c r="M197" s="28" t="n"/>
      <c r="N197" s="28" t="n"/>
      <c r="O197" s="28" t="n"/>
      <c r="P197" s="28" t="n"/>
      <c r="Q197" s="28" t="n"/>
    </row>
    <row r="198">
      <c r="B198" s="68" t="n">
        <v>1</v>
      </c>
      <c r="C198" s="23" t="inlineStr">
        <is>
          <t>Kg</t>
        </is>
      </c>
      <c r="D198" s="25" t="inlineStr">
        <is>
          <t>Chocolate Blanco</t>
        </is>
      </c>
      <c r="E198" s="26" t="n"/>
      <c r="F198" s="26" t="n"/>
      <c r="G198" s="26" t="n"/>
      <c r="H198" s="26" t="n"/>
      <c r="I198" s="67" t="n"/>
      <c r="J198" s="210" t="n"/>
      <c r="K198" s="28" t="n"/>
      <c r="L198" s="28" t="n"/>
      <c r="M198" s="28" t="n"/>
      <c r="N198" s="28" t="n"/>
      <c r="O198" s="28" t="n"/>
      <c r="P198" s="28" t="n"/>
      <c r="Q198" s="28" t="n"/>
    </row>
    <row r="199">
      <c r="B199" s="68" t="n">
        <v>1</v>
      </c>
      <c r="C199" s="23" t="inlineStr">
        <is>
          <t>Kg</t>
        </is>
      </c>
      <c r="D199" s="25" t="inlineStr">
        <is>
          <t>Chocolate Leche</t>
        </is>
      </c>
      <c r="E199" s="26" t="n"/>
      <c r="F199" s="26" t="n"/>
      <c r="G199" s="26" t="n"/>
      <c r="H199" s="26" t="n"/>
      <c r="I199" s="67" t="n"/>
      <c r="J199" s="210" t="n"/>
      <c r="K199" s="28" t="n"/>
      <c r="L199" s="28" t="n"/>
      <c r="M199" s="28" t="n"/>
      <c r="N199" s="28" t="n"/>
      <c r="O199" s="28" t="n"/>
      <c r="P199" s="28" t="n"/>
      <c r="Q199" s="28" t="n"/>
    </row>
    <row r="200">
      <c r="B200" s="68" t="n">
        <v>1</v>
      </c>
      <c r="C200" s="23" t="inlineStr">
        <is>
          <t>Kg</t>
        </is>
      </c>
      <c r="D200" s="25" t="inlineStr">
        <is>
          <t>Chocolate Negro</t>
        </is>
      </c>
      <c r="E200" s="26" t="n"/>
      <c r="F200" s="26" t="n"/>
      <c r="G200" s="26" t="n"/>
      <c r="H200" s="26" t="n"/>
      <c r="I200" s="67" t="n"/>
      <c r="J200" s="210" t="n"/>
      <c r="K200" s="28" t="n"/>
      <c r="L200" s="28" t="n"/>
      <c r="M200" s="28" t="n"/>
      <c r="N200" s="28" t="n"/>
      <c r="O200" s="28" t="n"/>
      <c r="P200" s="28" t="n"/>
      <c r="Q200" s="28" t="n"/>
    </row>
    <row r="201">
      <c r="B201" s="68" t="n">
        <v>1</v>
      </c>
      <c r="C201" s="23" t="inlineStr">
        <is>
          <t>Kg</t>
        </is>
      </c>
      <c r="D201" s="25" t="inlineStr">
        <is>
          <t>Chocolate Neucober Cobertura</t>
        </is>
      </c>
      <c r="E201" s="26" t="n"/>
      <c r="F201" s="26" t="n"/>
      <c r="G201" s="26" t="n"/>
      <c r="H201" s="26" t="n"/>
      <c r="I201" s="67" t="n"/>
      <c r="J201" s="210" t="n"/>
      <c r="K201" s="28" t="n"/>
      <c r="L201" s="28" t="n"/>
      <c r="M201" s="28" t="n"/>
      <c r="N201" s="28" t="n"/>
      <c r="O201" s="28" t="n"/>
      <c r="P201" s="28" t="n"/>
      <c r="Q201" s="28" t="n"/>
    </row>
    <row r="202">
      <c r="B202" s="68" t="n">
        <v>1</v>
      </c>
      <c r="C202" s="23" t="inlineStr">
        <is>
          <t>Kg</t>
        </is>
      </c>
      <c r="D202" s="25" t="inlineStr">
        <is>
          <t>Chocolate Sicao Cobertura</t>
        </is>
      </c>
      <c r="E202" s="26" t="n"/>
      <c r="F202" s="26" t="n"/>
      <c r="G202" s="26" t="n"/>
      <c r="H202" s="26" t="n"/>
      <c r="I202" s="67" t="n"/>
      <c r="J202" s="210" t="n"/>
      <c r="K202" s="28" t="n"/>
      <c r="L202" s="28" t="n"/>
      <c r="M202" s="28" t="n"/>
      <c r="N202" s="28" t="n"/>
      <c r="O202" s="28" t="n"/>
      <c r="P202" s="28" t="n"/>
      <c r="Q202" s="28" t="n"/>
    </row>
    <row r="203">
      <c r="B203" s="68" t="n">
        <v>1</v>
      </c>
      <c r="C203" s="23" t="inlineStr">
        <is>
          <t>Und</t>
        </is>
      </c>
      <c r="D203" s="25" t="inlineStr">
        <is>
          <t>Discos de Chocolate</t>
        </is>
      </c>
      <c r="E203" s="26" t="n"/>
      <c r="F203" s="26" t="n"/>
      <c r="G203" s="26" t="n"/>
      <c r="H203" s="26" t="n"/>
      <c r="I203" s="67" t="n"/>
      <c r="J203" s="210" t="n"/>
      <c r="K203" s="28" t="n"/>
      <c r="L203" s="28" t="n"/>
      <c r="M203" s="28" t="n"/>
      <c r="N203" s="28" t="n"/>
      <c r="O203" s="28" t="n"/>
      <c r="P203" s="28" t="n"/>
      <c r="Q203" s="28" t="n"/>
    </row>
    <row r="204">
      <c r="B204" s="68" t="n">
        <v>4</v>
      </c>
      <c r="C204" s="23" t="inlineStr">
        <is>
          <t>Pax</t>
        </is>
      </c>
      <c r="D204" s="25" t="inlineStr">
        <is>
          <t>Empanada mechada</t>
        </is>
      </c>
      <c r="E204" s="26" t="n"/>
      <c r="F204" s="26" t="n"/>
      <c r="G204" s="26" t="n"/>
      <c r="H204" s="26" t="n"/>
      <c r="I204" s="67" t="n"/>
      <c r="J204" s="210" t="n"/>
      <c r="K204" s="28" t="n"/>
      <c r="L204" s="28" t="n"/>
      <c r="M204" s="28" t="n"/>
      <c r="N204" s="28" t="n"/>
      <c r="O204" s="28" t="n"/>
      <c r="P204" s="28" t="n"/>
      <c r="Q204" s="28" t="n"/>
    </row>
    <row r="205">
      <c r="B205" s="68" t="n">
        <v>1</v>
      </c>
      <c r="C205" s="23" t="inlineStr">
        <is>
          <t>Und</t>
        </is>
      </c>
      <c r="D205" s="25" t="inlineStr">
        <is>
          <t>Empanada mechada sueltas</t>
        </is>
      </c>
      <c r="E205" s="26" t="n"/>
      <c r="F205" s="26" t="n"/>
      <c r="G205" s="26" t="n"/>
      <c r="H205" s="26" t="n"/>
      <c r="I205" s="67" t="n"/>
      <c r="J205" s="210" t="n"/>
      <c r="K205" s="28" t="n"/>
      <c r="L205" s="28" t="n"/>
      <c r="M205" s="28" t="n"/>
      <c r="N205" s="28" t="n"/>
      <c r="O205" s="28" t="n"/>
      <c r="P205" s="28" t="n"/>
      <c r="Q205" s="28" t="n"/>
    </row>
    <row r="206">
      <c r="B206" s="68" t="n">
        <v>4</v>
      </c>
      <c r="C206" s="23" t="inlineStr">
        <is>
          <t>Pax</t>
        </is>
      </c>
      <c r="D206" s="25" t="inlineStr">
        <is>
          <t>Empanada pulpo</t>
        </is>
      </c>
      <c r="E206" s="26" t="n"/>
      <c r="F206" s="26" t="n"/>
      <c r="G206" s="26" t="n"/>
      <c r="H206" s="26" t="n"/>
      <c r="I206" s="67" t="n"/>
      <c r="J206" s="210" t="n"/>
      <c r="K206" s="28" t="n"/>
      <c r="L206" s="28" t="n"/>
      <c r="M206" s="28" t="n"/>
      <c r="N206" s="28" t="n"/>
      <c r="O206" s="28" t="n"/>
      <c r="P206" s="28" t="n"/>
      <c r="Q206" s="28" t="n"/>
    </row>
    <row r="207">
      <c r="B207" s="68" t="n">
        <v>1</v>
      </c>
      <c r="C207" s="23" t="inlineStr">
        <is>
          <t>Und</t>
        </is>
      </c>
      <c r="D207" s="25" t="inlineStr">
        <is>
          <t>Empanada pulpo sueltas</t>
        </is>
      </c>
      <c r="E207" s="26" t="n"/>
      <c r="F207" s="26" t="n"/>
      <c r="G207" s="26" t="n"/>
      <c r="H207" s="26" t="n"/>
      <c r="I207" s="67" t="n"/>
      <c r="J207" s="210" t="n"/>
      <c r="K207" s="28" t="n"/>
      <c r="L207" s="28" t="n"/>
      <c r="M207" s="28" t="n"/>
      <c r="N207" s="28" t="n"/>
      <c r="O207" s="28" t="n"/>
      <c r="P207" s="28" t="n"/>
      <c r="Q207" s="28" t="n"/>
    </row>
    <row r="208">
      <c r="B208" s="68" t="n">
        <v>1</v>
      </c>
      <c r="C208" s="23" t="inlineStr">
        <is>
          <t>Und</t>
        </is>
      </c>
      <c r="D208" s="27" t="inlineStr">
        <is>
          <t>Flan de caluga</t>
        </is>
      </c>
      <c r="E208" s="26" t="n"/>
      <c r="F208" s="26" t="n"/>
      <c r="G208" s="26" t="n"/>
      <c r="H208" s="26" t="n"/>
      <c r="I208" s="67" t="n"/>
      <c r="J208" s="210" t="n"/>
      <c r="K208" s="28" t="n"/>
      <c r="L208" s="28" t="n"/>
      <c r="M208" s="28" t="n"/>
      <c r="N208" s="28" t="n"/>
      <c r="O208" s="28" t="n"/>
      <c r="P208" s="28" t="n"/>
      <c r="Q208" s="28" t="n"/>
    </row>
    <row r="209">
      <c r="B209" s="68" t="n">
        <v>1</v>
      </c>
      <c r="C209" s="23" t="inlineStr">
        <is>
          <t>Und</t>
        </is>
      </c>
      <c r="D209" s="27" t="inlineStr">
        <is>
          <t>Granola salada</t>
        </is>
      </c>
      <c r="E209" s="26" t="n"/>
      <c r="F209" s="26" t="n"/>
      <c r="G209" s="26" t="n"/>
      <c r="H209" s="26" t="n"/>
      <c r="I209" s="67" t="n"/>
      <c r="J209" s="210" t="n"/>
      <c r="K209" s="28" t="n"/>
      <c r="L209" s="28" t="n"/>
      <c r="M209" s="28" t="n"/>
      <c r="N209" s="28" t="n"/>
      <c r="O209" s="28" t="n"/>
      <c r="P209" s="28" t="n"/>
      <c r="Q209" s="28" t="n"/>
    </row>
    <row r="210">
      <c r="B210" s="68" t="n">
        <v>1</v>
      </c>
      <c r="C210" s="23" t="inlineStr">
        <is>
          <t>Und</t>
        </is>
      </c>
      <c r="D210" s="25" t="inlineStr">
        <is>
          <t>Mix Conchas</t>
        </is>
      </c>
      <c r="E210" s="26" t="n"/>
      <c r="F210" s="26" t="n"/>
      <c r="G210" s="26" t="n"/>
      <c r="H210" s="26" t="n"/>
      <c r="I210" s="67" t="n"/>
      <c r="J210" s="210" t="n"/>
      <c r="K210" s="28" t="n"/>
      <c r="L210" s="28" t="n"/>
      <c r="M210" s="28" t="n"/>
      <c r="N210" s="28" t="n"/>
      <c r="O210" s="28" t="n"/>
      <c r="P210" s="28" t="n"/>
      <c r="Q210" s="28" t="n"/>
    </row>
    <row r="211">
      <c r="B211" s="68" t="n">
        <v>1</v>
      </c>
      <c r="C211" s="23" t="inlineStr">
        <is>
          <t>Kg</t>
        </is>
      </c>
      <c r="D211" s="25" t="inlineStr">
        <is>
          <t>Nutella</t>
        </is>
      </c>
      <c r="E211" s="26" t="n"/>
      <c r="F211" s="26" t="n"/>
      <c r="G211" s="26" t="n"/>
      <c r="H211" s="26" t="n"/>
      <c r="I211" s="67" t="n"/>
      <c r="J211" s="210" t="n"/>
      <c r="K211" s="28" t="n"/>
      <c r="L211" s="28" t="n"/>
      <c r="M211" s="28" t="n"/>
      <c r="N211" s="28" t="n"/>
      <c r="O211" s="28" t="n"/>
      <c r="P211" s="28" t="n"/>
      <c r="Q211" s="28" t="n"/>
    </row>
    <row r="212">
      <c r="B212" s="68" t="n">
        <v>1</v>
      </c>
      <c r="C212" s="23" t="inlineStr">
        <is>
          <t>Und</t>
        </is>
      </c>
      <c r="D212" s="25" t="inlineStr">
        <is>
          <t>Queso Mozzarella</t>
        </is>
      </c>
      <c r="E212" s="26" t="n"/>
      <c r="F212" s="26" t="n"/>
      <c r="G212" s="26" t="n"/>
      <c r="H212" s="26" t="n"/>
      <c r="I212" s="67" t="n"/>
      <c r="J212" s="210" t="n"/>
      <c r="K212" s="28" t="n"/>
      <c r="L212" s="28" t="n"/>
      <c r="M212" s="28" t="n"/>
      <c r="N212" s="28" t="n"/>
      <c r="O212" s="28" t="n"/>
      <c r="P212" s="28" t="n"/>
      <c r="Q212" s="28" t="n"/>
    </row>
    <row r="213">
      <c r="B213" s="68" t="n">
        <v>8</v>
      </c>
      <c r="C213" s="23" t="inlineStr">
        <is>
          <t>Porción</t>
        </is>
      </c>
      <c r="D213" s="70" t="inlineStr">
        <is>
          <t>Sorrentinos carne mechada</t>
        </is>
      </c>
      <c r="E213" s="26" t="n"/>
      <c r="F213" s="26" t="n"/>
      <c r="G213" s="26" t="n"/>
      <c r="H213" s="26" t="n"/>
      <c r="I213" s="67" t="n"/>
      <c r="J213" s="210" t="n"/>
      <c r="K213" s="4" t="n"/>
      <c r="L213" s="4" t="n"/>
      <c r="M213" s="4" t="n"/>
      <c r="N213" s="4" t="n"/>
      <c r="O213" s="4" t="n"/>
      <c r="P213" s="4" t="n"/>
      <c r="Q213" s="4" t="n"/>
    </row>
    <row r="214">
      <c r="B214" s="68" t="n">
        <v>7</v>
      </c>
      <c r="C214" s="23" t="inlineStr">
        <is>
          <t>Porción</t>
        </is>
      </c>
      <c r="D214" s="70" t="inlineStr">
        <is>
          <t>Sorrentinos pulpo y salmón</t>
        </is>
      </c>
      <c r="E214" s="26" t="n"/>
      <c r="F214" s="26" t="n"/>
      <c r="G214" s="26" t="n"/>
      <c r="H214" s="26" t="n"/>
      <c r="I214" s="67" t="n"/>
      <c r="J214" s="210" t="n"/>
      <c r="K214" s="4" t="n"/>
      <c r="L214" s="4" t="n"/>
      <c r="M214" s="4" t="n"/>
      <c r="N214" s="4" t="n"/>
      <c r="O214" s="4" t="n"/>
      <c r="P214" s="4" t="n"/>
      <c r="Q214" s="4" t="n"/>
    </row>
    <row r="215">
      <c r="B215" s="68" t="n">
        <v>8</v>
      </c>
      <c r="C215" s="23" t="inlineStr">
        <is>
          <t>Porción</t>
        </is>
      </c>
      <c r="D215" s="25" t="inlineStr">
        <is>
          <t>Sorrentinos zapallo</t>
        </is>
      </c>
      <c r="E215" s="26" t="n"/>
      <c r="F215" s="26" t="n"/>
      <c r="G215" s="26" t="n"/>
      <c r="H215" s="26" t="n"/>
      <c r="I215" s="67" t="n"/>
      <c r="J215" s="210" t="n"/>
      <c r="K215" s="4" t="n"/>
      <c r="L215" s="4" t="n"/>
      <c r="M215" s="4" t="n"/>
      <c r="N215" s="4" t="n"/>
      <c r="O215" s="4" t="n"/>
      <c r="P215" s="4" t="n"/>
      <c r="Q215" s="4" t="n"/>
    </row>
    <row r="216" ht="13.5" customHeight="1" s="95" thickBot="1">
      <c r="B216" s="71" t="n">
        <v>1</v>
      </c>
      <c r="C216" s="75" t="inlineStr">
        <is>
          <t>Und</t>
        </is>
      </c>
      <c r="D216" s="174" t="inlineStr">
        <is>
          <t>Volcán de chocolate</t>
        </is>
      </c>
      <c r="E216" s="72" t="n"/>
      <c r="F216" s="72" t="n"/>
      <c r="G216" s="72" t="n"/>
      <c r="H216" s="72" t="n"/>
      <c r="I216" s="73" t="n"/>
      <c r="J216" s="210" t="n"/>
      <c r="K216" s="4" t="n"/>
      <c r="L216" s="4" t="n"/>
      <c r="M216" s="4" t="n"/>
      <c r="N216" s="4" t="n"/>
      <c r="O216" s="4" t="n"/>
      <c r="P216" s="4" t="n"/>
      <c r="Q216" s="4" t="n"/>
    </row>
    <row r="217">
      <c r="B217" s="4" t="n"/>
      <c r="C217" s="4" t="n"/>
      <c r="D217" s="4" t="n"/>
      <c r="E217" s="4" t="n"/>
      <c r="F217" s="4" t="n"/>
      <c r="G217" s="4" t="n"/>
      <c r="H217" s="4" t="n"/>
      <c r="I217" s="4" t="n"/>
      <c r="J217" s="5" t="n"/>
      <c r="K217" s="4" t="n"/>
      <c r="L217" s="4" t="n"/>
      <c r="M217" s="4" t="n"/>
      <c r="N217" s="4" t="n"/>
      <c r="O217" s="4" t="n"/>
      <c r="P217" s="4" t="n"/>
      <c r="Q217" s="4" t="n"/>
    </row>
    <row r="218" ht="13.5" customHeight="1" s="95" thickBot="1"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</row>
    <row r="219" ht="13.5" customHeight="1" s="95" thickBot="1">
      <c r="B219" s="4" t="n"/>
      <c r="C219" s="4" t="n"/>
      <c r="D219" s="317" t="inlineStr">
        <is>
          <t>ENTREGAS A COCINA/SALIDA DE BODEGA</t>
        </is>
      </c>
      <c r="E219" s="318" t="n"/>
      <c r="F219" s="319" t="n"/>
      <c r="G219" s="209" t="n"/>
      <c r="H219" s="209" t="n"/>
      <c r="I219" s="209" t="n"/>
      <c r="J219" s="4" t="n"/>
      <c r="K219" s="4" t="n"/>
      <c r="L219" s="4" t="n"/>
      <c r="M219" s="4" t="n"/>
      <c r="N219" s="4" t="n"/>
      <c r="O219" s="4" t="n"/>
      <c r="P219" s="4" t="n"/>
      <c r="Q219" s="4" t="n"/>
    </row>
    <row r="220" ht="13.5" customHeight="1" s="95" thickTop="1">
      <c r="B220" s="4" t="n"/>
      <c r="C220" s="4" t="n"/>
      <c r="D220" s="57" t="inlineStr">
        <is>
          <t>Ítem</t>
        </is>
      </c>
      <c r="E220" s="29" t="inlineStr">
        <is>
          <t>Cant.</t>
        </is>
      </c>
      <c r="F220" s="58" t="inlineStr">
        <is>
          <t>Medida</t>
        </is>
      </c>
      <c r="G220" s="209" t="inlineStr">
        <is>
          <t> </t>
        </is>
      </c>
      <c r="I220" s="209" t="n"/>
      <c r="J220" s="4" t="n"/>
      <c r="K220" s="4" t="n"/>
      <c r="L220" s="4" t="n"/>
      <c r="M220" s="4" t="n"/>
      <c r="N220" s="4" t="n"/>
      <c r="O220" s="4" t="n"/>
      <c r="P220" s="4" t="n"/>
      <c r="Q220" s="4" t="n"/>
    </row>
    <row r="221">
      <c r="B221" s="4" t="n"/>
      <c r="C221" s="4" t="n"/>
      <c r="D221" s="35" t="inlineStr">
        <is>
          <t>Atún Steak</t>
        </is>
      </c>
      <c r="E221" s="320" t="n"/>
      <c r="F221" s="59" t="inlineStr">
        <is>
          <t>Kg</t>
        </is>
      </c>
      <c r="G221" s="209" t="n"/>
      <c r="H221" s="209" t="n"/>
      <c r="I221" s="209" t="n"/>
      <c r="J221" s="209" t="n"/>
      <c r="K221" s="4" t="n"/>
      <c r="L221" s="4" t="n"/>
      <c r="M221" s="4" t="n"/>
      <c r="N221" s="4" t="n"/>
      <c r="O221" s="4" t="n"/>
      <c r="P221" s="4" t="n"/>
      <c r="Q221" s="4" t="n"/>
    </row>
    <row r="222">
      <c r="B222" s="4" t="n"/>
      <c r="C222" s="4" t="n"/>
      <c r="D222" s="35" t="inlineStr">
        <is>
          <t>Atún trozos</t>
        </is>
      </c>
      <c r="E222" s="320" t="n"/>
      <c r="F222" s="59" t="inlineStr">
        <is>
          <t>Kg</t>
        </is>
      </c>
      <c r="G222" s="209" t="n"/>
      <c r="H222" s="209" t="n"/>
      <c r="I222" s="209" t="n"/>
      <c r="J222" s="4" t="n"/>
      <c r="K222" s="4" t="n"/>
      <c r="L222" s="4" t="n"/>
      <c r="M222" s="4" t="n"/>
      <c r="N222" s="4" t="n"/>
      <c r="O222" s="4" t="n"/>
      <c r="P222" s="4" t="n"/>
      <c r="Q222" s="4" t="n"/>
    </row>
    <row r="223">
      <c r="B223" s="4" t="n"/>
      <c r="C223" s="4" t="n"/>
      <c r="D223" s="35" t="inlineStr">
        <is>
          <t>Carpaccio de res</t>
        </is>
      </c>
      <c r="E223" s="320" t="n"/>
      <c r="F223" s="59" t="inlineStr">
        <is>
          <t>Kg</t>
        </is>
      </c>
      <c r="G223" s="209" t="n"/>
      <c r="H223" s="209" t="n"/>
      <c r="I223" s="209" t="n"/>
      <c r="J223" s="4" t="n"/>
      <c r="K223" s="4" t="n"/>
      <c r="L223" s="4" t="n"/>
      <c r="M223" s="4" t="n"/>
      <c r="N223" s="4" t="n"/>
      <c r="O223" s="4" t="n"/>
      <c r="P223" s="4" t="n"/>
      <c r="Q223" s="4" t="n"/>
    </row>
    <row r="224">
      <c r="B224" s="4" t="n"/>
      <c r="C224" s="4" t="n"/>
      <c r="D224" s="35" t="inlineStr">
        <is>
          <t>Ceviche de reineta</t>
        </is>
      </c>
      <c r="E224" s="320" t="n"/>
      <c r="F224" s="59" t="inlineStr">
        <is>
          <t>Kg</t>
        </is>
      </c>
      <c r="G224" s="209" t="n"/>
      <c r="H224" s="209" t="n"/>
      <c r="I224" s="209" t="n"/>
      <c r="J224" s="4" t="n"/>
      <c r="K224" s="4" t="n"/>
      <c r="L224" s="4" t="n"/>
      <c r="M224" s="4" t="n"/>
      <c r="N224" s="4" t="n"/>
      <c r="O224" s="4" t="n"/>
      <c r="P224" s="4" t="n"/>
      <c r="Q224" s="4" t="n"/>
    </row>
    <row r="225">
      <c r="B225" s="4" t="n"/>
      <c r="C225" s="4" t="n"/>
      <c r="D225" s="35" t="inlineStr">
        <is>
          <t>Empanada Mechada</t>
        </is>
      </c>
      <c r="E225" s="320" t="n"/>
      <c r="F225" s="59" t="inlineStr">
        <is>
          <t>Und</t>
        </is>
      </c>
      <c r="G225" s="209" t="n"/>
      <c r="H225" s="209" t="n"/>
      <c r="I225" s="209" t="n"/>
      <c r="J225" s="4" t="n"/>
      <c r="K225" s="4" t="n"/>
      <c r="L225" s="4" t="n"/>
      <c r="M225" s="4" t="n"/>
      <c r="N225" s="4" t="n"/>
      <c r="O225" s="4" t="n"/>
      <c r="P225" s="4" t="n"/>
      <c r="Q225" s="4" t="n"/>
    </row>
    <row r="226">
      <c r="B226" s="4" t="n"/>
      <c r="C226" s="4" t="n"/>
      <c r="D226" s="151" t="inlineStr">
        <is>
          <t>Filete para churrasco</t>
        </is>
      </c>
      <c r="E226" s="320" t="n"/>
      <c r="F226" s="59" t="inlineStr">
        <is>
          <t>Kg</t>
        </is>
      </c>
      <c r="G226" s="209" t="n"/>
      <c r="H226" s="209" t="n"/>
      <c r="I226" s="209" t="n"/>
      <c r="J226" s="4" t="n"/>
      <c r="K226" s="4" t="n"/>
      <c r="L226" s="4" t="n"/>
      <c r="M226" s="4" t="n"/>
      <c r="N226" s="4" t="n"/>
      <c r="O226" s="4" t="n"/>
      <c r="P226" s="4" t="n"/>
      <c r="Q226" s="4" t="n"/>
    </row>
    <row r="227">
      <c r="B227" s="4" t="n"/>
      <c r="C227" s="4" t="n"/>
      <c r="D227" s="151" t="inlineStr">
        <is>
          <t>Filete para crudo</t>
        </is>
      </c>
      <c r="E227" s="320" t="n"/>
      <c r="F227" s="59" t="inlineStr">
        <is>
          <t>Kg</t>
        </is>
      </c>
      <c r="G227" s="209" t="n"/>
      <c r="H227" s="209" t="n"/>
      <c r="I227" s="209" t="n"/>
      <c r="J227" s="4" t="n"/>
      <c r="K227" s="4" t="n"/>
      <c r="L227" s="4" t="n"/>
      <c r="M227" s="4" t="n"/>
      <c r="N227" s="4" t="n"/>
      <c r="O227" s="4" t="n"/>
      <c r="P227" s="4" t="n"/>
      <c r="Q227" s="4" t="n"/>
    </row>
    <row r="228">
      <c r="B228" s="4" t="n"/>
      <c r="C228" s="4" t="n"/>
      <c r="D228" s="35" t="inlineStr">
        <is>
          <t>Filete salteado</t>
        </is>
      </c>
      <c r="E228" s="320" t="n"/>
      <c r="F228" s="59" t="inlineStr">
        <is>
          <t>Kg</t>
        </is>
      </c>
      <c r="G228" s="209" t="n"/>
      <c r="H228" s="209" t="n"/>
      <c r="I228" s="209" t="n"/>
      <c r="J228" s="4" t="n"/>
      <c r="K228" s="4" t="n"/>
      <c r="L228" s="4" t="n"/>
      <c r="M228" s="4" t="n"/>
      <c r="N228" s="4" t="n"/>
      <c r="O228" s="4" t="n"/>
      <c r="P228" s="4" t="n"/>
      <c r="Q228" s="4" t="n"/>
    </row>
    <row r="229">
      <c r="B229" s="4" t="n"/>
      <c r="C229" s="4" t="n"/>
      <c r="D229" s="97" t="inlineStr">
        <is>
          <t>Ganso</t>
        </is>
      </c>
      <c r="E229" s="320" t="n"/>
      <c r="F229" s="59" t="inlineStr">
        <is>
          <t>Kg</t>
        </is>
      </c>
      <c r="G229" s="209" t="n"/>
      <c r="H229" s="209" t="n"/>
      <c r="I229" s="209" t="n"/>
      <c r="J229" s="4" t="n"/>
      <c r="K229" s="4" t="n"/>
      <c r="L229" s="4" t="n"/>
      <c r="M229" s="4" t="n"/>
      <c r="N229" s="4" t="n"/>
      <c r="O229" s="4" t="n"/>
      <c r="P229" s="4" t="n"/>
      <c r="Q229" s="4" t="n"/>
    </row>
    <row r="230">
      <c r="B230" s="4" t="n"/>
      <c r="C230" s="4" t="n"/>
      <c r="D230" s="35" t="inlineStr">
        <is>
          <t>Granola Salada</t>
        </is>
      </c>
      <c r="E230" s="320" t="n"/>
      <c r="F230" s="59" t="inlineStr">
        <is>
          <t>Und</t>
        </is>
      </c>
      <c r="G230" s="209" t="n"/>
      <c r="H230" s="209" t="n"/>
      <c r="I230" s="209" t="n"/>
      <c r="J230" s="4" t="n"/>
      <c r="K230" s="4" t="n"/>
      <c r="L230" s="4" t="n"/>
      <c r="M230" s="4" t="n"/>
      <c r="N230" s="4" t="n"/>
      <c r="O230" s="4" t="n"/>
      <c r="P230" s="4" t="n"/>
      <c r="Q230" s="4" t="n"/>
    </row>
    <row r="231">
      <c r="B231" s="4" t="n"/>
      <c r="C231" s="4" t="n"/>
      <c r="D231" s="35" t="inlineStr">
        <is>
          <t>Hamburguesas</t>
        </is>
      </c>
      <c r="E231" s="320" t="n"/>
      <c r="F231" s="59" t="inlineStr">
        <is>
          <t>Kg</t>
        </is>
      </c>
      <c r="G231" s="209" t="n"/>
      <c r="H231" s="209" t="n"/>
      <c r="I231" s="209" t="n"/>
      <c r="J231" s="4" t="n"/>
      <c r="K231" s="4" t="n"/>
      <c r="L231" s="4" t="n"/>
      <c r="M231" s="4" t="n"/>
      <c r="N231" s="4" t="n"/>
      <c r="O231" s="4" t="n"/>
      <c r="P231" s="4" t="n"/>
      <c r="Q231" s="4" t="n"/>
    </row>
    <row r="232">
      <c r="B232" s="4" t="n"/>
      <c r="C232" s="4" t="n"/>
      <c r="D232" s="35" t="inlineStr">
        <is>
          <t>Jamón Serrano</t>
        </is>
      </c>
      <c r="E232" s="320" t="n"/>
      <c r="F232" s="59" t="inlineStr">
        <is>
          <t>Kg</t>
        </is>
      </c>
      <c r="G232" s="209" t="n"/>
      <c r="H232" s="209" t="n"/>
      <c r="I232" s="209" t="n"/>
      <c r="J232" s="4" t="n"/>
      <c r="K232" s="4" t="n"/>
      <c r="L232" s="4" t="n"/>
      <c r="M232" s="4" t="n"/>
      <c r="N232" s="4" t="n"/>
      <c r="O232" s="4" t="n"/>
      <c r="P232" s="4" t="n"/>
      <c r="Q232" s="4" t="n"/>
    </row>
    <row r="233">
      <c r="B233" s="4" t="n"/>
      <c r="C233" s="4" t="n"/>
      <c r="D233" s="35" t="inlineStr">
        <is>
          <t>Lomo liso</t>
        </is>
      </c>
      <c r="E233" s="320" t="n"/>
      <c r="F233" s="59" t="inlineStr">
        <is>
          <t>Kg</t>
        </is>
      </c>
      <c r="G233" s="209" t="n"/>
      <c r="H233" s="209" t="n"/>
      <c r="I233" s="209" t="n"/>
      <c r="J233" s="4" t="n"/>
      <c r="K233" s="4" t="n"/>
      <c r="L233" s="4" t="n"/>
      <c r="M233" s="4" t="n"/>
      <c r="N233" s="4" t="n"/>
      <c r="O233" s="4" t="n"/>
      <c r="P233" s="4" t="n"/>
      <c r="Q233" s="4" t="n"/>
    </row>
    <row r="234">
      <c r="B234" s="4" t="n"/>
      <c r="C234" s="4" t="n"/>
      <c r="D234" s="35" t="inlineStr">
        <is>
          <t>Plateada</t>
        </is>
      </c>
      <c r="E234" s="320" t="n"/>
      <c r="F234" s="59" t="inlineStr">
        <is>
          <t>Kg</t>
        </is>
      </c>
      <c r="G234" s="209" t="n"/>
      <c r="H234" s="209" t="n"/>
      <c r="I234" s="209" t="n"/>
      <c r="J234" s="4" t="n"/>
      <c r="K234" s="4" t="n"/>
      <c r="L234" s="4" t="n"/>
      <c r="M234" s="4" t="n"/>
      <c r="N234" s="4" t="n"/>
      <c r="O234" s="4" t="n"/>
      <c r="P234" s="4" t="n"/>
      <c r="Q234" s="4" t="n"/>
    </row>
    <row r="235">
      <c r="B235" s="4" t="n"/>
      <c r="C235" s="4" t="n"/>
      <c r="D235" s="35" t="inlineStr">
        <is>
          <t>Pulpo</t>
        </is>
      </c>
      <c r="E235" s="320" t="n"/>
      <c r="F235" s="59" t="inlineStr">
        <is>
          <t>Kg</t>
        </is>
      </c>
      <c r="G235" s="209" t="n"/>
      <c r="H235" s="209" t="n"/>
      <c r="I235" s="209" t="n"/>
      <c r="J235" s="4" t="n"/>
      <c r="K235" s="4" t="n"/>
      <c r="L235" s="4" t="n"/>
      <c r="M235" s="4" t="n"/>
      <c r="N235" s="4" t="n"/>
      <c r="O235" s="4" t="n"/>
      <c r="P235" s="4" t="n"/>
      <c r="Q235" s="4" t="n"/>
    </row>
    <row r="236">
      <c r="B236" s="4" t="n"/>
      <c r="C236" s="4" t="n"/>
      <c r="D236" s="35" t="inlineStr">
        <is>
          <t>Queso Mozzarella</t>
        </is>
      </c>
      <c r="E236" s="320" t="n"/>
      <c r="F236" s="59" t="inlineStr">
        <is>
          <t>Und</t>
        </is>
      </c>
      <c r="G236" s="209" t="n"/>
      <c r="H236" s="209" t="n"/>
      <c r="I236" s="209" t="n"/>
      <c r="J236" s="4" t="n"/>
      <c r="K236" s="4" t="n"/>
      <c r="L236" s="4" t="n"/>
      <c r="M236" s="4" t="n"/>
      <c r="N236" s="4" t="n"/>
      <c r="O236" s="4" t="n"/>
      <c r="P236" s="4" t="n"/>
      <c r="Q236" s="4" t="n"/>
    </row>
    <row r="237">
      <c r="B237" s="4" t="n"/>
      <c r="C237" s="4" t="n"/>
      <c r="D237" s="35" t="inlineStr">
        <is>
          <t>Salmón Ahumado en Caliente</t>
        </is>
      </c>
      <c r="E237" s="320" t="n"/>
      <c r="F237" s="59" t="inlineStr">
        <is>
          <t>Kg</t>
        </is>
      </c>
      <c r="G237" s="209" t="n"/>
      <c r="H237" s="209" t="n"/>
      <c r="I237" s="209" t="n"/>
      <c r="J237" s="4" t="n"/>
      <c r="K237" s="4" t="n"/>
      <c r="L237" s="4" t="n"/>
      <c r="M237" s="4" t="n"/>
      <c r="N237" s="4" t="n"/>
      <c r="O237" s="4" t="n"/>
      <c r="P237" s="4" t="n"/>
      <c r="Q237" s="4" t="n"/>
    </row>
    <row r="238">
      <c r="B238" s="4" t="n"/>
      <c r="C238" s="4" t="n"/>
      <c r="D238" s="60" t="inlineStr">
        <is>
          <t>Salmón cancato</t>
        </is>
      </c>
      <c r="E238" s="321" t="n"/>
      <c r="F238" s="61" t="inlineStr">
        <is>
          <t>Kg</t>
        </is>
      </c>
      <c r="G238" s="209" t="n"/>
      <c r="H238" s="209" t="n"/>
      <c r="I238" s="209" t="n"/>
      <c r="J238" s="4" t="n"/>
      <c r="K238" s="4" t="n"/>
      <c r="L238" s="4" t="n"/>
      <c r="M238" s="4" t="n"/>
      <c r="N238" s="4" t="n"/>
      <c r="O238" s="4" t="n"/>
      <c r="P238" s="4" t="n"/>
      <c r="Q238" s="4" t="n"/>
    </row>
    <row r="239">
      <c r="B239" s="4" t="n"/>
      <c r="C239" s="4" t="n"/>
      <c r="D239" s="60" t="inlineStr">
        <is>
          <t>Salmón fresco premium</t>
        </is>
      </c>
      <c r="E239" s="321" t="n"/>
      <c r="F239" s="61" t="inlineStr">
        <is>
          <t>Kg</t>
        </is>
      </c>
      <c r="G239" s="209" t="n"/>
      <c r="H239" s="209" t="n"/>
      <c r="I239" s="209" t="n"/>
      <c r="J239" s="4" t="n"/>
      <c r="K239" s="4" t="n"/>
      <c r="L239" s="4" t="n"/>
      <c r="M239" s="4" t="n"/>
      <c r="N239" s="4" t="n"/>
      <c r="O239" s="4" t="n"/>
      <c r="P239" s="4" t="n"/>
      <c r="Q239" s="4" t="n"/>
    </row>
    <row r="240">
      <c r="B240" s="4" t="n"/>
      <c r="C240" s="4" t="n"/>
      <c r="D240" s="35" t="inlineStr">
        <is>
          <t>Sorrentinos carne mechada</t>
        </is>
      </c>
      <c r="E240" s="321" t="n"/>
      <c r="F240" s="61" t="inlineStr">
        <is>
          <t>Porción</t>
        </is>
      </c>
      <c r="G240" s="209" t="n"/>
      <c r="H240" s="209" t="n"/>
      <c r="I240" s="209" t="n"/>
      <c r="J240" s="4" t="n"/>
      <c r="K240" s="4" t="n"/>
      <c r="L240" s="4" t="n"/>
      <c r="M240" s="4" t="n"/>
      <c r="N240" s="4" t="n"/>
      <c r="O240" s="4" t="n"/>
      <c r="P240" s="4" t="n"/>
      <c r="Q240" s="4" t="n"/>
    </row>
    <row r="241">
      <c r="B241" s="4" t="n"/>
      <c r="C241" s="4" t="n"/>
      <c r="D241" s="35" t="inlineStr">
        <is>
          <t>Sorrentinos pulpo y salmón</t>
        </is>
      </c>
      <c r="E241" s="321" t="n"/>
      <c r="F241" s="61" t="inlineStr">
        <is>
          <t>Porción</t>
        </is>
      </c>
      <c r="G241" s="209" t="n"/>
      <c r="H241" s="209" t="n"/>
      <c r="I241" s="209" t="n"/>
      <c r="J241" s="4" t="n"/>
      <c r="K241" s="4" t="n"/>
      <c r="L241" s="4" t="n"/>
      <c r="M241" s="4" t="n"/>
      <c r="N241" s="4" t="n"/>
      <c r="O241" s="4" t="n"/>
      <c r="P241" s="4" t="n"/>
      <c r="Q241" s="4" t="n"/>
    </row>
    <row r="242" ht="13.5" customHeight="1" s="95" thickBot="1">
      <c r="B242" s="4" t="n"/>
      <c r="C242" s="4" t="n"/>
      <c r="D242" s="62" t="inlineStr">
        <is>
          <t>Sorrentinos zapallo</t>
        </is>
      </c>
      <c r="E242" s="322" t="n"/>
      <c r="F242" s="64" t="inlineStr">
        <is>
          <t>Porción</t>
        </is>
      </c>
      <c r="G242" s="209" t="n"/>
      <c r="H242" s="209" t="n"/>
      <c r="I242" s="209" t="n"/>
      <c r="J242" s="4" t="n"/>
      <c r="K242" s="4" t="n"/>
      <c r="L242" s="4" t="n"/>
      <c r="M242" s="4" t="n"/>
      <c r="N242" s="4" t="n"/>
      <c r="O242" s="4" t="n"/>
      <c r="P242" s="4" t="n"/>
      <c r="Q242" s="4" t="n"/>
    </row>
    <row r="243">
      <c r="G243" s="209" t="n"/>
      <c r="H243" s="209" t="n"/>
      <c r="I243" s="209" t="n"/>
    </row>
    <row r="244" ht="13.5" customHeight="1" s="95" thickBot="1"/>
    <row r="245" ht="14.25" customHeight="1" s="95" thickBot="1" thickTop="1">
      <c r="D245" s="323" t="inlineStr">
        <is>
          <t xml:space="preserve">ENTREGAS DE PROTEINAS PARA PRODUCCIONES DE COCINA </t>
        </is>
      </c>
      <c r="E245" s="324" t="n"/>
      <c r="F245" s="324" t="n"/>
      <c r="G245" s="325" t="n"/>
    </row>
    <row r="246" ht="13.5" customHeight="1" s="95" thickBot="1">
      <c r="B246" s="211" t="n"/>
      <c r="C246" s="212" t="inlineStr">
        <is>
          <t>Medida</t>
        </is>
      </c>
      <c r="D246" s="101" t="inlineStr">
        <is>
          <t>Producto</t>
        </is>
      </c>
      <c r="E246" s="101" t="inlineStr">
        <is>
          <t>Cantidad</t>
        </is>
      </c>
      <c r="F246" s="101" t="inlineStr">
        <is>
          <t>Producto Final</t>
        </is>
      </c>
      <c r="G246" s="101" t="inlineStr">
        <is>
          <t>Medida</t>
        </is>
      </c>
      <c r="H246" s="142" t="inlineStr">
        <is>
          <t>Cantidad Producida</t>
        </is>
      </c>
      <c r="I246" s="326" t="n"/>
      <c r="J246" s="101" t="inlineStr">
        <is>
          <t>Mermas (Kg)</t>
        </is>
      </c>
      <c r="K246" s="102" t="inlineStr">
        <is>
          <t>Cant. Utilizada</t>
        </is>
      </c>
      <c r="L246" s="56" t="n"/>
    </row>
    <row r="247">
      <c r="B247" s="213" t="n"/>
      <c r="C247" s="214" t="inlineStr">
        <is>
          <t>Kg</t>
        </is>
      </c>
      <c r="D247" s="100" t="inlineStr">
        <is>
          <t>Despunte de pulpo</t>
        </is>
      </c>
      <c r="E247" s="99" t="n"/>
      <c r="F247" s="215" t="inlineStr">
        <is>
          <t>Empanadas de pulpo</t>
        </is>
      </c>
      <c r="G247" s="100" t="inlineStr">
        <is>
          <t>Pax</t>
        </is>
      </c>
      <c r="H247" s="327" t="n"/>
      <c r="I247" s="328" t="n"/>
      <c r="J247" s="263" t="n"/>
      <c r="K247" s="264" t="n"/>
      <c r="L247" s="213" t="n"/>
    </row>
    <row r="248">
      <c r="B248" s="213" t="n"/>
      <c r="C248" s="216" t="inlineStr">
        <is>
          <t>Kg</t>
        </is>
      </c>
      <c r="D248" s="220" t="inlineStr">
        <is>
          <t>Langostinos</t>
        </is>
      </c>
      <c r="E248" s="255" t="n"/>
      <c r="F248" s="218" t="inlineStr">
        <is>
          <t>Brocheta de Langostinos</t>
        </is>
      </c>
      <c r="G248" s="122" t="inlineStr">
        <is>
          <t>Pax</t>
        </is>
      </c>
      <c r="H248" s="255" t="n"/>
      <c r="I248" s="329" t="n"/>
      <c r="J248" s="265" t="n"/>
      <c r="K248" s="266" t="n"/>
      <c r="L248" s="209" t="n"/>
    </row>
    <row r="249">
      <c r="B249" s="213" t="n"/>
      <c r="C249" s="238" t="inlineStr">
        <is>
          <t>Und</t>
        </is>
      </c>
      <c r="D249" s="1" t="inlineStr">
        <is>
          <t>Locos</t>
        </is>
      </c>
      <c r="E249" s="330" t="n"/>
      <c r="F249" s="218" t="inlineStr">
        <is>
          <t>Loco tiradito</t>
        </is>
      </c>
      <c r="G249" s="220" t="inlineStr">
        <is>
          <t>Kg</t>
        </is>
      </c>
      <c r="H249" s="331" t="n"/>
      <c r="I249" s="329" t="n"/>
      <c r="J249" s="265" t="n"/>
      <c r="K249" s="266" t="n"/>
      <c r="L249" s="209" t="n"/>
    </row>
    <row r="250">
      <c r="B250" s="213" t="n"/>
      <c r="C250" s="216" t="inlineStr">
        <is>
          <t>Kg</t>
        </is>
      </c>
      <c r="D250" s="54" t="inlineStr">
        <is>
          <t>Merluza</t>
        </is>
      </c>
      <c r="E250" s="255" t="n"/>
      <c r="F250" s="122" t="inlineStr">
        <is>
          <t>Merluza Porcionada</t>
        </is>
      </c>
      <c r="G250" s="220" t="inlineStr">
        <is>
          <t>Kg</t>
        </is>
      </c>
      <c r="H250" s="332" t="n"/>
      <c r="I250" s="333" t="n"/>
      <c r="J250" s="265" t="n"/>
      <c r="K250" s="266" t="n"/>
      <c r="L250" s="209" t="n"/>
    </row>
    <row r="251">
      <c r="B251" s="213" t="n"/>
      <c r="C251" s="216" t="inlineStr">
        <is>
          <t>Kg</t>
        </is>
      </c>
      <c r="D251" s="1" t="inlineStr">
        <is>
          <t>Reineta</t>
        </is>
      </c>
      <c r="E251" s="255" t="n"/>
      <c r="F251" s="218" t="inlineStr">
        <is>
          <t>Ceviche de Reineta</t>
        </is>
      </c>
      <c r="G251" s="122" t="inlineStr">
        <is>
          <t>Kg</t>
        </is>
      </c>
      <c r="H251" s="255" t="n"/>
      <c r="I251" s="329" t="n"/>
      <c r="J251" s="265" t="n"/>
      <c r="K251" s="266" t="n"/>
      <c r="L251" s="209" t="n"/>
    </row>
    <row r="252">
      <c r="B252" s="213" t="n"/>
      <c r="C252" s="216" t="inlineStr">
        <is>
          <t>Kg</t>
        </is>
      </c>
      <c r="D252" s="1" t="inlineStr">
        <is>
          <t>Congrio</t>
        </is>
      </c>
      <c r="E252" s="255" t="n"/>
      <c r="F252" s="218" t="inlineStr">
        <is>
          <t>Congrio Porcionado</t>
        </is>
      </c>
      <c r="G252" s="122" t="inlineStr">
        <is>
          <t>Kg</t>
        </is>
      </c>
      <c r="H252" s="255" t="n"/>
      <c r="I252" s="329" t="n"/>
      <c r="J252" s="265" t="n"/>
      <c r="K252" s="266" t="n"/>
      <c r="L252" s="209" t="n"/>
    </row>
    <row r="253">
      <c r="B253" s="213" t="n"/>
      <c r="C253" s="216" t="inlineStr">
        <is>
          <t>Kg</t>
        </is>
      </c>
      <c r="D253" s="1" t="inlineStr">
        <is>
          <t>Mejillones</t>
        </is>
      </c>
      <c r="E253" s="255" t="n"/>
      <c r="F253" s="220" t="inlineStr">
        <is>
          <t>Mix Conchas</t>
        </is>
      </c>
      <c r="G253" s="122" t="inlineStr">
        <is>
          <t>Pax</t>
        </is>
      </c>
      <c r="H253" s="255" t="n"/>
      <c r="I253" s="334" t="n"/>
      <c r="J253" s="267" t="n"/>
      <c r="K253" s="268" t="n"/>
      <c r="L253" s="209" t="n"/>
    </row>
    <row r="254">
      <c r="B254" s="213" t="n"/>
      <c r="C254" s="216" t="inlineStr">
        <is>
          <t>Kg</t>
        </is>
      </c>
      <c r="D254" s="1" t="inlineStr">
        <is>
          <t>Almejas Julianas</t>
        </is>
      </c>
      <c r="E254" s="255" t="n"/>
      <c r="F254" s="316" t="n"/>
      <c r="G254" s="316" t="n"/>
      <c r="H254" s="335" t="n"/>
      <c r="I254" s="336" t="n"/>
      <c r="J254" s="267" t="n"/>
      <c r="K254" s="268" t="n"/>
      <c r="L254" s="209" t="n"/>
    </row>
    <row r="255">
      <c r="B255" s="213" t="n"/>
      <c r="C255" s="337" t="inlineStr">
        <is>
          <t>Kg</t>
        </is>
      </c>
      <c r="D255" s="338" t="inlineStr">
        <is>
          <t>Filete Despunte</t>
        </is>
      </c>
      <c r="E255" s="255" t="n"/>
      <c r="F255" s="222" t="inlineStr">
        <is>
          <t>Ragout Lasagna</t>
        </is>
      </c>
      <c r="G255" s="112" t="inlineStr">
        <is>
          <t>Kg</t>
        </is>
      </c>
      <c r="H255" s="255" t="n"/>
      <c r="I255" s="329" t="n"/>
      <c r="J255" s="269" t="n"/>
      <c r="K255" s="270" t="n"/>
      <c r="L255" s="209" t="n"/>
    </row>
    <row r="256">
      <c r="B256" s="213" t="n"/>
      <c r="C256" s="315" t="n"/>
      <c r="D256" s="316" t="n"/>
      <c r="E256" s="339" t="n"/>
      <c r="F256" s="222" t="inlineStr">
        <is>
          <t>Ragout Rigatoni</t>
        </is>
      </c>
      <c r="G256" s="112" t="inlineStr">
        <is>
          <t>Kg</t>
        </is>
      </c>
      <c r="H256" s="255" t="n"/>
      <c r="I256" s="329" t="n"/>
      <c r="J256" s="269" t="n"/>
      <c r="K256" s="270" t="n"/>
      <c r="L256" s="209" t="n"/>
    </row>
    <row r="257">
      <c r="B257" s="213" t="n"/>
      <c r="C257" s="224" t="inlineStr">
        <is>
          <t>Kg</t>
        </is>
      </c>
      <c r="D257" s="120" t="inlineStr">
        <is>
          <t>Ragout Lasagna</t>
        </is>
      </c>
      <c r="E257" s="251" t="n"/>
      <c r="F257" s="222" t="inlineStr">
        <is>
          <t>Lasagna Berenjenas</t>
        </is>
      </c>
      <c r="G257" s="112" t="inlineStr">
        <is>
          <t>Porcion</t>
        </is>
      </c>
      <c r="H257" s="255" t="n"/>
      <c r="I257" s="329" t="n"/>
      <c r="J257" s="269" t="n"/>
      <c r="K257" s="270" t="n"/>
      <c r="L257" s="209" t="n"/>
    </row>
    <row r="258" ht="13.5" customHeight="1" s="95" thickBot="1">
      <c r="B258" s="213" t="n"/>
      <c r="C258" s="225" t="inlineStr">
        <is>
          <t>Kg</t>
        </is>
      </c>
      <c r="D258" s="31" t="inlineStr">
        <is>
          <t>Salmón Ahumado en frío</t>
        </is>
      </c>
      <c r="E258" s="252" t="n"/>
      <c r="F258" s="226" t="inlineStr">
        <is>
          <t>Chupe</t>
        </is>
      </c>
      <c r="G258" s="32" t="inlineStr">
        <is>
          <t>Porcion</t>
        </is>
      </c>
      <c r="H258" s="261" t="n"/>
      <c r="I258" s="340" t="n"/>
      <c r="J258" s="271" t="n"/>
      <c r="K258" s="272" t="n"/>
      <c r="L258" s="209" t="n"/>
    </row>
    <row r="259" ht="13.5" customHeight="1" s="95" thickBot="1">
      <c r="C259" s="228" t="n"/>
    </row>
    <row r="260" ht="13.5" customHeight="1" s="95" thickBot="1">
      <c r="C260" s="228" t="n"/>
      <c r="D260" s="341" t="inlineStr">
        <is>
          <t>REGISTRO PRODUCCIONES PASTELERIA</t>
        </is>
      </c>
      <c r="E260" s="342" t="n"/>
      <c r="F260" s="48" t="n"/>
      <c r="H260" s="343" t="inlineStr">
        <is>
          <t>REGISTRO DE CHOCOLATES</t>
        </is>
      </c>
      <c r="I260" s="318" t="n"/>
      <c r="J260" s="318" t="n"/>
      <c r="K260" s="319" t="n"/>
    </row>
    <row r="261">
      <c r="B261" s="232" t="n"/>
      <c r="C261" s="233" t="inlineStr">
        <is>
          <t>Medida</t>
        </is>
      </c>
      <c r="D261" s="195" t="inlineStr">
        <is>
          <t>Producto</t>
        </is>
      </c>
      <c r="E261" s="234" t="inlineStr">
        <is>
          <t>Cantidad</t>
        </is>
      </c>
      <c r="F261" s="235" t="n"/>
      <c r="G261" s="233" t="inlineStr">
        <is>
          <t>Producto</t>
        </is>
      </c>
      <c r="H261" s="237" t="inlineStr">
        <is>
          <t>Cantidad Entregada</t>
        </is>
      </c>
      <c r="I261" s="300" t="n"/>
      <c r="J261" s="237" t="inlineStr">
        <is>
          <t>Cant. Utilizada</t>
        </is>
      </c>
      <c r="K261" s="234" t="inlineStr">
        <is>
          <t>Medida</t>
        </is>
      </c>
    </row>
    <row r="262">
      <c r="B262" s="235" t="n"/>
      <c r="C262" s="238" t="inlineStr">
        <is>
          <t>Und</t>
        </is>
      </c>
      <c r="D262" s="1" t="inlineStr">
        <is>
          <t>Cheesecake de Berries</t>
        </is>
      </c>
      <c r="E262" s="277" t="n"/>
      <c r="F262" s="235" t="n"/>
      <c r="G262" s="238" t="inlineStr">
        <is>
          <t>Choc. Blanco</t>
        </is>
      </c>
      <c r="H262" s="273" t="n"/>
      <c r="I262" s="329" t="n"/>
      <c r="J262" s="274" t="n"/>
      <c r="K262" s="239" t="n"/>
    </row>
    <row r="263">
      <c r="B263" s="235" t="n"/>
      <c r="C263" s="238" t="inlineStr">
        <is>
          <t>Und</t>
        </is>
      </c>
      <c r="D263" s="1" t="inlineStr">
        <is>
          <t>Cheesecake de Limón</t>
        </is>
      </c>
      <c r="E263" s="277" t="n"/>
      <c r="F263" s="235" t="n"/>
      <c r="G263" s="238" t="inlineStr">
        <is>
          <t>Choc. Leche</t>
        </is>
      </c>
      <c r="H263" s="273" t="n"/>
      <c r="I263" s="329" t="n"/>
      <c r="J263" s="274" t="n"/>
      <c r="K263" s="239" t="n"/>
    </row>
    <row r="264">
      <c r="B264" s="235" t="n"/>
      <c r="C264" s="238" t="inlineStr">
        <is>
          <t>Und</t>
        </is>
      </c>
      <c r="D264" s="18" t="inlineStr">
        <is>
          <t>Brownie Nutella</t>
        </is>
      </c>
      <c r="E264" s="277" t="n"/>
      <c r="F264" s="235" t="n"/>
      <c r="G264" s="238" t="inlineStr">
        <is>
          <t>Choc. Negro</t>
        </is>
      </c>
      <c r="H264" s="273" t="n"/>
      <c r="I264" s="329" t="n"/>
      <c r="J264" s="274" t="n"/>
      <c r="K264" s="239" t="n"/>
    </row>
    <row r="265">
      <c r="B265" s="235" t="n"/>
      <c r="C265" s="238" t="inlineStr">
        <is>
          <t>Und</t>
        </is>
      </c>
      <c r="D265" s="18" t="inlineStr">
        <is>
          <t>Brownie Vegano</t>
        </is>
      </c>
      <c r="E265" s="277" t="n"/>
      <c r="F265" s="235" t="n"/>
      <c r="G265" s="238" t="inlineStr">
        <is>
          <t>Neucober Cob.</t>
        </is>
      </c>
      <c r="H265" s="273" t="n"/>
      <c r="I265" s="329" t="n"/>
      <c r="J265" s="274" t="n"/>
      <c r="K265" s="239" t="n"/>
    </row>
    <row r="266">
      <c r="B266" s="235" t="n"/>
      <c r="C266" s="238" t="inlineStr">
        <is>
          <t>Und</t>
        </is>
      </c>
      <c r="D266" s="1" t="inlineStr">
        <is>
          <t>Flan de Caluga</t>
        </is>
      </c>
      <c r="E266" s="277" t="n"/>
      <c r="F266" s="235" t="n"/>
      <c r="G266" s="238" t="inlineStr">
        <is>
          <t>Sicao Cob.</t>
        </is>
      </c>
      <c r="H266" s="273" t="n"/>
      <c r="I266" s="329" t="n"/>
      <c r="J266" s="274" t="n"/>
      <c r="K266" s="239" t="n"/>
    </row>
    <row r="267" ht="13.5" customHeight="1" s="95" thickBot="1">
      <c r="B267" s="235" t="n"/>
      <c r="C267" s="238" t="inlineStr">
        <is>
          <t>Und</t>
        </is>
      </c>
      <c r="D267" s="1" t="inlineStr">
        <is>
          <t>Volcán de Chocolate</t>
        </is>
      </c>
      <c r="E267" s="277" t="n"/>
      <c r="F267" s="235" t="n"/>
      <c r="G267" s="242" t="inlineStr">
        <is>
          <t>Nutella</t>
        </is>
      </c>
      <c r="H267" s="275" t="n"/>
      <c r="I267" s="344" t="n"/>
      <c r="J267" s="276" t="n"/>
      <c r="K267" s="241" t="n"/>
    </row>
    <row r="268" ht="13.5" customHeight="1" s="95" thickBot="1">
      <c r="B268" s="235" t="n"/>
      <c r="C268" s="242" t="inlineStr">
        <is>
          <t>Und</t>
        </is>
      </c>
      <c r="D268" s="31" t="inlineStr">
        <is>
          <t>Discos de Chocolate</t>
        </is>
      </c>
      <c r="E268" s="278" t="n"/>
      <c r="F268" s="235" t="n"/>
    </row>
    <row r="271" ht="15" customHeight="1" s="95">
      <c r="B271" s="232" t="inlineStr">
        <is>
          <t>Código</t>
        </is>
      </c>
      <c r="C271" s="232" t="inlineStr">
        <is>
          <t>Descripción</t>
        </is>
      </c>
      <c r="I271" s="232" t="inlineStr">
        <is>
          <t>Imp. Bruto</t>
        </is>
      </c>
      <c r="J271" s="232" t="inlineStr">
        <is>
          <t>Imp. Neto</t>
        </is>
      </c>
      <c r="L271" s="232" t="inlineStr">
        <is>
          <t>Cantidad Vendida</t>
        </is>
      </c>
      <c r="Q271" s="232" t="inlineStr">
        <is>
          <t>Precio Medio</t>
        </is>
      </c>
      <c r="T271" s="232" t="inlineStr">
        <is>
          <t>Imp. Descontado</t>
        </is>
      </c>
      <c r="V271" s="232" t="inlineStr">
        <is>
          <t>Descuento Medio</t>
        </is>
      </c>
      <c r="AA271" s="232" t="inlineStr">
        <is>
          <t>Importe de Referencia</t>
        </is>
      </c>
      <c r="AD271" s="232" t="inlineStr">
        <is>
          <t>Ref %</t>
        </is>
      </c>
      <c r="AE271" s="232" t="inlineStr">
        <is>
          <t>Tot%</t>
        </is>
      </c>
    </row>
    <row r="272">
      <c r="B272" s="279" t="n"/>
      <c r="C272" s="280" t="n"/>
      <c r="D272" s="295" t="n"/>
      <c r="E272" s="295" t="n"/>
      <c r="F272" s="295" t="n"/>
      <c r="G272" s="282" t="n"/>
      <c r="H272" s="295" t="n"/>
      <c r="I272" s="295" t="n"/>
      <c r="J272" s="282" t="n"/>
      <c r="K272" s="345" t="n"/>
      <c r="L272" s="295" t="n"/>
      <c r="M272" s="346" t="n"/>
      <c r="N272" s="295" t="n"/>
      <c r="O272" s="285" t="n"/>
      <c r="P272" s="295" t="n"/>
      <c r="Q272" s="295" t="n"/>
      <c r="R272" s="282" t="n"/>
      <c r="S272" s="295" t="n"/>
      <c r="T272" s="295" t="n"/>
      <c r="U272" s="285" t="n"/>
      <c r="V272" s="295" t="n"/>
      <c r="W272" s="282" t="n"/>
      <c r="X272" s="295" t="n"/>
      <c r="Y272" s="295" t="n"/>
      <c r="Z272" s="295" t="n"/>
      <c r="AA272" s="295" t="n"/>
      <c r="AB272" s="285" t="n"/>
      <c r="AC272" s="295" t="n"/>
      <c r="AD272" s="295" t="n"/>
      <c r="AE272" s="286" t="n"/>
    </row>
    <row r="273">
      <c r="B273" s="287" t="n"/>
      <c r="C273" s="288" t="n"/>
      <c r="D273" s="295" t="n"/>
      <c r="E273" s="295" t="n"/>
      <c r="F273" s="295" t="n"/>
      <c r="G273" s="290" t="n"/>
      <c r="H273" s="295" t="n"/>
      <c r="I273" s="295" t="n"/>
      <c r="J273" s="290" t="n"/>
      <c r="K273" s="347" t="n"/>
      <c r="L273" s="295" t="n"/>
      <c r="M273" s="348" t="n"/>
      <c r="N273" s="295" t="n"/>
      <c r="O273" s="293" t="n"/>
      <c r="P273" s="295" t="n"/>
      <c r="Q273" s="295" t="n"/>
      <c r="R273" s="290" t="n"/>
      <c r="S273" s="295" t="n"/>
      <c r="T273" s="295" t="n"/>
      <c r="U273" s="293" t="n"/>
      <c r="V273" s="295" t="n"/>
      <c r="W273" s="290" t="n"/>
      <c r="X273" s="295" t="n"/>
      <c r="Y273" s="295" t="n"/>
      <c r="Z273" s="295" t="n"/>
      <c r="AA273" s="295" t="n"/>
      <c r="AB273" s="293" t="n"/>
      <c r="AC273" s="295" t="n"/>
      <c r="AD273" s="295" t="n"/>
      <c r="AE273" s="294" t="n"/>
    </row>
    <row r="274">
      <c r="B274" s="279" t="n"/>
      <c r="C274" s="280" t="n"/>
      <c r="D274" s="295" t="n"/>
      <c r="E274" s="295" t="n"/>
      <c r="F274" s="295" t="n"/>
      <c r="G274" s="282" t="n"/>
      <c r="H274" s="295" t="n"/>
      <c r="I274" s="295" t="n"/>
      <c r="J274" s="282" t="n"/>
      <c r="K274" s="345" t="n"/>
      <c r="L274" s="295" t="n"/>
      <c r="M274" s="346" t="n"/>
      <c r="N274" s="295" t="n"/>
      <c r="O274" s="285" t="n"/>
      <c r="P274" s="295" t="n"/>
      <c r="Q274" s="295" t="n"/>
      <c r="R274" s="282" t="n"/>
      <c r="S274" s="295" t="n"/>
      <c r="T274" s="295" t="n"/>
      <c r="U274" s="285" t="n"/>
      <c r="V274" s="295" t="n"/>
      <c r="W274" s="282" t="n"/>
      <c r="X274" s="295" t="n"/>
      <c r="Y274" s="295" t="n"/>
      <c r="Z274" s="295" t="n"/>
      <c r="AA274" s="295" t="n"/>
      <c r="AB274" s="285" t="n"/>
      <c r="AC274" s="295" t="n"/>
      <c r="AD274" s="295" t="n"/>
      <c r="AE274" s="286" t="n"/>
    </row>
    <row r="275">
      <c r="B275" s="287" t="n"/>
      <c r="C275" s="288" t="n"/>
      <c r="D275" s="295" t="n"/>
      <c r="E275" s="295" t="n"/>
      <c r="F275" s="295" t="n"/>
      <c r="G275" s="290" t="n"/>
      <c r="H275" s="295" t="n"/>
      <c r="I275" s="295" t="n"/>
      <c r="J275" s="290" t="n"/>
      <c r="K275" s="347" t="n"/>
      <c r="L275" s="295" t="n"/>
      <c r="M275" s="348" t="n"/>
      <c r="N275" s="295" t="n"/>
      <c r="O275" s="293" t="n"/>
      <c r="P275" s="295" t="n"/>
      <c r="Q275" s="295" t="n"/>
      <c r="R275" s="290" t="n"/>
      <c r="S275" s="295" t="n"/>
      <c r="T275" s="295" t="n"/>
      <c r="U275" s="293" t="n"/>
      <c r="V275" s="295" t="n"/>
      <c r="W275" s="290" t="n"/>
      <c r="X275" s="295" t="n"/>
      <c r="Y275" s="295" t="n"/>
      <c r="Z275" s="295" t="n"/>
      <c r="AA275" s="295" t="n"/>
      <c r="AB275" s="293" t="n"/>
      <c r="AC275" s="295" t="n"/>
      <c r="AD275" s="295" t="n"/>
      <c r="AE275" s="294" t="n"/>
    </row>
    <row r="276">
      <c r="B276" s="279" t="n"/>
      <c r="C276" s="280" t="n"/>
      <c r="D276" s="295" t="n"/>
      <c r="E276" s="295" t="n"/>
      <c r="F276" s="295" t="n"/>
      <c r="G276" s="282" t="n"/>
      <c r="H276" s="295" t="n"/>
      <c r="I276" s="295" t="n"/>
      <c r="J276" s="282" t="n"/>
      <c r="K276" s="345" t="n"/>
      <c r="L276" s="295" t="n"/>
      <c r="M276" s="346" t="n"/>
      <c r="N276" s="295" t="n"/>
      <c r="O276" s="285" t="n"/>
      <c r="P276" s="295" t="n"/>
      <c r="Q276" s="295" t="n"/>
      <c r="R276" s="282" t="n"/>
      <c r="S276" s="295" t="n"/>
      <c r="T276" s="295" t="n"/>
      <c r="U276" s="285" t="n"/>
      <c r="V276" s="295" t="n"/>
      <c r="W276" s="282" t="n"/>
      <c r="X276" s="295" t="n"/>
      <c r="Y276" s="295" t="n"/>
      <c r="Z276" s="295" t="n"/>
      <c r="AA276" s="295" t="n"/>
      <c r="AB276" s="285" t="n"/>
      <c r="AC276" s="295" t="n"/>
      <c r="AD276" s="295" t="n"/>
      <c r="AE276" s="286" t="n"/>
    </row>
    <row r="277">
      <c r="B277" s="287" t="n"/>
      <c r="C277" s="288" t="n"/>
      <c r="D277" s="295" t="n"/>
      <c r="E277" s="295" t="n"/>
      <c r="F277" s="295" t="n"/>
      <c r="G277" s="290" t="n"/>
      <c r="H277" s="295" t="n"/>
      <c r="I277" s="295" t="n"/>
      <c r="J277" s="290" t="n"/>
      <c r="K277" s="347" t="n"/>
      <c r="L277" s="295" t="n"/>
      <c r="M277" s="348" t="n"/>
      <c r="N277" s="295" t="n"/>
      <c r="O277" s="293" t="n"/>
      <c r="P277" s="295" t="n"/>
      <c r="Q277" s="295" t="n"/>
      <c r="R277" s="290" t="n"/>
      <c r="S277" s="295" t="n"/>
      <c r="T277" s="295" t="n"/>
      <c r="U277" s="293" t="n"/>
      <c r="V277" s="295" t="n"/>
      <c r="W277" s="290" t="n"/>
      <c r="X277" s="295" t="n"/>
      <c r="Y277" s="295" t="n"/>
      <c r="Z277" s="295" t="n"/>
      <c r="AA277" s="295" t="n"/>
      <c r="AB277" s="293" t="n"/>
      <c r="AC277" s="295" t="n"/>
      <c r="AD277" s="295" t="n"/>
      <c r="AE277" s="294" t="n"/>
    </row>
    <row r="278">
      <c r="B278" s="279" t="n"/>
      <c r="C278" s="280" t="n"/>
      <c r="D278" s="295" t="n"/>
      <c r="E278" s="295" t="n"/>
      <c r="F278" s="295" t="n"/>
      <c r="G278" s="282" t="n"/>
      <c r="H278" s="295" t="n"/>
      <c r="I278" s="295" t="n"/>
      <c r="J278" s="282" t="n"/>
      <c r="K278" s="345" t="n"/>
      <c r="L278" s="295" t="n"/>
      <c r="M278" s="346" t="n"/>
      <c r="N278" s="295" t="n"/>
      <c r="O278" s="285" t="n"/>
      <c r="P278" s="295" t="n"/>
      <c r="Q278" s="295" t="n"/>
      <c r="R278" s="282" t="n"/>
      <c r="S278" s="295" t="n"/>
      <c r="T278" s="295" t="n"/>
      <c r="U278" s="285" t="n"/>
      <c r="V278" s="295" t="n"/>
      <c r="W278" s="282" t="n"/>
      <c r="X278" s="295" t="n"/>
      <c r="Y278" s="295" t="n"/>
      <c r="Z278" s="295" t="n"/>
      <c r="AA278" s="295" t="n"/>
      <c r="AB278" s="285" t="n"/>
      <c r="AC278" s="295" t="n"/>
      <c r="AD278" s="295" t="n"/>
      <c r="AE278" s="286" t="n"/>
    </row>
    <row r="279">
      <c r="B279" s="287" t="n"/>
      <c r="C279" s="288" t="n"/>
      <c r="D279" s="295" t="n"/>
      <c r="E279" s="295" t="n"/>
      <c r="F279" s="295" t="n"/>
      <c r="G279" s="290" t="n"/>
      <c r="H279" s="295" t="n"/>
      <c r="I279" s="295" t="n"/>
      <c r="J279" s="290" t="n"/>
      <c r="K279" s="347" t="n"/>
      <c r="L279" s="295" t="n"/>
      <c r="M279" s="348" t="n"/>
      <c r="N279" s="295" t="n"/>
      <c r="O279" s="293" t="n"/>
      <c r="P279" s="295" t="n"/>
      <c r="Q279" s="295" t="n"/>
      <c r="R279" s="290" t="n"/>
      <c r="S279" s="295" t="n"/>
      <c r="T279" s="295" t="n"/>
      <c r="U279" s="293" t="n"/>
      <c r="V279" s="295" t="n"/>
      <c r="W279" s="290" t="n"/>
      <c r="X279" s="295" t="n"/>
      <c r="Y279" s="295" t="n"/>
      <c r="Z279" s="295" t="n"/>
      <c r="AA279" s="295" t="n"/>
      <c r="AB279" s="293" t="n"/>
      <c r="AC279" s="295" t="n"/>
      <c r="AD279" s="295" t="n"/>
      <c r="AE279" s="294" t="n"/>
    </row>
    <row r="280">
      <c r="B280" s="279" t="n"/>
      <c r="C280" s="280" t="n"/>
      <c r="D280" s="295" t="n"/>
      <c r="E280" s="295" t="n"/>
      <c r="F280" s="295" t="n"/>
      <c r="G280" s="282" t="n"/>
      <c r="H280" s="295" t="n"/>
      <c r="I280" s="295" t="n"/>
      <c r="J280" s="282" t="n"/>
      <c r="K280" s="345" t="n"/>
      <c r="L280" s="295" t="n"/>
      <c r="M280" s="346" t="n"/>
      <c r="N280" s="295" t="n"/>
      <c r="O280" s="285" t="n"/>
      <c r="P280" s="295" t="n"/>
      <c r="Q280" s="295" t="n"/>
      <c r="R280" s="282" t="n"/>
      <c r="S280" s="295" t="n"/>
      <c r="T280" s="295" t="n"/>
      <c r="U280" s="285" t="n"/>
      <c r="V280" s="295" t="n"/>
      <c r="W280" s="282" t="n"/>
      <c r="X280" s="295" t="n"/>
      <c r="Y280" s="295" t="n"/>
      <c r="Z280" s="295" t="n"/>
      <c r="AA280" s="295" t="n"/>
      <c r="AB280" s="285" t="n"/>
      <c r="AC280" s="295" t="n"/>
      <c r="AD280" s="295" t="n"/>
      <c r="AE280" s="286" t="n"/>
    </row>
    <row r="281">
      <c r="B281" s="287" t="n"/>
      <c r="C281" s="288" t="n"/>
      <c r="D281" s="295" t="n"/>
      <c r="E281" s="295" t="n"/>
      <c r="F281" s="295" t="n"/>
      <c r="G281" s="290" t="n"/>
      <c r="H281" s="295" t="n"/>
      <c r="I281" s="295" t="n"/>
      <c r="J281" s="290" t="n"/>
      <c r="K281" s="347" t="n"/>
      <c r="L281" s="295" t="n"/>
      <c r="M281" s="348" t="n"/>
      <c r="N281" s="295" t="n"/>
      <c r="O281" s="293" t="n"/>
      <c r="P281" s="295" t="n"/>
      <c r="Q281" s="295" t="n"/>
      <c r="R281" s="290" t="n"/>
      <c r="S281" s="295" t="n"/>
      <c r="T281" s="295" t="n"/>
      <c r="U281" s="293" t="n"/>
      <c r="V281" s="295" t="n"/>
      <c r="W281" s="290" t="n"/>
      <c r="X281" s="295" t="n"/>
      <c r="Y281" s="295" t="n"/>
      <c r="Z281" s="295" t="n"/>
      <c r="AA281" s="295" t="n"/>
      <c r="AB281" s="293" t="n"/>
      <c r="AC281" s="295" t="n"/>
      <c r="AD281" s="295" t="n"/>
      <c r="AE281" s="294" t="n"/>
    </row>
    <row r="282">
      <c r="B282" s="279" t="n"/>
      <c r="C282" s="280" t="n"/>
      <c r="D282" s="295" t="n"/>
      <c r="E282" s="295" t="n"/>
      <c r="F282" s="295" t="n"/>
      <c r="G282" s="282" t="n"/>
      <c r="H282" s="295" t="n"/>
      <c r="I282" s="295" t="n"/>
      <c r="J282" s="282" t="n"/>
      <c r="K282" s="345" t="n"/>
      <c r="L282" s="295" t="n"/>
      <c r="M282" s="346" t="n"/>
      <c r="N282" s="295" t="n"/>
      <c r="O282" s="285" t="n"/>
      <c r="P282" s="295" t="n"/>
      <c r="Q282" s="295" t="n"/>
      <c r="R282" s="282" t="n"/>
      <c r="S282" s="295" t="n"/>
      <c r="T282" s="295" t="n"/>
      <c r="U282" s="285" t="n"/>
      <c r="V282" s="295" t="n"/>
      <c r="W282" s="282" t="n"/>
      <c r="X282" s="295" t="n"/>
      <c r="Y282" s="295" t="n"/>
      <c r="Z282" s="295" t="n"/>
      <c r="AA282" s="295" t="n"/>
      <c r="AB282" s="285" t="n"/>
      <c r="AC282" s="295" t="n"/>
      <c r="AD282" s="295" t="n"/>
      <c r="AE282" s="286" t="n"/>
    </row>
    <row r="283">
      <c r="B283" s="287" t="n"/>
      <c r="C283" s="288" t="n"/>
      <c r="D283" s="295" t="n"/>
      <c r="E283" s="295" t="n"/>
      <c r="F283" s="295" t="n"/>
      <c r="G283" s="290" t="n"/>
      <c r="H283" s="295" t="n"/>
      <c r="I283" s="295" t="n"/>
      <c r="J283" s="290" t="n"/>
      <c r="K283" s="347" t="n"/>
      <c r="L283" s="295" t="n"/>
      <c r="M283" s="348" t="n"/>
      <c r="N283" s="295" t="n"/>
      <c r="O283" s="293" t="n"/>
      <c r="P283" s="295" t="n"/>
      <c r="Q283" s="295" t="n"/>
      <c r="R283" s="290" t="n"/>
      <c r="S283" s="295" t="n"/>
      <c r="T283" s="295" t="n"/>
      <c r="U283" s="293" t="n"/>
      <c r="V283" s="295" t="n"/>
      <c r="W283" s="290" t="n"/>
      <c r="X283" s="295" t="n"/>
      <c r="Y283" s="295" t="n"/>
      <c r="Z283" s="295" t="n"/>
      <c r="AA283" s="295" t="n"/>
      <c r="AB283" s="293" t="n"/>
      <c r="AC283" s="295" t="n"/>
      <c r="AD283" s="295" t="n"/>
      <c r="AE283" s="294" t="n"/>
    </row>
    <row r="284">
      <c r="B284" s="279" t="n"/>
      <c r="C284" s="280" t="n"/>
      <c r="D284" s="295" t="n"/>
      <c r="E284" s="295" t="n"/>
      <c r="F284" s="295" t="n"/>
      <c r="G284" s="282" t="n"/>
      <c r="H284" s="295" t="n"/>
      <c r="I284" s="295" t="n"/>
      <c r="J284" s="282" t="n"/>
      <c r="K284" s="345" t="n"/>
      <c r="L284" s="295" t="n"/>
      <c r="M284" s="346" t="n"/>
      <c r="N284" s="295" t="n"/>
      <c r="O284" s="285" t="n"/>
      <c r="P284" s="295" t="n"/>
      <c r="Q284" s="295" t="n"/>
      <c r="R284" s="282" t="n"/>
      <c r="S284" s="295" t="n"/>
      <c r="T284" s="295" t="n"/>
      <c r="U284" s="285" t="n"/>
      <c r="V284" s="295" t="n"/>
      <c r="W284" s="282" t="n"/>
      <c r="X284" s="295" t="n"/>
      <c r="Y284" s="295" t="n"/>
      <c r="Z284" s="295" t="n"/>
      <c r="AA284" s="295" t="n"/>
      <c r="AB284" s="285" t="n"/>
      <c r="AC284" s="295" t="n"/>
      <c r="AD284" s="295" t="n"/>
      <c r="AE284" s="286" t="n"/>
    </row>
    <row r="285">
      <c r="B285" s="287" t="n"/>
      <c r="C285" s="288" t="n"/>
      <c r="D285" s="295" t="n"/>
      <c r="E285" s="295" t="n"/>
      <c r="F285" s="295" t="n"/>
      <c r="G285" s="290" t="n"/>
      <c r="H285" s="295" t="n"/>
      <c r="I285" s="295" t="n"/>
      <c r="J285" s="290" t="n"/>
      <c r="K285" s="347" t="n"/>
      <c r="L285" s="295" t="n"/>
      <c r="M285" s="348" t="n"/>
      <c r="N285" s="295" t="n"/>
      <c r="O285" s="293" t="n"/>
      <c r="P285" s="295" t="n"/>
      <c r="Q285" s="295" t="n"/>
      <c r="R285" s="290" t="n"/>
      <c r="S285" s="295" t="n"/>
      <c r="T285" s="295" t="n"/>
      <c r="U285" s="293" t="n"/>
      <c r="V285" s="295" t="n"/>
      <c r="W285" s="290" t="n"/>
      <c r="X285" s="295" t="n"/>
      <c r="Y285" s="295" t="n"/>
      <c r="Z285" s="295" t="n"/>
      <c r="AA285" s="295" t="n"/>
      <c r="AB285" s="293" t="n"/>
      <c r="AC285" s="295" t="n"/>
      <c r="AD285" s="295" t="n"/>
      <c r="AE285" s="294" t="n"/>
    </row>
    <row r="286">
      <c r="B286" s="279" t="n"/>
      <c r="C286" s="280" t="n"/>
      <c r="D286" s="295" t="n"/>
      <c r="E286" s="295" t="n"/>
      <c r="F286" s="295" t="n"/>
      <c r="G286" s="282" t="n"/>
      <c r="H286" s="295" t="n"/>
      <c r="I286" s="295" t="n"/>
      <c r="J286" s="282" t="n"/>
      <c r="K286" s="345" t="n"/>
      <c r="L286" s="295" t="n"/>
      <c r="M286" s="346" t="n"/>
      <c r="N286" s="295" t="n"/>
      <c r="O286" s="285" t="n"/>
      <c r="P286" s="295" t="n"/>
      <c r="Q286" s="295" t="n"/>
      <c r="R286" s="282" t="n"/>
      <c r="S286" s="295" t="n"/>
      <c r="T286" s="295" t="n"/>
      <c r="U286" s="285" t="n"/>
      <c r="V286" s="295" t="n"/>
      <c r="W286" s="282" t="n"/>
      <c r="X286" s="295" t="n"/>
      <c r="Y286" s="295" t="n"/>
      <c r="Z286" s="295" t="n"/>
      <c r="AA286" s="295" t="n"/>
      <c r="AB286" s="285" t="n"/>
      <c r="AC286" s="295" t="n"/>
      <c r="AD286" s="295" t="n"/>
      <c r="AE286" s="286" t="n"/>
    </row>
    <row r="287">
      <c r="B287" s="287" t="n"/>
      <c r="C287" s="288" t="n"/>
      <c r="D287" s="295" t="n"/>
      <c r="E287" s="295" t="n"/>
      <c r="F287" s="295" t="n"/>
      <c r="G287" s="290" t="n"/>
      <c r="H287" s="295" t="n"/>
      <c r="I287" s="295" t="n"/>
      <c r="J287" s="290" t="n"/>
      <c r="K287" s="347" t="n"/>
      <c r="L287" s="295" t="n"/>
      <c r="M287" s="348" t="n"/>
      <c r="N287" s="295" t="n"/>
      <c r="O287" s="293" t="n"/>
      <c r="P287" s="295" t="n"/>
      <c r="Q287" s="295" t="n"/>
      <c r="R287" s="290" t="n"/>
      <c r="S287" s="295" t="n"/>
      <c r="T287" s="295" t="n"/>
      <c r="U287" s="293" t="n"/>
      <c r="V287" s="295" t="n"/>
      <c r="W287" s="290" t="n"/>
      <c r="X287" s="295" t="n"/>
      <c r="Y287" s="295" t="n"/>
      <c r="Z287" s="295" t="n"/>
      <c r="AA287" s="295" t="n"/>
      <c r="AB287" s="293" t="n"/>
      <c r="AC287" s="295" t="n"/>
      <c r="AD287" s="295" t="n"/>
      <c r="AE287" s="294" t="n"/>
    </row>
    <row r="288">
      <c r="B288" s="279" t="n"/>
      <c r="C288" s="280" t="n"/>
      <c r="D288" s="295" t="n"/>
      <c r="E288" s="295" t="n"/>
      <c r="F288" s="295" t="n"/>
      <c r="G288" s="282" t="n"/>
      <c r="H288" s="295" t="n"/>
      <c r="I288" s="295" t="n"/>
      <c r="J288" s="282" t="n"/>
      <c r="K288" s="345" t="n"/>
      <c r="L288" s="295" t="n"/>
      <c r="M288" s="346" t="n"/>
      <c r="N288" s="295" t="n"/>
      <c r="O288" s="285" t="n"/>
      <c r="P288" s="295" t="n"/>
      <c r="Q288" s="295" t="n"/>
      <c r="R288" s="282" t="n"/>
      <c r="S288" s="295" t="n"/>
      <c r="T288" s="295" t="n"/>
      <c r="U288" s="285" t="n"/>
      <c r="V288" s="295" t="n"/>
      <c r="W288" s="282" t="n"/>
      <c r="X288" s="295" t="n"/>
      <c r="Y288" s="295" t="n"/>
      <c r="Z288" s="295" t="n"/>
      <c r="AA288" s="295" t="n"/>
      <c r="AB288" s="285" t="n"/>
      <c r="AC288" s="295" t="n"/>
      <c r="AD288" s="295" t="n"/>
      <c r="AE288" s="286" t="n"/>
    </row>
    <row r="289">
      <c r="B289" s="287" t="n"/>
      <c r="C289" s="288" t="n"/>
      <c r="D289" s="295" t="n"/>
      <c r="E289" s="295" t="n"/>
      <c r="F289" s="295" t="n"/>
      <c r="G289" s="290" t="n"/>
      <c r="H289" s="295" t="n"/>
      <c r="I289" s="295" t="n"/>
      <c r="J289" s="290" t="n"/>
      <c r="K289" s="347" t="n"/>
      <c r="L289" s="295" t="n"/>
      <c r="M289" s="348" t="n"/>
      <c r="N289" s="295" t="n"/>
      <c r="O289" s="293" t="n"/>
      <c r="P289" s="295" t="n"/>
      <c r="Q289" s="295" t="n"/>
      <c r="R289" s="290" t="n"/>
      <c r="S289" s="295" t="n"/>
      <c r="T289" s="295" t="n"/>
      <c r="U289" s="293" t="n"/>
      <c r="V289" s="295" t="n"/>
      <c r="W289" s="290" t="n"/>
      <c r="X289" s="295" t="n"/>
      <c r="Y289" s="295" t="n"/>
      <c r="Z289" s="295" t="n"/>
      <c r="AA289" s="295" t="n"/>
      <c r="AB289" s="293" t="n"/>
      <c r="AC289" s="295" t="n"/>
      <c r="AD289" s="295" t="n"/>
      <c r="AE289" s="294" t="n"/>
    </row>
    <row r="290">
      <c r="B290" s="279" t="n"/>
      <c r="C290" s="280" t="n"/>
      <c r="D290" s="295" t="n"/>
      <c r="E290" s="295" t="n"/>
      <c r="F290" s="295" t="n"/>
      <c r="G290" s="282" t="n"/>
      <c r="H290" s="295" t="n"/>
      <c r="I290" s="295" t="n"/>
      <c r="J290" s="282" t="n"/>
      <c r="K290" s="345" t="n"/>
      <c r="L290" s="295" t="n"/>
      <c r="M290" s="346" t="n"/>
      <c r="N290" s="295" t="n"/>
      <c r="O290" s="285" t="n"/>
      <c r="P290" s="295" t="n"/>
      <c r="Q290" s="295" t="n"/>
      <c r="R290" s="282" t="n"/>
      <c r="S290" s="295" t="n"/>
      <c r="T290" s="295" t="n"/>
      <c r="U290" s="285" t="n"/>
      <c r="V290" s="295" t="n"/>
      <c r="W290" s="282" t="n"/>
      <c r="X290" s="295" t="n"/>
      <c r="Y290" s="295" t="n"/>
      <c r="Z290" s="295" t="n"/>
      <c r="AA290" s="295" t="n"/>
      <c r="AB290" s="285" t="n"/>
      <c r="AC290" s="295" t="n"/>
      <c r="AD290" s="295" t="n"/>
      <c r="AE290" s="286" t="n"/>
    </row>
    <row r="291">
      <c r="B291" s="287" t="n"/>
      <c r="C291" s="288" t="n"/>
      <c r="D291" s="295" t="n"/>
      <c r="E291" s="295" t="n"/>
      <c r="F291" s="295" t="n"/>
      <c r="G291" s="290" t="n"/>
      <c r="H291" s="295" t="n"/>
      <c r="I291" s="295" t="n"/>
      <c r="J291" s="290" t="n"/>
      <c r="K291" s="347" t="n"/>
      <c r="L291" s="295" t="n"/>
      <c r="M291" s="348" t="n"/>
      <c r="N291" s="295" t="n"/>
      <c r="O291" s="293" t="n"/>
      <c r="P291" s="295" t="n"/>
      <c r="Q291" s="295" t="n"/>
      <c r="R291" s="290" t="n"/>
      <c r="S291" s="295" t="n"/>
      <c r="T291" s="295" t="n"/>
      <c r="U291" s="293" t="n"/>
      <c r="V291" s="295" t="n"/>
      <c r="W291" s="290" t="n"/>
      <c r="X291" s="295" t="n"/>
      <c r="Y291" s="295" t="n"/>
      <c r="Z291" s="295" t="n"/>
      <c r="AA291" s="295" t="n"/>
      <c r="AB291" s="293" t="n"/>
      <c r="AC291" s="295" t="n"/>
      <c r="AD291" s="295" t="n"/>
      <c r="AE291" s="294" t="n"/>
    </row>
    <row r="292">
      <c r="B292" s="279" t="n"/>
      <c r="C292" s="280" t="n"/>
      <c r="D292" s="295" t="n"/>
      <c r="E292" s="295" t="n"/>
      <c r="F292" s="295" t="n"/>
      <c r="G292" s="282" t="n"/>
      <c r="H292" s="295" t="n"/>
      <c r="I292" s="295" t="n"/>
      <c r="J292" s="282" t="n"/>
      <c r="K292" s="345" t="n"/>
      <c r="L292" s="295" t="n"/>
      <c r="M292" s="346" t="n"/>
      <c r="N292" s="295" t="n"/>
      <c r="O292" s="285" t="n"/>
      <c r="P292" s="295" t="n"/>
      <c r="Q292" s="295" t="n"/>
      <c r="R292" s="282" t="n"/>
      <c r="S292" s="295" t="n"/>
      <c r="T292" s="295" t="n"/>
      <c r="U292" s="285" t="n"/>
      <c r="V292" s="295" t="n"/>
      <c r="W292" s="282" t="n"/>
      <c r="X292" s="295" t="n"/>
      <c r="Y292" s="295" t="n"/>
      <c r="Z292" s="295" t="n"/>
      <c r="AA292" s="295" t="n"/>
      <c r="AB292" s="285" t="n"/>
      <c r="AC292" s="295" t="n"/>
      <c r="AD292" s="295" t="n"/>
      <c r="AE292" s="286" t="n"/>
    </row>
    <row r="293">
      <c r="B293" s="287" t="n"/>
      <c r="C293" s="288" t="n"/>
      <c r="D293" s="295" t="n"/>
      <c r="E293" s="295" t="n"/>
      <c r="F293" s="295" t="n"/>
      <c r="G293" s="290" t="n"/>
      <c r="H293" s="295" t="n"/>
      <c r="I293" s="295" t="n"/>
      <c r="J293" s="290" t="n"/>
      <c r="K293" s="347" t="n"/>
      <c r="L293" s="295" t="n"/>
      <c r="M293" s="348" t="n"/>
      <c r="N293" s="295" t="n"/>
      <c r="O293" s="293" t="n"/>
      <c r="P293" s="295" t="n"/>
      <c r="Q293" s="295" t="n"/>
      <c r="R293" s="290" t="n"/>
      <c r="S293" s="295" t="n"/>
      <c r="T293" s="295" t="n"/>
      <c r="U293" s="293" t="n"/>
      <c r="V293" s="295" t="n"/>
      <c r="W293" s="290" t="n"/>
      <c r="X293" s="295" t="n"/>
      <c r="Y293" s="295" t="n"/>
      <c r="Z293" s="295" t="n"/>
      <c r="AA293" s="295" t="n"/>
      <c r="AB293" s="293" t="n"/>
      <c r="AC293" s="295" t="n"/>
      <c r="AD293" s="295" t="n"/>
      <c r="AE293" s="294" t="n"/>
    </row>
    <row r="294">
      <c r="B294" s="279" t="n"/>
      <c r="C294" s="280" t="n"/>
      <c r="D294" s="295" t="n"/>
      <c r="E294" s="295" t="n"/>
      <c r="F294" s="295" t="n"/>
      <c r="G294" s="282" t="n"/>
      <c r="H294" s="295" t="n"/>
      <c r="I294" s="295" t="n"/>
      <c r="J294" s="282" t="n"/>
      <c r="K294" s="345" t="n"/>
      <c r="L294" s="295" t="n"/>
      <c r="M294" s="346" t="n"/>
      <c r="N294" s="295" t="n"/>
      <c r="O294" s="285" t="n"/>
      <c r="P294" s="295" t="n"/>
      <c r="Q294" s="295" t="n"/>
      <c r="R294" s="282" t="n"/>
      <c r="S294" s="295" t="n"/>
      <c r="T294" s="295" t="n"/>
      <c r="U294" s="285" t="n"/>
      <c r="V294" s="295" t="n"/>
      <c r="W294" s="282" t="n"/>
      <c r="X294" s="295" t="n"/>
      <c r="Y294" s="295" t="n"/>
      <c r="Z294" s="295" t="n"/>
      <c r="AA294" s="295" t="n"/>
      <c r="AB294" s="285" t="n"/>
      <c r="AC294" s="295" t="n"/>
      <c r="AD294" s="295" t="n"/>
      <c r="AE294" s="286" t="n"/>
    </row>
    <row r="295">
      <c r="B295" s="287" t="n"/>
      <c r="C295" s="288" t="n"/>
      <c r="D295" s="295" t="n"/>
      <c r="E295" s="295" t="n"/>
      <c r="F295" s="295" t="n"/>
      <c r="G295" s="290" t="n"/>
      <c r="H295" s="295" t="n"/>
      <c r="I295" s="295" t="n"/>
      <c r="J295" s="290" t="n"/>
      <c r="K295" s="347" t="n"/>
      <c r="L295" s="295" t="n"/>
      <c r="M295" s="348" t="n"/>
      <c r="N295" s="295" t="n"/>
      <c r="O295" s="293" t="n"/>
      <c r="P295" s="295" t="n"/>
      <c r="Q295" s="295" t="n"/>
      <c r="R295" s="290" t="n"/>
      <c r="S295" s="295" t="n"/>
      <c r="T295" s="295" t="n"/>
      <c r="U295" s="293" t="n"/>
      <c r="V295" s="295" t="n"/>
      <c r="W295" s="290" t="n"/>
      <c r="X295" s="295" t="n"/>
      <c r="Y295" s="295" t="n"/>
      <c r="Z295" s="295" t="n"/>
      <c r="AA295" s="295" t="n"/>
      <c r="AB295" s="293" t="n"/>
      <c r="AC295" s="295" t="n"/>
      <c r="AD295" s="295" t="n"/>
      <c r="AE295" s="294" t="n"/>
    </row>
    <row r="296">
      <c r="B296" s="279" t="n"/>
      <c r="C296" s="280" t="n"/>
      <c r="D296" s="295" t="n"/>
      <c r="E296" s="295" t="n"/>
      <c r="F296" s="295" t="n"/>
      <c r="G296" s="282" t="n"/>
      <c r="H296" s="295" t="n"/>
      <c r="I296" s="295" t="n"/>
      <c r="J296" s="282" t="n"/>
      <c r="K296" s="345" t="n"/>
      <c r="L296" s="295" t="n"/>
      <c r="M296" s="346" t="n"/>
      <c r="N296" s="295" t="n"/>
      <c r="O296" s="285" t="n"/>
      <c r="P296" s="295" t="n"/>
      <c r="Q296" s="295" t="n"/>
      <c r="R296" s="282" t="n"/>
      <c r="S296" s="295" t="n"/>
      <c r="T296" s="295" t="n"/>
      <c r="U296" s="285" t="n"/>
      <c r="V296" s="295" t="n"/>
      <c r="W296" s="282" t="n"/>
      <c r="X296" s="295" t="n"/>
      <c r="Y296" s="295" t="n"/>
      <c r="Z296" s="295" t="n"/>
      <c r="AA296" s="295" t="n"/>
      <c r="AB296" s="285" t="n"/>
      <c r="AC296" s="295" t="n"/>
      <c r="AD296" s="295" t="n"/>
      <c r="AE296" s="286" t="n"/>
    </row>
    <row r="297">
      <c r="B297" s="287" t="n"/>
      <c r="C297" s="288" t="n"/>
      <c r="D297" s="295" t="n"/>
      <c r="E297" s="295" t="n"/>
      <c r="F297" s="295" t="n"/>
      <c r="G297" s="290" t="n"/>
      <c r="H297" s="295" t="n"/>
      <c r="I297" s="295" t="n"/>
      <c r="J297" s="290" t="n"/>
      <c r="K297" s="347" t="n"/>
      <c r="L297" s="295" t="n"/>
      <c r="M297" s="348" t="n"/>
      <c r="N297" s="295" t="n"/>
      <c r="O297" s="293" t="n"/>
      <c r="P297" s="295" t="n"/>
      <c r="Q297" s="295" t="n"/>
      <c r="R297" s="290" t="n"/>
      <c r="S297" s="295" t="n"/>
      <c r="T297" s="295" t="n"/>
      <c r="U297" s="293" t="n"/>
      <c r="V297" s="295" t="n"/>
      <c r="W297" s="290" t="n"/>
      <c r="X297" s="295" t="n"/>
      <c r="Y297" s="295" t="n"/>
      <c r="Z297" s="295" t="n"/>
      <c r="AA297" s="295" t="n"/>
      <c r="AB297" s="293" t="n"/>
      <c r="AC297" s="295" t="n"/>
      <c r="AD297" s="295" t="n"/>
      <c r="AE297" s="294" t="n"/>
    </row>
    <row r="298">
      <c r="B298" s="279" t="n"/>
      <c r="C298" s="280" t="n"/>
      <c r="D298" s="295" t="n"/>
      <c r="E298" s="295" t="n"/>
      <c r="F298" s="295" t="n"/>
      <c r="G298" s="282" t="n"/>
      <c r="H298" s="295" t="n"/>
      <c r="I298" s="295" t="n"/>
      <c r="J298" s="282" t="n"/>
      <c r="K298" s="345" t="n"/>
      <c r="L298" s="295" t="n"/>
      <c r="M298" s="346" t="n"/>
      <c r="N298" s="295" t="n"/>
      <c r="O298" s="285" t="n"/>
      <c r="P298" s="295" t="n"/>
      <c r="Q298" s="295" t="n"/>
      <c r="R298" s="282" t="n"/>
      <c r="S298" s="295" t="n"/>
      <c r="T298" s="295" t="n"/>
      <c r="U298" s="285" t="n"/>
      <c r="V298" s="295" t="n"/>
      <c r="W298" s="282" t="n"/>
      <c r="X298" s="295" t="n"/>
      <c r="Y298" s="295" t="n"/>
      <c r="Z298" s="295" t="n"/>
      <c r="AA298" s="295" t="n"/>
      <c r="AB298" s="285" t="n"/>
      <c r="AC298" s="295" t="n"/>
      <c r="AD298" s="295" t="n"/>
      <c r="AE298" s="286" t="n"/>
    </row>
    <row r="299">
      <c r="B299" s="287" t="n"/>
      <c r="C299" s="288" t="n"/>
      <c r="D299" s="295" t="n"/>
      <c r="E299" s="295" t="n"/>
      <c r="F299" s="295" t="n"/>
      <c r="G299" s="290" t="n"/>
      <c r="H299" s="295" t="n"/>
      <c r="I299" s="295" t="n"/>
      <c r="J299" s="290" t="n"/>
      <c r="K299" s="347" t="n"/>
      <c r="L299" s="295" t="n"/>
      <c r="M299" s="348" t="n"/>
      <c r="N299" s="295" t="n"/>
      <c r="O299" s="293" t="n"/>
      <c r="P299" s="295" t="n"/>
      <c r="Q299" s="295" t="n"/>
      <c r="R299" s="290" t="n"/>
      <c r="S299" s="295" t="n"/>
      <c r="T299" s="295" t="n"/>
      <c r="U299" s="293" t="n"/>
      <c r="V299" s="295" t="n"/>
      <c r="W299" s="290" t="n"/>
      <c r="X299" s="295" t="n"/>
      <c r="Y299" s="295" t="n"/>
      <c r="Z299" s="295" t="n"/>
      <c r="AA299" s="295" t="n"/>
      <c r="AB299" s="293" t="n"/>
      <c r="AC299" s="295" t="n"/>
      <c r="AD299" s="295" t="n"/>
      <c r="AE299" s="294" t="n"/>
    </row>
    <row r="300">
      <c r="B300" s="279" t="n"/>
      <c r="C300" s="280" t="n"/>
      <c r="D300" s="295" t="n"/>
      <c r="E300" s="295" t="n"/>
      <c r="F300" s="295" t="n"/>
      <c r="G300" s="282" t="n"/>
      <c r="H300" s="295" t="n"/>
      <c r="I300" s="295" t="n"/>
      <c r="J300" s="282" t="n"/>
      <c r="K300" s="345" t="n"/>
      <c r="L300" s="295" t="n"/>
      <c r="M300" s="346" t="n"/>
      <c r="N300" s="295" t="n"/>
      <c r="O300" s="285" t="n"/>
      <c r="P300" s="295" t="n"/>
      <c r="Q300" s="295" t="n"/>
      <c r="R300" s="282" t="n"/>
      <c r="S300" s="295" t="n"/>
      <c r="T300" s="295" t="n"/>
      <c r="U300" s="285" t="n"/>
      <c r="V300" s="295" t="n"/>
      <c r="W300" s="282" t="n"/>
      <c r="X300" s="295" t="n"/>
      <c r="Y300" s="295" t="n"/>
      <c r="Z300" s="295" t="n"/>
      <c r="AA300" s="295" t="n"/>
      <c r="AB300" s="285" t="n"/>
      <c r="AC300" s="295" t="n"/>
      <c r="AD300" s="295" t="n"/>
      <c r="AE300" s="286" t="n"/>
    </row>
    <row r="301">
      <c r="B301" s="287" t="n"/>
      <c r="C301" s="288" t="n"/>
      <c r="D301" s="295" t="n"/>
      <c r="E301" s="295" t="n"/>
      <c r="F301" s="295" t="n"/>
      <c r="G301" s="290" t="n"/>
      <c r="H301" s="295" t="n"/>
      <c r="I301" s="295" t="n"/>
      <c r="J301" s="290" t="n"/>
      <c r="K301" s="347" t="n"/>
      <c r="L301" s="295" t="n"/>
      <c r="M301" s="348" t="n"/>
      <c r="N301" s="295" t="n"/>
      <c r="O301" s="293" t="n"/>
      <c r="P301" s="295" t="n"/>
      <c r="Q301" s="295" t="n"/>
      <c r="R301" s="290" t="n"/>
      <c r="S301" s="295" t="n"/>
      <c r="T301" s="295" t="n"/>
      <c r="U301" s="293" t="n"/>
      <c r="V301" s="295" t="n"/>
      <c r="W301" s="290" t="n"/>
      <c r="X301" s="295" t="n"/>
      <c r="Y301" s="295" t="n"/>
      <c r="Z301" s="295" t="n"/>
      <c r="AA301" s="295" t="n"/>
      <c r="AB301" s="293" t="n"/>
      <c r="AC301" s="295" t="n"/>
      <c r="AD301" s="295" t="n"/>
      <c r="AE301" s="294" t="n"/>
    </row>
    <row r="302">
      <c r="B302" s="279" t="n"/>
      <c r="C302" s="280" t="n"/>
      <c r="D302" s="295" t="n"/>
      <c r="E302" s="295" t="n"/>
      <c r="F302" s="295" t="n"/>
      <c r="G302" s="282" t="n"/>
      <c r="H302" s="295" t="n"/>
      <c r="I302" s="295" t="n"/>
      <c r="J302" s="282" t="n"/>
      <c r="K302" s="345" t="n"/>
      <c r="L302" s="295" t="n"/>
      <c r="M302" s="346" t="n"/>
      <c r="N302" s="295" t="n"/>
      <c r="O302" s="285" t="n"/>
      <c r="P302" s="295" t="n"/>
      <c r="Q302" s="295" t="n"/>
      <c r="R302" s="282" t="n"/>
      <c r="S302" s="295" t="n"/>
      <c r="T302" s="295" t="n"/>
      <c r="U302" s="285" t="n"/>
      <c r="V302" s="295" t="n"/>
      <c r="W302" s="282" t="n"/>
      <c r="X302" s="295" t="n"/>
      <c r="Y302" s="295" t="n"/>
      <c r="Z302" s="295" t="n"/>
      <c r="AA302" s="295" t="n"/>
      <c r="AB302" s="285" t="n"/>
      <c r="AC302" s="295" t="n"/>
      <c r="AD302" s="295" t="n"/>
      <c r="AE302" s="286" t="n"/>
    </row>
    <row r="303">
      <c r="B303" s="287" t="n"/>
      <c r="C303" s="288" t="n"/>
      <c r="D303" s="295" t="n"/>
      <c r="E303" s="295" t="n"/>
      <c r="F303" s="295" t="n"/>
      <c r="G303" s="290" t="n"/>
      <c r="H303" s="295" t="n"/>
      <c r="I303" s="295" t="n"/>
      <c r="J303" s="290" t="n"/>
      <c r="K303" s="347" t="n"/>
      <c r="L303" s="295" t="n"/>
      <c r="M303" s="348" t="n"/>
      <c r="N303" s="295" t="n"/>
      <c r="O303" s="293" t="n"/>
      <c r="P303" s="295" t="n"/>
      <c r="Q303" s="295" t="n"/>
      <c r="R303" s="290" t="n"/>
      <c r="S303" s="295" t="n"/>
      <c r="T303" s="295" t="n"/>
      <c r="U303" s="293" t="n"/>
      <c r="V303" s="295" t="n"/>
      <c r="W303" s="290" t="n"/>
      <c r="X303" s="295" t="n"/>
      <c r="Y303" s="295" t="n"/>
      <c r="Z303" s="295" t="n"/>
      <c r="AA303" s="295" t="n"/>
      <c r="AB303" s="293" t="n"/>
      <c r="AC303" s="295" t="n"/>
      <c r="AD303" s="295" t="n"/>
      <c r="AE303" s="294" t="n"/>
    </row>
    <row r="304">
      <c r="B304" s="279" t="n"/>
      <c r="C304" s="280" t="n"/>
      <c r="D304" s="295" t="n"/>
      <c r="E304" s="295" t="n"/>
      <c r="F304" s="295" t="n"/>
      <c r="G304" s="282" t="n"/>
      <c r="H304" s="295" t="n"/>
      <c r="I304" s="295" t="n"/>
      <c r="J304" s="282" t="n"/>
      <c r="K304" s="345" t="n"/>
      <c r="L304" s="295" t="n"/>
      <c r="M304" s="346" t="n"/>
      <c r="N304" s="295" t="n"/>
      <c r="O304" s="285" t="n"/>
      <c r="P304" s="295" t="n"/>
      <c r="Q304" s="295" t="n"/>
      <c r="R304" s="282" t="n"/>
      <c r="S304" s="295" t="n"/>
      <c r="T304" s="295" t="n"/>
      <c r="U304" s="285" t="n"/>
      <c r="V304" s="295" t="n"/>
      <c r="W304" s="282" t="n"/>
      <c r="X304" s="295" t="n"/>
      <c r="Y304" s="295" t="n"/>
      <c r="Z304" s="295" t="n"/>
      <c r="AA304" s="295" t="n"/>
      <c r="AB304" s="285" t="n"/>
      <c r="AC304" s="295" t="n"/>
      <c r="AD304" s="295" t="n"/>
      <c r="AE304" s="286" t="n"/>
    </row>
    <row r="305">
      <c r="B305" s="287" t="n"/>
      <c r="C305" s="288" t="n"/>
      <c r="D305" s="295" t="n"/>
      <c r="E305" s="295" t="n"/>
      <c r="F305" s="295" t="n"/>
      <c r="G305" s="290" t="n"/>
      <c r="H305" s="295" t="n"/>
      <c r="I305" s="295" t="n"/>
      <c r="J305" s="290" t="n"/>
      <c r="K305" s="347" t="n"/>
      <c r="L305" s="295" t="n"/>
      <c r="M305" s="348" t="n"/>
      <c r="N305" s="295" t="n"/>
      <c r="O305" s="293" t="n"/>
      <c r="P305" s="295" t="n"/>
      <c r="Q305" s="295" t="n"/>
      <c r="R305" s="290" t="n"/>
      <c r="S305" s="295" t="n"/>
      <c r="T305" s="295" t="n"/>
      <c r="U305" s="293" t="n"/>
      <c r="V305" s="295" t="n"/>
      <c r="W305" s="290" t="n"/>
      <c r="X305" s="295" t="n"/>
      <c r="Y305" s="295" t="n"/>
      <c r="Z305" s="295" t="n"/>
      <c r="AA305" s="295" t="n"/>
      <c r="AB305" s="293" t="n"/>
      <c r="AC305" s="295" t="n"/>
      <c r="AD305" s="295" t="n"/>
      <c r="AE305" s="294" t="n"/>
    </row>
    <row r="306">
      <c r="B306" s="279" t="n"/>
      <c r="C306" s="280" t="n"/>
      <c r="D306" s="295" t="n"/>
      <c r="E306" s="295" t="n"/>
      <c r="F306" s="295" t="n"/>
      <c r="G306" s="282" t="n"/>
      <c r="H306" s="295" t="n"/>
      <c r="I306" s="295" t="n"/>
      <c r="J306" s="282" t="n"/>
      <c r="K306" s="345" t="n"/>
      <c r="L306" s="295" t="n"/>
      <c r="M306" s="346" t="n"/>
      <c r="N306" s="295" t="n"/>
      <c r="O306" s="285" t="n"/>
      <c r="P306" s="295" t="n"/>
      <c r="Q306" s="295" t="n"/>
      <c r="R306" s="282" t="n"/>
      <c r="S306" s="295" t="n"/>
      <c r="T306" s="295" t="n"/>
      <c r="U306" s="285" t="n"/>
      <c r="V306" s="295" t="n"/>
      <c r="W306" s="282" t="n"/>
      <c r="X306" s="295" t="n"/>
      <c r="Y306" s="295" t="n"/>
      <c r="Z306" s="295" t="n"/>
      <c r="AA306" s="295" t="n"/>
      <c r="AB306" s="285" t="n"/>
      <c r="AC306" s="295" t="n"/>
      <c r="AD306" s="295" t="n"/>
      <c r="AE306" s="286" t="n"/>
    </row>
    <row r="307">
      <c r="B307" s="287" t="n"/>
      <c r="C307" s="288" t="n"/>
      <c r="D307" s="295" t="n"/>
      <c r="E307" s="295" t="n"/>
      <c r="F307" s="295" t="n"/>
      <c r="G307" s="290" t="n"/>
      <c r="H307" s="295" t="n"/>
      <c r="I307" s="295" t="n"/>
      <c r="J307" s="290" t="n"/>
      <c r="K307" s="347" t="n"/>
      <c r="L307" s="295" t="n"/>
      <c r="M307" s="348" t="n"/>
      <c r="N307" s="295" t="n"/>
      <c r="O307" s="293" t="n"/>
      <c r="P307" s="295" t="n"/>
      <c r="Q307" s="295" t="n"/>
      <c r="R307" s="290" t="n"/>
      <c r="S307" s="295" t="n"/>
      <c r="T307" s="295" t="n"/>
      <c r="U307" s="293" t="n"/>
      <c r="V307" s="295" t="n"/>
      <c r="W307" s="290" t="n"/>
      <c r="X307" s="295" t="n"/>
      <c r="Y307" s="295" t="n"/>
      <c r="Z307" s="295" t="n"/>
      <c r="AA307" s="295" t="n"/>
      <c r="AB307" s="293" t="n"/>
      <c r="AC307" s="295" t="n"/>
      <c r="AD307" s="295" t="n"/>
      <c r="AE307" s="294" t="n"/>
    </row>
    <row r="308">
      <c r="B308" s="279" t="n"/>
      <c r="C308" s="280" t="n"/>
      <c r="D308" s="295" t="n"/>
      <c r="E308" s="295" t="n"/>
      <c r="F308" s="295" t="n"/>
      <c r="G308" s="282" t="n"/>
      <c r="H308" s="295" t="n"/>
      <c r="I308" s="295" t="n"/>
      <c r="J308" s="282" t="n"/>
      <c r="K308" s="345" t="n"/>
      <c r="L308" s="295" t="n"/>
      <c r="M308" s="346" t="n"/>
      <c r="N308" s="295" t="n"/>
      <c r="O308" s="285" t="n"/>
      <c r="P308" s="295" t="n"/>
      <c r="Q308" s="295" t="n"/>
      <c r="R308" s="282" t="n"/>
      <c r="S308" s="295" t="n"/>
      <c r="T308" s="295" t="n"/>
      <c r="U308" s="285" t="n"/>
      <c r="V308" s="295" t="n"/>
      <c r="W308" s="282" t="n"/>
      <c r="X308" s="295" t="n"/>
      <c r="Y308" s="295" t="n"/>
      <c r="Z308" s="295" t="n"/>
      <c r="AA308" s="295" t="n"/>
      <c r="AB308" s="285" t="n"/>
      <c r="AC308" s="295" t="n"/>
      <c r="AD308" s="295" t="n"/>
      <c r="AE308" s="286" t="n"/>
    </row>
    <row r="309">
      <c r="B309" s="287" t="n"/>
      <c r="C309" s="288" t="n"/>
      <c r="D309" s="295" t="n"/>
      <c r="E309" s="295" t="n"/>
      <c r="F309" s="295" t="n"/>
      <c r="G309" s="290" t="n"/>
      <c r="H309" s="295" t="n"/>
      <c r="I309" s="295" t="n"/>
      <c r="J309" s="290" t="n"/>
      <c r="K309" s="347" t="n"/>
      <c r="L309" s="295" t="n"/>
      <c r="M309" s="348" t="n"/>
      <c r="N309" s="295" t="n"/>
      <c r="O309" s="293" t="n"/>
      <c r="P309" s="295" t="n"/>
      <c r="Q309" s="295" t="n"/>
      <c r="R309" s="290" t="n"/>
      <c r="S309" s="295" t="n"/>
      <c r="T309" s="295" t="n"/>
      <c r="U309" s="293" t="n"/>
      <c r="V309" s="295" t="n"/>
      <c r="W309" s="290" t="n"/>
      <c r="X309" s="295" t="n"/>
      <c r="Y309" s="295" t="n"/>
      <c r="Z309" s="295" t="n"/>
      <c r="AA309" s="295" t="n"/>
      <c r="AB309" s="293" t="n"/>
      <c r="AC309" s="295" t="n"/>
      <c r="AD309" s="295" t="n"/>
      <c r="AE309" s="294" t="n"/>
    </row>
    <row r="310">
      <c r="B310" s="279" t="n"/>
      <c r="C310" s="280" t="n"/>
      <c r="D310" s="295" t="n"/>
      <c r="E310" s="295" t="n"/>
      <c r="F310" s="295" t="n"/>
      <c r="G310" s="282" t="n"/>
      <c r="H310" s="295" t="n"/>
      <c r="I310" s="295" t="n"/>
      <c r="J310" s="282" t="n"/>
      <c r="K310" s="345" t="n"/>
      <c r="L310" s="295" t="n"/>
      <c r="M310" s="346" t="n"/>
      <c r="N310" s="295" t="n"/>
      <c r="O310" s="285" t="n"/>
      <c r="P310" s="295" t="n"/>
      <c r="Q310" s="295" t="n"/>
      <c r="R310" s="282" t="n"/>
      <c r="S310" s="295" t="n"/>
      <c r="T310" s="295" t="n"/>
      <c r="U310" s="285" t="n"/>
      <c r="V310" s="295" t="n"/>
      <c r="W310" s="282" t="n"/>
      <c r="X310" s="295" t="n"/>
      <c r="Y310" s="295" t="n"/>
      <c r="Z310" s="295" t="n"/>
      <c r="AA310" s="295" t="n"/>
      <c r="AB310" s="285" t="n"/>
      <c r="AC310" s="295" t="n"/>
      <c r="AD310" s="295" t="n"/>
      <c r="AE310" s="286" t="n"/>
    </row>
    <row r="311">
      <c r="B311" s="287" t="n"/>
      <c r="C311" s="288" t="n"/>
      <c r="D311" s="295" t="n"/>
      <c r="E311" s="295" t="n"/>
      <c r="F311" s="295" t="n"/>
      <c r="G311" s="290" t="n"/>
      <c r="H311" s="295" t="n"/>
      <c r="I311" s="295" t="n"/>
      <c r="J311" s="290" t="n"/>
      <c r="K311" s="347" t="n"/>
      <c r="L311" s="295" t="n"/>
      <c r="M311" s="348" t="n"/>
      <c r="N311" s="295" t="n"/>
      <c r="O311" s="293" t="n"/>
      <c r="P311" s="295" t="n"/>
      <c r="Q311" s="295" t="n"/>
      <c r="R311" s="290" t="n"/>
      <c r="S311" s="295" t="n"/>
      <c r="T311" s="295" t="n"/>
      <c r="U311" s="293" t="n"/>
      <c r="V311" s="295" t="n"/>
      <c r="W311" s="290" t="n"/>
      <c r="X311" s="295" t="n"/>
      <c r="Y311" s="295" t="n"/>
      <c r="Z311" s="295" t="n"/>
      <c r="AA311" s="295" t="n"/>
      <c r="AB311" s="293" t="n"/>
      <c r="AC311" s="295" t="n"/>
      <c r="AD311" s="295" t="n"/>
      <c r="AE311" s="294" t="n"/>
    </row>
    <row r="312">
      <c r="B312" s="279" t="n"/>
      <c r="C312" s="280" t="n"/>
      <c r="D312" s="295" t="n"/>
      <c r="E312" s="295" t="n"/>
      <c r="F312" s="295" t="n"/>
      <c r="G312" s="282" t="n"/>
      <c r="H312" s="295" t="n"/>
      <c r="I312" s="295" t="n"/>
      <c r="J312" s="282" t="n"/>
      <c r="K312" s="345" t="n"/>
      <c r="L312" s="295" t="n"/>
      <c r="M312" s="346" t="n"/>
      <c r="N312" s="295" t="n"/>
      <c r="O312" s="285" t="n"/>
      <c r="P312" s="295" t="n"/>
      <c r="Q312" s="295" t="n"/>
      <c r="R312" s="282" t="n"/>
      <c r="S312" s="295" t="n"/>
      <c r="T312" s="295" t="n"/>
      <c r="U312" s="285" t="n"/>
      <c r="V312" s="295" t="n"/>
      <c r="W312" s="282" t="n"/>
      <c r="X312" s="295" t="n"/>
      <c r="Y312" s="295" t="n"/>
      <c r="Z312" s="295" t="n"/>
      <c r="AA312" s="295" t="n"/>
      <c r="AB312" s="285" t="n"/>
      <c r="AC312" s="295" t="n"/>
      <c r="AD312" s="295" t="n"/>
      <c r="AE312" s="286" t="n"/>
    </row>
    <row r="313">
      <c r="B313" s="287" t="n"/>
      <c r="C313" s="288" t="n"/>
      <c r="D313" s="295" t="n"/>
      <c r="E313" s="295" t="n"/>
      <c r="F313" s="295" t="n"/>
      <c r="G313" s="290" t="n"/>
      <c r="H313" s="295" t="n"/>
      <c r="I313" s="295" t="n"/>
      <c r="J313" s="290" t="n"/>
      <c r="K313" s="347" t="n"/>
      <c r="L313" s="295" t="n"/>
      <c r="M313" s="348" t="n"/>
      <c r="N313" s="295" t="n"/>
      <c r="O313" s="293" t="n"/>
      <c r="P313" s="295" t="n"/>
      <c r="Q313" s="295" t="n"/>
      <c r="R313" s="290" t="n"/>
      <c r="S313" s="295" t="n"/>
      <c r="T313" s="295" t="n"/>
      <c r="U313" s="293" t="n"/>
      <c r="V313" s="295" t="n"/>
      <c r="W313" s="290" t="n"/>
      <c r="X313" s="295" t="n"/>
      <c r="Y313" s="295" t="n"/>
      <c r="Z313" s="295" t="n"/>
      <c r="AA313" s="295" t="n"/>
      <c r="AB313" s="293" t="n"/>
      <c r="AC313" s="295" t="n"/>
      <c r="AD313" s="295" t="n"/>
      <c r="AE313" s="294" t="n"/>
    </row>
    <row r="314">
      <c r="B314" s="279" t="n"/>
      <c r="C314" s="280" t="n"/>
      <c r="D314" s="295" t="n"/>
      <c r="E314" s="295" t="n"/>
      <c r="F314" s="295" t="n"/>
      <c r="G314" s="282" t="n"/>
      <c r="H314" s="295" t="n"/>
      <c r="I314" s="295" t="n"/>
      <c r="J314" s="282" t="n"/>
      <c r="K314" s="345" t="n"/>
      <c r="L314" s="295" t="n"/>
      <c r="M314" s="346" t="n"/>
      <c r="N314" s="295" t="n"/>
      <c r="O314" s="285" t="n"/>
      <c r="P314" s="295" t="n"/>
      <c r="Q314" s="295" t="n"/>
      <c r="R314" s="282" t="n"/>
      <c r="S314" s="295" t="n"/>
      <c r="T314" s="295" t="n"/>
      <c r="U314" s="285" t="n"/>
      <c r="V314" s="295" t="n"/>
      <c r="W314" s="282" t="n"/>
      <c r="X314" s="295" t="n"/>
      <c r="Y314" s="295" t="n"/>
      <c r="Z314" s="295" t="n"/>
      <c r="AA314" s="295" t="n"/>
      <c r="AB314" s="285" t="n"/>
      <c r="AC314" s="295" t="n"/>
      <c r="AD314" s="295" t="n"/>
      <c r="AE314" s="286" t="n"/>
    </row>
    <row r="315">
      <c r="B315" s="287" t="n"/>
      <c r="C315" s="288" t="n"/>
      <c r="D315" s="295" t="n"/>
      <c r="E315" s="295" t="n"/>
      <c r="F315" s="295" t="n"/>
      <c r="G315" s="290" t="n"/>
      <c r="H315" s="295" t="n"/>
      <c r="I315" s="295" t="n"/>
      <c r="J315" s="290" t="n"/>
      <c r="K315" s="347" t="n"/>
      <c r="L315" s="295" t="n"/>
      <c r="M315" s="348" t="n"/>
      <c r="N315" s="295" t="n"/>
      <c r="O315" s="293" t="n"/>
      <c r="P315" s="295" t="n"/>
      <c r="Q315" s="295" t="n"/>
      <c r="R315" s="290" t="n"/>
      <c r="S315" s="295" t="n"/>
      <c r="T315" s="295" t="n"/>
      <c r="U315" s="293" t="n"/>
      <c r="V315" s="295" t="n"/>
      <c r="W315" s="290" t="n"/>
      <c r="X315" s="295" t="n"/>
      <c r="Y315" s="295" t="n"/>
      <c r="Z315" s="295" t="n"/>
      <c r="AA315" s="295" t="n"/>
      <c r="AB315" s="293" t="n"/>
      <c r="AC315" s="295" t="n"/>
      <c r="AD315" s="295" t="n"/>
      <c r="AE315" s="294" t="n"/>
    </row>
    <row r="316">
      <c r="B316" s="279" t="n"/>
      <c r="C316" s="280" t="n"/>
      <c r="D316" s="295" t="n"/>
      <c r="E316" s="295" t="n"/>
      <c r="F316" s="295" t="n"/>
      <c r="G316" s="282" t="n"/>
      <c r="H316" s="295" t="n"/>
      <c r="I316" s="295" t="n"/>
      <c r="J316" s="282" t="n"/>
      <c r="K316" s="345" t="n"/>
      <c r="L316" s="295" t="n"/>
      <c r="M316" s="346" t="n"/>
      <c r="N316" s="295" t="n"/>
      <c r="O316" s="285" t="n"/>
      <c r="P316" s="295" t="n"/>
      <c r="Q316" s="295" t="n"/>
      <c r="R316" s="282" t="n"/>
      <c r="S316" s="295" t="n"/>
      <c r="T316" s="295" t="n"/>
      <c r="U316" s="285" t="n"/>
      <c r="V316" s="295" t="n"/>
      <c r="W316" s="282" t="n"/>
      <c r="X316" s="295" t="n"/>
      <c r="Y316" s="295" t="n"/>
      <c r="Z316" s="295" t="n"/>
      <c r="AA316" s="295" t="n"/>
      <c r="AB316" s="285" t="n"/>
      <c r="AC316" s="295" t="n"/>
      <c r="AD316" s="295" t="n"/>
      <c r="AE316" s="286" t="n"/>
    </row>
    <row r="317">
      <c r="B317" s="287" t="n"/>
      <c r="C317" s="288" t="n"/>
      <c r="D317" s="295" t="n"/>
      <c r="E317" s="295" t="n"/>
      <c r="F317" s="295" t="n"/>
      <c r="G317" s="290" t="n"/>
      <c r="H317" s="295" t="n"/>
      <c r="I317" s="295" t="n"/>
      <c r="J317" s="290" t="n"/>
      <c r="K317" s="347" t="n"/>
      <c r="L317" s="295" t="n"/>
      <c r="M317" s="348" t="n"/>
      <c r="N317" s="295" t="n"/>
      <c r="O317" s="293" t="n"/>
      <c r="P317" s="295" t="n"/>
      <c r="Q317" s="295" t="n"/>
      <c r="R317" s="290" t="n"/>
      <c r="S317" s="295" t="n"/>
      <c r="T317" s="295" t="n"/>
      <c r="U317" s="293" t="n"/>
      <c r="V317" s="295" t="n"/>
      <c r="W317" s="290" t="n"/>
      <c r="X317" s="295" t="n"/>
      <c r="Y317" s="295" t="n"/>
      <c r="Z317" s="295" t="n"/>
      <c r="AA317" s="295" t="n"/>
      <c r="AB317" s="293" t="n"/>
      <c r="AC317" s="295" t="n"/>
      <c r="AD317" s="295" t="n"/>
      <c r="AE317" s="294" t="n"/>
    </row>
    <row r="318">
      <c r="B318" s="279" t="n"/>
      <c r="C318" s="280" t="n"/>
      <c r="D318" s="295" t="n"/>
      <c r="E318" s="295" t="n"/>
      <c r="F318" s="295" t="n"/>
      <c r="G318" s="282" t="n"/>
      <c r="H318" s="295" t="n"/>
      <c r="I318" s="295" t="n"/>
      <c r="J318" s="282" t="n"/>
      <c r="K318" s="345" t="n"/>
      <c r="L318" s="295" t="n"/>
      <c r="M318" s="346" t="n"/>
      <c r="N318" s="295" t="n"/>
      <c r="O318" s="285" t="n"/>
      <c r="P318" s="295" t="n"/>
      <c r="Q318" s="295" t="n"/>
      <c r="R318" s="282" t="n"/>
      <c r="S318" s="295" t="n"/>
      <c r="T318" s="295" t="n"/>
      <c r="U318" s="285" t="n"/>
      <c r="V318" s="295" t="n"/>
      <c r="W318" s="282" t="n"/>
      <c r="X318" s="295" t="n"/>
      <c r="Y318" s="295" t="n"/>
      <c r="Z318" s="295" t="n"/>
      <c r="AA318" s="295" t="n"/>
      <c r="AB318" s="285" t="n"/>
      <c r="AC318" s="295" t="n"/>
      <c r="AD318" s="295" t="n"/>
      <c r="AE318" s="286" t="n"/>
    </row>
    <row r="319">
      <c r="B319" s="287" t="n"/>
      <c r="C319" s="288" t="n"/>
      <c r="D319" s="295" t="n"/>
      <c r="E319" s="295" t="n"/>
      <c r="F319" s="295" t="n"/>
      <c r="G319" s="290" t="n"/>
      <c r="H319" s="295" t="n"/>
      <c r="I319" s="295" t="n"/>
      <c r="J319" s="290" t="n"/>
      <c r="K319" s="347" t="n"/>
      <c r="L319" s="295" t="n"/>
      <c r="M319" s="348" t="n"/>
      <c r="N319" s="295" t="n"/>
      <c r="O319" s="293" t="n"/>
      <c r="P319" s="295" t="n"/>
      <c r="Q319" s="295" t="n"/>
      <c r="R319" s="290" t="n"/>
      <c r="S319" s="295" t="n"/>
      <c r="T319" s="295" t="n"/>
      <c r="U319" s="293" t="n"/>
      <c r="V319" s="295" t="n"/>
      <c r="W319" s="290" t="n"/>
      <c r="X319" s="295" t="n"/>
      <c r="Y319" s="295" t="n"/>
      <c r="Z319" s="295" t="n"/>
      <c r="AA319" s="295" t="n"/>
      <c r="AB319" s="293" t="n"/>
      <c r="AC319" s="295" t="n"/>
      <c r="AD319" s="295" t="n"/>
      <c r="AE319" s="294" t="n"/>
    </row>
    <row r="320">
      <c r="B320" s="279" t="n"/>
      <c r="C320" s="280" t="n"/>
      <c r="D320" s="295" t="n"/>
      <c r="E320" s="295" t="n"/>
      <c r="F320" s="295" t="n"/>
      <c r="G320" s="282" t="n"/>
      <c r="H320" s="295" t="n"/>
      <c r="I320" s="295" t="n"/>
      <c r="J320" s="282" t="n"/>
      <c r="K320" s="345" t="n"/>
      <c r="L320" s="295" t="n"/>
      <c r="M320" s="346" t="n"/>
      <c r="N320" s="295" t="n"/>
      <c r="O320" s="285" t="n"/>
      <c r="P320" s="295" t="n"/>
      <c r="Q320" s="295" t="n"/>
      <c r="R320" s="282" t="n"/>
      <c r="S320" s="295" t="n"/>
      <c r="T320" s="295" t="n"/>
      <c r="U320" s="285" t="n"/>
      <c r="V320" s="295" t="n"/>
      <c r="W320" s="282" t="n"/>
      <c r="X320" s="295" t="n"/>
      <c r="Y320" s="295" t="n"/>
      <c r="Z320" s="295" t="n"/>
      <c r="AA320" s="295" t="n"/>
      <c r="AB320" s="285" t="n"/>
      <c r="AC320" s="295" t="n"/>
      <c r="AD320" s="295" t="n"/>
      <c r="AE320" s="286" t="n"/>
    </row>
    <row r="321">
      <c r="B321" s="287" t="n"/>
      <c r="C321" s="288" t="n"/>
      <c r="D321" s="295" t="n"/>
      <c r="E321" s="295" t="n"/>
      <c r="F321" s="295" t="n"/>
      <c r="G321" s="290" t="n"/>
      <c r="H321" s="295" t="n"/>
      <c r="I321" s="295" t="n"/>
      <c r="J321" s="290" t="n"/>
      <c r="K321" s="347" t="n"/>
      <c r="L321" s="295" t="n"/>
      <c r="M321" s="348" t="n"/>
      <c r="N321" s="295" t="n"/>
      <c r="O321" s="293" t="n"/>
      <c r="P321" s="295" t="n"/>
      <c r="Q321" s="295" t="n"/>
      <c r="R321" s="290" t="n"/>
      <c r="S321" s="295" t="n"/>
      <c r="T321" s="295" t="n"/>
      <c r="U321" s="293" t="n"/>
      <c r="V321" s="295" t="n"/>
      <c r="W321" s="290" t="n"/>
      <c r="X321" s="295" t="n"/>
      <c r="Y321" s="295" t="n"/>
      <c r="Z321" s="295" t="n"/>
      <c r="AA321" s="295" t="n"/>
      <c r="AB321" s="293" t="n"/>
      <c r="AC321" s="295" t="n"/>
      <c r="AD321" s="295" t="n"/>
      <c r="AE321" s="294" t="n"/>
    </row>
    <row r="322">
      <c r="B322" s="279" t="n"/>
      <c r="C322" s="280" t="n"/>
      <c r="D322" s="295" t="n"/>
      <c r="E322" s="295" t="n"/>
      <c r="F322" s="295" t="n"/>
      <c r="G322" s="282" t="n"/>
      <c r="H322" s="295" t="n"/>
      <c r="I322" s="295" t="n"/>
      <c r="J322" s="282" t="n"/>
      <c r="K322" s="345" t="n"/>
      <c r="L322" s="295" t="n"/>
      <c r="M322" s="346" t="n"/>
      <c r="N322" s="295" t="n"/>
      <c r="O322" s="285" t="n"/>
      <c r="P322" s="295" t="n"/>
      <c r="Q322" s="295" t="n"/>
      <c r="R322" s="282" t="n"/>
      <c r="S322" s="295" t="n"/>
      <c r="T322" s="295" t="n"/>
      <c r="U322" s="285" t="n"/>
      <c r="V322" s="295" t="n"/>
      <c r="W322" s="282" t="n"/>
      <c r="X322" s="295" t="n"/>
      <c r="Y322" s="295" t="n"/>
      <c r="Z322" s="295" t="n"/>
      <c r="AA322" s="295" t="n"/>
      <c r="AB322" s="285" t="n"/>
      <c r="AC322" s="295" t="n"/>
      <c r="AD322" s="295" t="n"/>
      <c r="AE322" s="286" t="n"/>
    </row>
    <row r="323">
      <c r="B323" s="287" t="n"/>
      <c r="C323" s="288" t="n"/>
      <c r="D323" s="295" t="n"/>
      <c r="E323" s="295" t="n"/>
      <c r="F323" s="295" t="n"/>
      <c r="G323" s="290" t="n"/>
      <c r="H323" s="295" t="n"/>
      <c r="I323" s="295" t="n"/>
      <c r="J323" s="290" t="n"/>
      <c r="K323" s="347" t="n"/>
      <c r="L323" s="295" t="n"/>
      <c r="M323" s="348" t="n"/>
      <c r="N323" s="295" t="n"/>
      <c r="O323" s="293" t="n"/>
      <c r="P323" s="295" t="n"/>
      <c r="Q323" s="295" t="n"/>
      <c r="R323" s="290" t="n"/>
      <c r="S323" s="295" t="n"/>
      <c r="T323" s="295" t="n"/>
      <c r="U323" s="293" t="n"/>
      <c r="V323" s="295" t="n"/>
      <c r="W323" s="290" t="n"/>
      <c r="X323" s="295" t="n"/>
      <c r="Y323" s="295" t="n"/>
      <c r="Z323" s="295" t="n"/>
      <c r="AA323" s="295" t="n"/>
      <c r="AB323" s="293" t="n"/>
      <c r="AC323" s="295" t="n"/>
      <c r="AD323" s="295" t="n"/>
      <c r="AE323" s="294" t="n"/>
    </row>
    <row r="324">
      <c r="B324" s="279" t="n"/>
      <c r="C324" s="280" t="n"/>
      <c r="D324" s="295" t="n"/>
      <c r="E324" s="295" t="n"/>
      <c r="F324" s="295" t="n"/>
      <c r="G324" s="282" t="n"/>
      <c r="H324" s="295" t="n"/>
      <c r="I324" s="295" t="n"/>
      <c r="J324" s="282" t="n"/>
      <c r="K324" s="345" t="n"/>
      <c r="L324" s="295" t="n"/>
      <c r="M324" s="346" t="n"/>
      <c r="N324" s="295" t="n"/>
      <c r="O324" s="285" t="n"/>
      <c r="P324" s="295" t="n"/>
      <c r="Q324" s="295" t="n"/>
      <c r="R324" s="282" t="n"/>
      <c r="S324" s="295" t="n"/>
      <c r="T324" s="295" t="n"/>
      <c r="U324" s="285" t="n"/>
      <c r="V324" s="295" t="n"/>
      <c r="W324" s="282" t="n"/>
      <c r="X324" s="295" t="n"/>
      <c r="Y324" s="295" t="n"/>
      <c r="Z324" s="295" t="n"/>
      <c r="AA324" s="295" t="n"/>
      <c r="AB324" s="285" t="n"/>
      <c r="AC324" s="295" t="n"/>
      <c r="AD324" s="295" t="n"/>
      <c r="AE324" s="286" t="n"/>
    </row>
    <row r="325">
      <c r="B325" s="287" t="n"/>
      <c r="C325" s="288" t="n"/>
      <c r="D325" s="295" t="n"/>
      <c r="E325" s="295" t="n"/>
      <c r="F325" s="295" t="n"/>
      <c r="G325" s="290" t="n"/>
      <c r="H325" s="295" t="n"/>
      <c r="I325" s="295" t="n"/>
      <c r="J325" s="290" t="n"/>
      <c r="K325" s="347" t="n"/>
      <c r="L325" s="295" t="n"/>
      <c r="M325" s="348" t="n"/>
      <c r="N325" s="295" t="n"/>
      <c r="O325" s="293" t="n"/>
      <c r="P325" s="295" t="n"/>
      <c r="Q325" s="295" t="n"/>
      <c r="R325" s="290" t="n"/>
      <c r="S325" s="295" t="n"/>
      <c r="T325" s="295" t="n"/>
      <c r="U325" s="293" t="n"/>
      <c r="V325" s="295" t="n"/>
      <c r="W325" s="290" t="n"/>
      <c r="X325" s="295" t="n"/>
      <c r="Y325" s="295" t="n"/>
      <c r="Z325" s="295" t="n"/>
      <c r="AA325" s="295" t="n"/>
      <c r="AB325" s="293" t="n"/>
      <c r="AC325" s="295" t="n"/>
      <c r="AD325" s="295" t="n"/>
      <c r="AE325" s="294" t="n"/>
    </row>
    <row r="326">
      <c r="B326" s="279" t="n"/>
      <c r="C326" s="280" t="n"/>
      <c r="D326" s="295" t="n"/>
      <c r="E326" s="295" t="n"/>
      <c r="F326" s="295" t="n"/>
      <c r="G326" s="282" t="n"/>
      <c r="H326" s="295" t="n"/>
      <c r="I326" s="295" t="n"/>
      <c r="J326" s="282" t="n"/>
      <c r="K326" s="345" t="n"/>
      <c r="L326" s="295" t="n"/>
      <c r="M326" s="346" t="n"/>
      <c r="N326" s="295" t="n"/>
      <c r="O326" s="285" t="n"/>
      <c r="P326" s="295" t="n"/>
      <c r="Q326" s="295" t="n"/>
      <c r="R326" s="282" t="n"/>
      <c r="S326" s="295" t="n"/>
      <c r="T326" s="295" t="n"/>
      <c r="U326" s="285" t="n"/>
      <c r="V326" s="295" t="n"/>
      <c r="W326" s="282" t="n"/>
      <c r="X326" s="295" t="n"/>
      <c r="Y326" s="295" t="n"/>
      <c r="Z326" s="295" t="n"/>
      <c r="AA326" s="295" t="n"/>
      <c r="AB326" s="285" t="n"/>
      <c r="AC326" s="295" t="n"/>
      <c r="AD326" s="295" t="n"/>
      <c r="AE326" s="286" t="n"/>
    </row>
    <row r="327">
      <c r="B327" s="287" t="n"/>
      <c r="C327" s="288" t="n"/>
      <c r="D327" s="295" t="n"/>
      <c r="E327" s="295" t="n"/>
      <c r="F327" s="295" t="n"/>
      <c r="G327" s="290" t="n"/>
      <c r="H327" s="295" t="n"/>
      <c r="I327" s="295" t="n"/>
      <c r="J327" s="290" t="n"/>
      <c r="K327" s="347" t="n"/>
      <c r="L327" s="295" t="n"/>
      <c r="M327" s="348" t="n"/>
      <c r="N327" s="295" t="n"/>
      <c r="O327" s="293" t="n"/>
      <c r="P327" s="295" t="n"/>
      <c r="Q327" s="295" t="n"/>
      <c r="R327" s="290" t="n"/>
      <c r="S327" s="295" t="n"/>
      <c r="T327" s="295" t="n"/>
      <c r="U327" s="293" t="n"/>
      <c r="V327" s="295" t="n"/>
      <c r="W327" s="290" t="n"/>
      <c r="X327" s="295" t="n"/>
      <c r="Y327" s="295" t="n"/>
      <c r="Z327" s="295" t="n"/>
      <c r="AA327" s="295" t="n"/>
      <c r="AB327" s="293" t="n"/>
      <c r="AC327" s="295" t="n"/>
      <c r="AD327" s="295" t="n"/>
      <c r="AE327" s="294" t="n"/>
    </row>
    <row r="328">
      <c r="B328" s="279" t="n"/>
      <c r="C328" s="280" t="n"/>
      <c r="D328" s="295" t="n"/>
      <c r="E328" s="295" t="n"/>
      <c r="F328" s="295" t="n"/>
      <c r="G328" s="282" t="n"/>
      <c r="H328" s="295" t="n"/>
      <c r="I328" s="295" t="n"/>
      <c r="J328" s="282" t="n"/>
      <c r="K328" s="345" t="n"/>
      <c r="L328" s="295" t="n"/>
      <c r="M328" s="346" t="n"/>
      <c r="N328" s="295" t="n"/>
      <c r="O328" s="285" t="n"/>
      <c r="P328" s="295" t="n"/>
      <c r="Q328" s="295" t="n"/>
      <c r="R328" s="282" t="n"/>
      <c r="S328" s="295" t="n"/>
      <c r="T328" s="295" t="n"/>
      <c r="U328" s="285" t="n"/>
      <c r="V328" s="295" t="n"/>
      <c r="W328" s="282" t="n"/>
      <c r="X328" s="295" t="n"/>
      <c r="Y328" s="295" t="n"/>
      <c r="Z328" s="295" t="n"/>
      <c r="AA328" s="295" t="n"/>
      <c r="AB328" s="285" t="n"/>
      <c r="AC328" s="295" t="n"/>
      <c r="AD328" s="295" t="n"/>
      <c r="AE328" s="286" t="n"/>
    </row>
    <row r="329">
      <c r="B329" s="287" t="n"/>
      <c r="C329" s="288" t="n"/>
      <c r="D329" s="295" t="n"/>
      <c r="E329" s="295" t="n"/>
      <c r="F329" s="295" t="n"/>
      <c r="G329" s="290" t="n"/>
      <c r="H329" s="295" t="n"/>
      <c r="I329" s="295" t="n"/>
      <c r="J329" s="290" t="n"/>
      <c r="K329" s="347" t="n"/>
      <c r="L329" s="295" t="n"/>
      <c r="M329" s="348" t="n"/>
      <c r="N329" s="295" t="n"/>
      <c r="O329" s="293" t="n"/>
      <c r="P329" s="295" t="n"/>
      <c r="Q329" s="295" t="n"/>
      <c r="R329" s="290" t="n"/>
      <c r="S329" s="295" t="n"/>
      <c r="T329" s="295" t="n"/>
      <c r="U329" s="293" t="n"/>
      <c r="V329" s="295" t="n"/>
      <c r="W329" s="290" t="n"/>
      <c r="X329" s="295" t="n"/>
      <c r="Y329" s="295" t="n"/>
      <c r="Z329" s="295" t="n"/>
      <c r="AA329" s="295" t="n"/>
      <c r="AB329" s="293" t="n"/>
      <c r="AC329" s="295" t="n"/>
      <c r="AD329" s="295" t="n"/>
      <c r="AE329" s="294" t="n"/>
    </row>
    <row r="330">
      <c r="B330" s="279" t="n"/>
      <c r="C330" s="280" t="n"/>
      <c r="D330" s="295" t="n"/>
      <c r="E330" s="295" t="n"/>
      <c r="F330" s="295" t="n"/>
      <c r="G330" s="282" t="n"/>
      <c r="H330" s="295" t="n"/>
      <c r="I330" s="295" t="n"/>
      <c r="J330" s="282" t="n"/>
      <c r="K330" s="345" t="n"/>
      <c r="L330" s="295" t="n"/>
      <c r="M330" s="346" t="n"/>
      <c r="N330" s="295" t="n"/>
      <c r="O330" s="285" t="n"/>
      <c r="P330" s="295" t="n"/>
      <c r="Q330" s="295" t="n"/>
      <c r="R330" s="282" t="n"/>
      <c r="S330" s="295" t="n"/>
      <c r="T330" s="295" t="n"/>
      <c r="U330" s="285" t="n"/>
      <c r="V330" s="295" t="n"/>
      <c r="W330" s="282" t="n"/>
      <c r="X330" s="295" t="n"/>
      <c r="Y330" s="295" t="n"/>
      <c r="Z330" s="295" t="n"/>
      <c r="AA330" s="295" t="n"/>
      <c r="AB330" s="285" t="n"/>
      <c r="AC330" s="295" t="n"/>
      <c r="AD330" s="295" t="n"/>
      <c r="AE330" s="286" t="n"/>
    </row>
    <row r="331">
      <c r="B331" s="287" t="n"/>
      <c r="C331" s="288" t="n"/>
      <c r="D331" s="295" t="n"/>
      <c r="E331" s="295" t="n"/>
      <c r="F331" s="295" t="n"/>
      <c r="G331" s="290" t="n"/>
      <c r="H331" s="295" t="n"/>
      <c r="I331" s="295" t="n"/>
      <c r="J331" s="290" t="n"/>
      <c r="K331" s="347" t="n"/>
      <c r="L331" s="295" t="n"/>
      <c r="M331" s="348" t="n"/>
      <c r="N331" s="295" t="n"/>
      <c r="O331" s="293" t="n"/>
      <c r="P331" s="295" t="n"/>
      <c r="Q331" s="295" t="n"/>
      <c r="R331" s="290" t="n"/>
      <c r="S331" s="295" t="n"/>
      <c r="T331" s="295" t="n"/>
      <c r="U331" s="293" t="n"/>
      <c r="V331" s="295" t="n"/>
      <c r="W331" s="290" t="n"/>
      <c r="X331" s="295" t="n"/>
      <c r="Y331" s="295" t="n"/>
      <c r="Z331" s="295" t="n"/>
      <c r="AA331" s="295" t="n"/>
      <c r="AB331" s="293" t="n"/>
      <c r="AC331" s="295" t="n"/>
      <c r="AD331" s="295" t="n"/>
      <c r="AE331" s="294" t="n"/>
    </row>
    <row r="332">
      <c r="B332" s="279" t="n"/>
      <c r="C332" s="280" t="n"/>
      <c r="D332" s="295" t="n"/>
      <c r="E332" s="295" t="n"/>
      <c r="F332" s="295" t="n"/>
      <c r="G332" s="282" t="n"/>
      <c r="H332" s="295" t="n"/>
      <c r="I332" s="295" t="n"/>
      <c r="J332" s="282" t="n"/>
      <c r="K332" s="345" t="n"/>
      <c r="L332" s="295" t="n"/>
      <c r="M332" s="346" t="n"/>
      <c r="N332" s="295" t="n"/>
      <c r="O332" s="285" t="n"/>
      <c r="P332" s="295" t="n"/>
      <c r="Q332" s="295" t="n"/>
      <c r="R332" s="282" t="n"/>
      <c r="S332" s="295" t="n"/>
      <c r="T332" s="295" t="n"/>
      <c r="U332" s="285" t="n"/>
      <c r="V332" s="295" t="n"/>
      <c r="W332" s="282" t="n"/>
      <c r="X332" s="295" t="n"/>
      <c r="Y332" s="295" t="n"/>
      <c r="Z332" s="295" t="n"/>
      <c r="AA332" s="295" t="n"/>
      <c r="AB332" s="285" t="n"/>
      <c r="AC332" s="295" t="n"/>
      <c r="AD332" s="295" t="n"/>
      <c r="AE332" s="286" t="n"/>
    </row>
    <row r="333">
      <c r="B333" s="287" t="n"/>
      <c r="C333" s="288" t="n"/>
      <c r="D333" s="295" t="n"/>
      <c r="E333" s="295" t="n"/>
      <c r="F333" s="295" t="n"/>
      <c r="G333" s="290" t="n"/>
      <c r="H333" s="295" t="n"/>
      <c r="I333" s="295" t="n"/>
      <c r="J333" s="290" t="n"/>
      <c r="K333" s="347" t="n"/>
      <c r="L333" s="295" t="n"/>
      <c r="M333" s="348" t="n"/>
      <c r="N333" s="295" t="n"/>
      <c r="O333" s="293" t="n"/>
      <c r="P333" s="295" t="n"/>
      <c r="Q333" s="295" t="n"/>
      <c r="R333" s="290" t="n"/>
      <c r="S333" s="295" t="n"/>
      <c r="T333" s="295" t="n"/>
      <c r="U333" s="293" t="n"/>
      <c r="V333" s="295" t="n"/>
      <c r="W333" s="290" t="n"/>
      <c r="X333" s="295" t="n"/>
      <c r="Y333" s="295" t="n"/>
      <c r="Z333" s="295" t="n"/>
      <c r="AA333" s="295" t="n"/>
      <c r="AB333" s="293" t="n"/>
      <c r="AC333" s="295" t="n"/>
      <c r="AD333" s="295" t="n"/>
      <c r="AE333" s="294" t="n"/>
    </row>
    <row r="334">
      <c r="B334" s="279" t="n"/>
      <c r="C334" s="280" t="n"/>
      <c r="D334" s="295" t="n"/>
      <c r="E334" s="295" t="n"/>
      <c r="F334" s="295" t="n"/>
      <c r="G334" s="282" t="n"/>
      <c r="H334" s="295" t="n"/>
      <c r="I334" s="295" t="n"/>
      <c r="J334" s="282" t="n"/>
      <c r="K334" s="345" t="n"/>
      <c r="L334" s="295" t="n"/>
      <c r="M334" s="346" t="n"/>
      <c r="N334" s="295" t="n"/>
      <c r="O334" s="285" t="n"/>
      <c r="P334" s="295" t="n"/>
      <c r="Q334" s="295" t="n"/>
      <c r="R334" s="282" t="n"/>
      <c r="S334" s="295" t="n"/>
      <c r="T334" s="295" t="n"/>
      <c r="U334" s="285" t="n"/>
      <c r="V334" s="295" t="n"/>
      <c r="W334" s="282" t="n"/>
      <c r="X334" s="295" t="n"/>
      <c r="Y334" s="295" t="n"/>
      <c r="Z334" s="295" t="n"/>
      <c r="AA334" s="295" t="n"/>
      <c r="AB334" s="285" t="n"/>
      <c r="AC334" s="295" t="n"/>
      <c r="AD334" s="295" t="n"/>
      <c r="AE334" s="286" t="n"/>
    </row>
    <row r="335">
      <c r="B335" s="287" t="n"/>
      <c r="C335" s="288" t="n"/>
      <c r="D335" s="295" t="n"/>
      <c r="E335" s="295" t="n"/>
      <c r="F335" s="295" t="n"/>
      <c r="G335" s="290" t="n"/>
      <c r="H335" s="295" t="n"/>
      <c r="I335" s="295" t="n"/>
      <c r="J335" s="290" t="n"/>
      <c r="K335" s="347" t="n"/>
      <c r="L335" s="295" t="n"/>
      <c r="M335" s="348" t="n"/>
      <c r="N335" s="295" t="n"/>
      <c r="O335" s="293" t="n"/>
      <c r="P335" s="295" t="n"/>
      <c r="Q335" s="295" t="n"/>
      <c r="R335" s="290" t="n"/>
      <c r="S335" s="295" t="n"/>
      <c r="T335" s="295" t="n"/>
      <c r="U335" s="293" t="n"/>
      <c r="V335" s="295" t="n"/>
      <c r="W335" s="290" t="n"/>
      <c r="X335" s="295" t="n"/>
      <c r="Y335" s="295" t="n"/>
      <c r="Z335" s="295" t="n"/>
      <c r="AA335" s="295" t="n"/>
      <c r="AB335" s="293" t="n"/>
      <c r="AC335" s="295" t="n"/>
      <c r="AD335" s="295" t="n"/>
      <c r="AE335" s="294" t="n"/>
    </row>
    <row r="336">
      <c r="B336" s="279" t="n"/>
      <c r="C336" s="280" t="n"/>
      <c r="D336" s="295" t="n"/>
      <c r="E336" s="295" t="n"/>
      <c r="F336" s="295" t="n"/>
      <c r="G336" s="282" t="n"/>
      <c r="H336" s="295" t="n"/>
      <c r="I336" s="295" t="n"/>
      <c r="J336" s="282" t="n"/>
      <c r="K336" s="345" t="n"/>
      <c r="L336" s="295" t="n"/>
      <c r="M336" s="346" t="n"/>
      <c r="N336" s="295" t="n"/>
      <c r="O336" s="285" t="n"/>
      <c r="P336" s="295" t="n"/>
      <c r="Q336" s="295" t="n"/>
      <c r="R336" s="282" t="n"/>
      <c r="S336" s="295" t="n"/>
      <c r="T336" s="295" t="n"/>
      <c r="U336" s="285" t="n"/>
      <c r="V336" s="295" t="n"/>
      <c r="W336" s="282" t="n"/>
      <c r="X336" s="295" t="n"/>
      <c r="Y336" s="295" t="n"/>
      <c r="Z336" s="295" t="n"/>
      <c r="AA336" s="295" t="n"/>
      <c r="AB336" s="285" t="n"/>
      <c r="AC336" s="295" t="n"/>
      <c r="AD336" s="295" t="n"/>
      <c r="AE336" s="286" t="n"/>
    </row>
    <row r="337">
      <c r="B337" s="287" t="n"/>
      <c r="C337" s="288" t="n"/>
      <c r="D337" s="295" t="n"/>
      <c r="E337" s="295" t="n"/>
      <c r="F337" s="295" t="n"/>
      <c r="G337" s="290" t="n"/>
      <c r="H337" s="295" t="n"/>
      <c r="I337" s="295" t="n"/>
      <c r="J337" s="290" t="n"/>
      <c r="K337" s="347" t="n"/>
      <c r="L337" s="295" t="n"/>
      <c r="M337" s="348" t="n"/>
      <c r="N337" s="295" t="n"/>
      <c r="O337" s="293" t="n"/>
      <c r="P337" s="295" t="n"/>
      <c r="Q337" s="295" t="n"/>
      <c r="R337" s="290" t="n"/>
      <c r="S337" s="295" t="n"/>
      <c r="T337" s="295" t="n"/>
      <c r="U337" s="293" t="n"/>
      <c r="V337" s="295" t="n"/>
      <c r="W337" s="290" t="n"/>
      <c r="X337" s="295" t="n"/>
      <c r="Y337" s="295" t="n"/>
      <c r="Z337" s="295" t="n"/>
      <c r="AA337" s="295" t="n"/>
      <c r="AB337" s="293" t="n"/>
      <c r="AC337" s="295" t="n"/>
      <c r="AD337" s="295" t="n"/>
      <c r="AE337" s="294" t="n"/>
    </row>
    <row r="338">
      <c r="B338" s="279" t="n"/>
      <c r="C338" s="280" t="n"/>
      <c r="D338" s="295" t="n"/>
      <c r="E338" s="295" t="n"/>
      <c r="F338" s="295" t="n"/>
      <c r="G338" s="282" t="n"/>
      <c r="H338" s="295" t="n"/>
      <c r="I338" s="295" t="n"/>
      <c r="J338" s="282" t="n"/>
      <c r="K338" s="345" t="n"/>
      <c r="L338" s="295" t="n"/>
      <c r="M338" s="346" t="n"/>
      <c r="N338" s="295" t="n"/>
      <c r="O338" s="285" t="n"/>
      <c r="P338" s="295" t="n"/>
      <c r="Q338" s="295" t="n"/>
      <c r="R338" s="282" t="n"/>
      <c r="S338" s="295" t="n"/>
      <c r="T338" s="295" t="n"/>
      <c r="U338" s="285" t="n"/>
      <c r="V338" s="295" t="n"/>
      <c r="W338" s="282" t="n"/>
      <c r="X338" s="295" t="n"/>
      <c r="Y338" s="295" t="n"/>
      <c r="Z338" s="295" t="n"/>
      <c r="AA338" s="295" t="n"/>
      <c r="AB338" s="285" t="n"/>
      <c r="AC338" s="295" t="n"/>
      <c r="AD338" s="295" t="n"/>
      <c r="AE338" s="286" t="n"/>
    </row>
    <row r="339">
      <c r="B339" s="287" t="n"/>
      <c r="C339" s="288" t="n"/>
      <c r="D339" s="295" t="n"/>
      <c r="E339" s="295" t="n"/>
      <c r="F339" s="295" t="n"/>
      <c r="G339" s="290" t="n"/>
      <c r="H339" s="295" t="n"/>
      <c r="I339" s="295" t="n"/>
      <c r="J339" s="290" t="n"/>
      <c r="K339" s="347" t="n"/>
      <c r="L339" s="295" t="n"/>
      <c r="M339" s="348" t="n"/>
      <c r="N339" s="295" t="n"/>
      <c r="O339" s="293" t="n"/>
      <c r="P339" s="295" t="n"/>
      <c r="Q339" s="295" t="n"/>
      <c r="R339" s="290" t="n"/>
      <c r="S339" s="295" t="n"/>
      <c r="T339" s="295" t="n"/>
      <c r="U339" s="293" t="n"/>
      <c r="V339" s="295" t="n"/>
      <c r="W339" s="290" t="n"/>
      <c r="X339" s="295" t="n"/>
      <c r="Y339" s="295" t="n"/>
      <c r="Z339" s="295" t="n"/>
      <c r="AA339" s="295" t="n"/>
      <c r="AB339" s="293" t="n"/>
      <c r="AC339" s="295" t="n"/>
      <c r="AD339" s="295" t="n"/>
      <c r="AE339" s="294" t="n"/>
    </row>
    <row r="340">
      <c r="B340" s="279" t="n"/>
      <c r="C340" s="280" t="n"/>
      <c r="D340" s="295" t="n"/>
      <c r="E340" s="295" t="n"/>
      <c r="F340" s="295" t="n"/>
      <c r="G340" s="282" t="n"/>
      <c r="H340" s="295" t="n"/>
      <c r="I340" s="295" t="n"/>
      <c r="J340" s="282" t="n"/>
      <c r="K340" s="345" t="n"/>
      <c r="L340" s="295" t="n"/>
      <c r="M340" s="346" t="n"/>
      <c r="N340" s="295" t="n"/>
      <c r="O340" s="285" t="n"/>
      <c r="P340" s="295" t="n"/>
      <c r="Q340" s="295" t="n"/>
      <c r="R340" s="282" t="n"/>
      <c r="S340" s="295" t="n"/>
      <c r="T340" s="295" t="n"/>
      <c r="U340" s="285" t="n"/>
      <c r="V340" s="295" t="n"/>
      <c r="W340" s="282" t="n"/>
      <c r="X340" s="295" t="n"/>
      <c r="Y340" s="295" t="n"/>
      <c r="Z340" s="295" t="n"/>
      <c r="AA340" s="295" t="n"/>
      <c r="AB340" s="285" t="n"/>
      <c r="AC340" s="295" t="n"/>
      <c r="AD340" s="295" t="n"/>
      <c r="AE340" s="286" t="n"/>
    </row>
    <row r="341">
      <c r="B341" s="287" t="n"/>
      <c r="C341" s="288" t="n"/>
      <c r="D341" s="295" t="n"/>
      <c r="E341" s="295" t="n"/>
      <c r="F341" s="295" t="n"/>
      <c r="G341" s="290" t="n"/>
      <c r="H341" s="295" t="n"/>
      <c r="I341" s="295" t="n"/>
      <c r="J341" s="290" t="n"/>
      <c r="K341" s="347" t="n"/>
      <c r="L341" s="295" t="n"/>
      <c r="M341" s="348" t="n"/>
      <c r="N341" s="295" t="n"/>
      <c r="O341" s="293" t="n"/>
      <c r="P341" s="295" t="n"/>
      <c r="Q341" s="295" t="n"/>
      <c r="R341" s="290" t="n"/>
      <c r="S341" s="295" t="n"/>
      <c r="T341" s="295" t="n"/>
      <c r="U341" s="293" t="n"/>
      <c r="V341" s="295" t="n"/>
      <c r="W341" s="290" t="n"/>
      <c r="X341" s="295" t="n"/>
      <c r="Y341" s="295" t="n"/>
      <c r="Z341" s="295" t="n"/>
      <c r="AA341" s="295" t="n"/>
      <c r="AB341" s="293" t="n"/>
      <c r="AC341" s="295" t="n"/>
      <c r="AD341" s="295" t="n"/>
      <c r="AE341" s="294" t="n"/>
    </row>
    <row r="342">
      <c r="B342" s="279" t="n"/>
      <c r="C342" s="280" t="n"/>
      <c r="D342" s="295" t="n"/>
      <c r="E342" s="295" t="n"/>
      <c r="F342" s="295" t="n"/>
      <c r="G342" s="282" t="n"/>
      <c r="H342" s="295" t="n"/>
      <c r="I342" s="295" t="n"/>
      <c r="J342" s="282" t="n"/>
      <c r="K342" s="345" t="n"/>
      <c r="L342" s="295" t="n"/>
      <c r="M342" s="346" t="n"/>
      <c r="N342" s="295" t="n"/>
      <c r="O342" s="285" t="n"/>
      <c r="P342" s="295" t="n"/>
      <c r="Q342" s="295" t="n"/>
      <c r="R342" s="282" t="n"/>
      <c r="S342" s="295" t="n"/>
      <c r="T342" s="295" t="n"/>
      <c r="U342" s="285" t="n"/>
      <c r="V342" s="295" t="n"/>
      <c r="W342" s="282" t="n"/>
      <c r="X342" s="295" t="n"/>
      <c r="Y342" s="295" t="n"/>
      <c r="Z342" s="295" t="n"/>
      <c r="AA342" s="295" t="n"/>
      <c r="AB342" s="285" t="n"/>
      <c r="AC342" s="295" t="n"/>
      <c r="AD342" s="295" t="n"/>
      <c r="AE342" s="286" t="n"/>
    </row>
    <row r="343">
      <c r="B343" s="287" t="n"/>
      <c r="C343" s="288" t="n"/>
      <c r="D343" s="295" t="n"/>
      <c r="E343" s="295" t="n"/>
      <c r="F343" s="295" t="n"/>
      <c r="G343" s="290" t="n"/>
      <c r="H343" s="295" t="n"/>
      <c r="I343" s="295" t="n"/>
      <c r="J343" s="290" t="n"/>
      <c r="K343" s="347" t="n"/>
      <c r="L343" s="295" t="n"/>
      <c r="M343" s="348" t="n"/>
      <c r="N343" s="295" t="n"/>
      <c r="O343" s="293" t="n"/>
      <c r="P343" s="295" t="n"/>
      <c r="Q343" s="295" t="n"/>
      <c r="R343" s="290" t="n"/>
      <c r="S343" s="295" t="n"/>
      <c r="T343" s="295" t="n"/>
      <c r="U343" s="293" t="n"/>
      <c r="V343" s="295" t="n"/>
      <c r="W343" s="290" t="n"/>
      <c r="X343" s="295" t="n"/>
      <c r="Y343" s="295" t="n"/>
      <c r="Z343" s="295" t="n"/>
      <c r="AA343" s="295" t="n"/>
      <c r="AB343" s="293" t="n"/>
      <c r="AC343" s="295" t="n"/>
      <c r="AD343" s="295" t="n"/>
      <c r="AE343" s="294" t="n"/>
    </row>
    <row r="344">
      <c r="B344" s="279" t="n"/>
      <c r="C344" s="280" t="n"/>
      <c r="D344" s="295" t="n"/>
      <c r="E344" s="295" t="n"/>
      <c r="F344" s="295" t="n"/>
      <c r="G344" s="282" t="n"/>
      <c r="H344" s="295" t="n"/>
      <c r="I344" s="295" t="n"/>
      <c r="J344" s="282" t="n"/>
      <c r="K344" s="345" t="n"/>
      <c r="L344" s="295" t="n"/>
      <c r="M344" s="346" t="n"/>
      <c r="N344" s="295" t="n"/>
      <c r="O344" s="285" t="n"/>
      <c r="P344" s="295" t="n"/>
      <c r="Q344" s="295" t="n"/>
      <c r="R344" s="282" t="n"/>
      <c r="S344" s="295" t="n"/>
      <c r="T344" s="295" t="n"/>
      <c r="U344" s="285" t="n"/>
      <c r="V344" s="295" t="n"/>
      <c r="W344" s="282" t="n"/>
      <c r="X344" s="295" t="n"/>
      <c r="Y344" s="295" t="n"/>
      <c r="Z344" s="295" t="n"/>
      <c r="AA344" s="295" t="n"/>
      <c r="AB344" s="285" t="n"/>
      <c r="AC344" s="295" t="n"/>
      <c r="AD344" s="295" t="n"/>
      <c r="AE344" s="286" t="n"/>
    </row>
    <row r="345">
      <c r="B345" s="287" t="n"/>
      <c r="C345" s="288" t="n"/>
      <c r="D345" s="295" t="n"/>
      <c r="E345" s="295" t="n"/>
      <c r="F345" s="295" t="n"/>
      <c r="G345" s="290" t="n"/>
      <c r="H345" s="295" t="n"/>
      <c r="I345" s="295" t="n"/>
      <c r="J345" s="290" t="n"/>
      <c r="K345" s="347" t="n"/>
      <c r="L345" s="295" t="n"/>
      <c r="M345" s="348" t="n"/>
      <c r="N345" s="295" t="n"/>
      <c r="O345" s="293" t="n"/>
      <c r="P345" s="295" t="n"/>
      <c r="Q345" s="295" t="n"/>
      <c r="R345" s="290" t="n"/>
      <c r="S345" s="295" t="n"/>
      <c r="T345" s="295" t="n"/>
      <c r="U345" s="293" t="n"/>
      <c r="V345" s="295" t="n"/>
      <c r="W345" s="290" t="n"/>
      <c r="X345" s="295" t="n"/>
      <c r="Y345" s="295" t="n"/>
      <c r="Z345" s="295" t="n"/>
      <c r="AA345" s="295" t="n"/>
      <c r="AB345" s="293" t="n"/>
      <c r="AC345" s="295" t="n"/>
      <c r="AD345" s="295" t="n"/>
      <c r="AE345" s="294" t="n"/>
    </row>
    <row r="346">
      <c r="B346" s="279" t="n"/>
      <c r="C346" s="280" t="n"/>
      <c r="D346" s="295" t="n"/>
      <c r="E346" s="295" t="n"/>
      <c r="F346" s="295" t="n"/>
      <c r="G346" s="282" t="n"/>
      <c r="H346" s="295" t="n"/>
      <c r="I346" s="295" t="n"/>
      <c r="J346" s="282" t="n"/>
      <c r="K346" s="345" t="n"/>
      <c r="L346" s="295" t="n"/>
      <c r="M346" s="346" t="n"/>
      <c r="N346" s="295" t="n"/>
      <c r="O346" s="285" t="n"/>
      <c r="P346" s="295" t="n"/>
      <c r="Q346" s="295" t="n"/>
      <c r="R346" s="282" t="n"/>
      <c r="S346" s="295" t="n"/>
      <c r="T346" s="295" t="n"/>
      <c r="U346" s="285" t="n"/>
      <c r="V346" s="295" t="n"/>
      <c r="W346" s="282" t="n"/>
      <c r="X346" s="295" t="n"/>
      <c r="Y346" s="295" t="n"/>
      <c r="Z346" s="295" t="n"/>
      <c r="AA346" s="295" t="n"/>
      <c r="AB346" s="285" t="n"/>
      <c r="AC346" s="295" t="n"/>
      <c r="AD346" s="295" t="n"/>
      <c r="AE346" s="286" t="n"/>
    </row>
    <row r="347">
      <c r="B347" s="287" t="n"/>
      <c r="C347" s="288" t="n"/>
      <c r="D347" s="295" t="n"/>
      <c r="E347" s="295" t="n"/>
      <c r="F347" s="295" t="n"/>
      <c r="G347" s="290" t="n"/>
      <c r="H347" s="295" t="n"/>
      <c r="I347" s="295" t="n"/>
      <c r="J347" s="290" t="n"/>
      <c r="K347" s="347" t="n"/>
      <c r="L347" s="295" t="n"/>
      <c r="M347" s="348" t="n"/>
      <c r="N347" s="295" t="n"/>
      <c r="O347" s="293" t="n"/>
      <c r="P347" s="295" t="n"/>
      <c r="Q347" s="295" t="n"/>
      <c r="R347" s="290" t="n"/>
      <c r="S347" s="295" t="n"/>
      <c r="T347" s="295" t="n"/>
      <c r="U347" s="293" t="n"/>
      <c r="V347" s="295" t="n"/>
      <c r="W347" s="290" t="n"/>
      <c r="X347" s="295" t="n"/>
      <c r="Y347" s="295" t="n"/>
      <c r="Z347" s="295" t="n"/>
      <c r="AA347" s="295" t="n"/>
      <c r="AB347" s="293" t="n"/>
      <c r="AC347" s="295" t="n"/>
      <c r="AD347" s="295" t="n"/>
      <c r="AE347" s="294" t="n"/>
    </row>
    <row r="348">
      <c r="B348" s="279" t="n"/>
      <c r="C348" s="280" t="n"/>
      <c r="D348" s="295" t="n"/>
      <c r="E348" s="295" t="n"/>
      <c r="F348" s="295" t="n"/>
      <c r="G348" s="282" t="n"/>
      <c r="H348" s="295" t="n"/>
      <c r="I348" s="295" t="n"/>
      <c r="J348" s="282" t="n"/>
      <c r="K348" s="345" t="n"/>
      <c r="L348" s="295" t="n"/>
      <c r="M348" s="346" t="n"/>
      <c r="N348" s="295" t="n"/>
      <c r="O348" s="285" t="n"/>
      <c r="P348" s="295" t="n"/>
      <c r="Q348" s="295" t="n"/>
      <c r="R348" s="282" t="n"/>
      <c r="S348" s="295" t="n"/>
      <c r="T348" s="295" t="n"/>
      <c r="U348" s="285" t="n"/>
      <c r="V348" s="295" t="n"/>
      <c r="W348" s="282" t="n"/>
      <c r="X348" s="295" t="n"/>
      <c r="Y348" s="295" t="n"/>
      <c r="Z348" s="295" t="n"/>
      <c r="AA348" s="295" t="n"/>
      <c r="AB348" s="285" t="n"/>
      <c r="AC348" s="295" t="n"/>
      <c r="AD348" s="295" t="n"/>
      <c r="AE348" s="286" t="n"/>
    </row>
    <row r="349">
      <c r="B349" s="287" t="n"/>
      <c r="C349" s="288" t="n"/>
      <c r="D349" s="295" t="n"/>
      <c r="E349" s="295" t="n"/>
      <c r="F349" s="295" t="n"/>
      <c r="G349" s="290" t="n"/>
      <c r="H349" s="295" t="n"/>
      <c r="I349" s="295" t="n"/>
      <c r="J349" s="290" t="n"/>
      <c r="K349" s="347" t="n"/>
      <c r="L349" s="295" t="n"/>
      <c r="M349" s="348" t="n"/>
      <c r="N349" s="295" t="n"/>
      <c r="O349" s="293" t="n"/>
      <c r="P349" s="295" t="n"/>
      <c r="Q349" s="295" t="n"/>
      <c r="R349" s="290" t="n"/>
      <c r="S349" s="295" t="n"/>
      <c r="T349" s="295" t="n"/>
      <c r="U349" s="293" t="n"/>
      <c r="V349" s="295" t="n"/>
      <c r="W349" s="290" t="n"/>
      <c r="X349" s="295" t="n"/>
      <c r="Y349" s="295" t="n"/>
      <c r="Z349" s="295" t="n"/>
      <c r="AA349" s="295" t="n"/>
      <c r="AB349" s="293" t="n"/>
      <c r="AC349" s="295" t="n"/>
      <c r="AD349" s="295" t="n"/>
      <c r="AE349" s="294" t="n"/>
    </row>
    <row r="350">
      <c r="B350" s="279" t="n"/>
      <c r="C350" s="280" t="n"/>
      <c r="D350" s="295" t="n"/>
      <c r="E350" s="295" t="n"/>
      <c r="F350" s="295" t="n"/>
      <c r="G350" s="282" t="n"/>
      <c r="H350" s="295" t="n"/>
      <c r="I350" s="295" t="n"/>
      <c r="J350" s="282" t="n"/>
      <c r="K350" s="345" t="n"/>
      <c r="L350" s="295" t="n"/>
      <c r="M350" s="346" t="n"/>
      <c r="N350" s="295" t="n"/>
      <c r="O350" s="285" t="n"/>
      <c r="P350" s="295" t="n"/>
      <c r="Q350" s="295" t="n"/>
      <c r="R350" s="282" t="n"/>
      <c r="S350" s="295" t="n"/>
      <c r="T350" s="295" t="n"/>
      <c r="U350" s="285" t="n"/>
      <c r="V350" s="295" t="n"/>
      <c r="W350" s="282" t="n"/>
      <c r="X350" s="295" t="n"/>
      <c r="Y350" s="295" t="n"/>
      <c r="Z350" s="295" t="n"/>
      <c r="AA350" s="295" t="n"/>
      <c r="AB350" s="285" t="n"/>
      <c r="AC350" s="295" t="n"/>
      <c r="AD350" s="295" t="n"/>
      <c r="AE350" s="286" t="n"/>
    </row>
    <row r="351">
      <c r="B351" s="287" t="n"/>
      <c r="C351" s="288" t="n"/>
      <c r="D351" s="295" t="n"/>
      <c r="E351" s="295" t="n"/>
      <c r="F351" s="295" t="n"/>
      <c r="G351" s="290" t="n"/>
      <c r="H351" s="295" t="n"/>
      <c r="I351" s="295" t="n"/>
      <c r="J351" s="290" t="n"/>
      <c r="K351" s="347" t="n"/>
      <c r="L351" s="295" t="n"/>
      <c r="M351" s="348" t="n"/>
      <c r="N351" s="295" t="n"/>
      <c r="O351" s="293" t="n"/>
      <c r="P351" s="295" t="n"/>
      <c r="Q351" s="295" t="n"/>
      <c r="R351" s="290" t="n"/>
      <c r="S351" s="295" t="n"/>
      <c r="T351" s="295" t="n"/>
      <c r="U351" s="293" t="n"/>
      <c r="V351" s="295" t="n"/>
      <c r="W351" s="290" t="n"/>
      <c r="X351" s="295" t="n"/>
      <c r="Y351" s="295" t="n"/>
      <c r="Z351" s="295" t="n"/>
      <c r="AA351" s="295" t="n"/>
      <c r="AB351" s="293" t="n"/>
      <c r="AC351" s="295" t="n"/>
      <c r="AD351" s="295" t="n"/>
      <c r="AE351" s="294" t="n"/>
    </row>
    <row r="352">
      <c r="B352" s="279" t="n"/>
      <c r="C352" s="280" t="n"/>
      <c r="D352" s="295" t="n"/>
      <c r="E352" s="295" t="n"/>
      <c r="F352" s="295" t="n"/>
      <c r="G352" s="282" t="n"/>
      <c r="H352" s="295" t="n"/>
      <c r="I352" s="295" t="n"/>
      <c r="J352" s="282" t="n"/>
      <c r="K352" s="345" t="n"/>
      <c r="L352" s="295" t="n"/>
      <c r="M352" s="346" t="n"/>
      <c r="N352" s="295" t="n"/>
      <c r="O352" s="285" t="n"/>
      <c r="P352" s="295" t="n"/>
      <c r="Q352" s="295" t="n"/>
      <c r="R352" s="282" t="n"/>
      <c r="S352" s="295" t="n"/>
      <c r="T352" s="295" t="n"/>
      <c r="U352" s="285" t="n"/>
      <c r="V352" s="295" t="n"/>
      <c r="W352" s="282" t="n"/>
      <c r="X352" s="295" t="n"/>
      <c r="Y352" s="295" t="n"/>
      <c r="Z352" s="295" t="n"/>
      <c r="AA352" s="295" t="n"/>
      <c r="AB352" s="285" t="n"/>
      <c r="AC352" s="295" t="n"/>
      <c r="AD352" s="295" t="n"/>
      <c r="AE352" s="286" t="n"/>
    </row>
    <row r="353">
      <c r="B353" s="287" t="n"/>
      <c r="C353" s="288" t="n"/>
      <c r="D353" s="295" t="n"/>
      <c r="E353" s="295" t="n"/>
      <c r="F353" s="295" t="n"/>
      <c r="G353" s="290" t="n"/>
      <c r="H353" s="295" t="n"/>
      <c r="I353" s="295" t="n"/>
      <c r="J353" s="290" t="n"/>
      <c r="K353" s="347" t="n"/>
      <c r="L353" s="295" t="n"/>
      <c r="M353" s="348" t="n"/>
      <c r="N353" s="295" t="n"/>
      <c r="O353" s="293" t="n"/>
      <c r="P353" s="295" t="n"/>
      <c r="Q353" s="295" t="n"/>
      <c r="R353" s="290" t="n"/>
      <c r="S353" s="295" t="n"/>
      <c r="T353" s="295" t="n"/>
      <c r="U353" s="293" t="n"/>
      <c r="V353" s="295" t="n"/>
      <c r="W353" s="290" t="n"/>
      <c r="X353" s="295" t="n"/>
      <c r="Y353" s="295" t="n"/>
      <c r="Z353" s="295" t="n"/>
      <c r="AA353" s="295" t="n"/>
      <c r="AB353" s="293" t="n"/>
      <c r="AC353" s="295" t="n"/>
      <c r="AD353" s="295" t="n"/>
      <c r="AE353" s="294" t="n"/>
    </row>
    <row r="354">
      <c r="B354" s="279" t="n"/>
      <c r="C354" s="280" t="n"/>
      <c r="D354" s="295" t="n"/>
      <c r="E354" s="295" t="n"/>
      <c r="F354" s="295" t="n"/>
      <c r="G354" s="282" t="n"/>
      <c r="H354" s="295" t="n"/>
      <c r="I354" s="295" t="n"/>
      <c r="J354" s="282" t="n"/>
      <c r="K354" s="345" t="n"/>
      <c r="L354" s="295" t="n"/>
      <c r="M354" s="346" t="n"/>
      <c r="N354" s="295" t="n"/>
      <c r="O354" s="285" t="n"/>
      <c r="P354" s="295" t="n"/>
      <c r="Q354" s="295" t="n"/>
      <c r="R354" s="282" t="n"/>
      <c r="S354" s="295" t="n"/>
      <c r="T354" s="295" t="n"/>
      <c r="U354" s="285" t="n"/>
      <c r="V354" s="295" t="n"/>
      <c r="W354" s="282" t="n"/>
      <c r="X354" s="295" t="n"/>
      <c r="Y354" s="295" t="n"/>
      <c r="Z354" s="295" t="n"/>
      <c r="AA354" s="295" t="n"/>
      <c r="AB354" s="285" t="n"/>
      <c r="AC354" s="295" t="n"/>
      <c r="AD354" s="295" t="n"/>
      <c r="AE354" s="286" t="n"/>
    </row>
    <row r="355">
      <c r="B355" s="287" t="n"/>
      <c r="C355" s="288" t="n"/>
      <c r="D355" s="295" t="n"/>
      <c r="E355" s="295" t="n"/>
      <c r="F355" s="295" t="n"/>
      <c r="G355" s="290" t="n"/>
      <c r="H355" s="295" t="n"/>
      <c r="I355" s="295" t="n"/>
      <c r="J355" s="290" t="n"/>
      <c r="K355" s="347" t="n"/>
      <c r="L355" s="295" t="n"/>
      <c r="M355" s="348" t="n"/>
      <c r="N355" s="295" t="n"/>
      <c r="O355" s="293" t="n"/>
      <c r="P355" s="295" t="n"/>
      <c r="Q355" s="295" t="n"/>
      <c r="R355" s="290" t="n"/>
      <c r="S355" s="295" t="n"/>
      <c r="T355" s="295" t="n"/>
      <c r="U355" s="293" t="n"/>
      <c r="V355" s="295" t="n"/>
      <c r="W355" s="290" t="n"/>
      <c r="X355" s="295" t="n"/>
      <c r="Y355" s="295" t="n"/>
      <c r="Z355" s="295" t="n"/>
      <c r="AA355" s="295" t="n"/>
      <c r="AB355" s="293" t="n"/>
      <c r="AC355" s="295" t="n"/>
      <c r="AD355" s="295" t="n"/>
      <c r="AE355" s="294" t="n"/>
    </row>
    <row r="356">
      <c r="B356" s="279" t="n"/>
      <c r="C356" s="280" t="n"/>
      <c r="D356" s="295" t="n"/>
      <c r="E356" s="295" t="n"/>
      <c r="F356" s="295" t="n"/>
      <c r="G356" s="282" t="n"/>
      <c r="H356" s="295" t="n"/>
      <c r="I356" s="295" t="n"/>
      <c r="J356" s="282" t="n"/>
      <c r="K356" s="345" t="n"/>
      <c r="L356" s="295" t="n"/>
      <c r="M356" s="346" t="n"/>
      <c r="N356" s="295" t="n"/>
      <c r="O356" s="285" t="n"/>
      <c r="P356" s="295" t="n"/>
      <c r="Q356" s="295" t="n"/>
      <c r="R356" s="282" t="n"/>
      <c r="S356" s="295" t="n"/>
      <c r="T356" s="295" t="n"/>
      <c r="U356" s="285" t="n"/>
      <c r="V356" s="295" t="n"/>
      <c r="W356" s="282" t="n"/>
      <c r="X356" s="295" t="n"/>
      <c r="Y356" s="295" t="n"/>
      <c r="Z356" s="295" t="n"/>
      <c r="AA356" s="295" t="n"/>
      <c r="AB356" s="285" t="n"/>
      <c r="AC356" s="295" t="n"/>
      <c r="AD356" s="295" t="n"/>
      <c r="AE356" s="286" t="n"/>
    </row>
    <row r="357">
      <c r="B357" s="287" t="n"/>
      <c r="C357" s="288" t="n"/>
      <c r="D357" s="295" t="n"/>
      <c r="E357" s="295" t="n"/>
      <c r="F357" s="295" t="n"/>
      <c r="G357" s="290" t="n"/>
      <c r="H357" s="295" t="n"/>
      <c r="I357" s="295" t="n"/>
      <c r="J357" s="290" t="n"/>
      <c r="K357" s="347" t="n"/>
      <c r="L357" s="295" t="n"/>
      <c r="M357" s="348" t="n"/>
      <c r="N357" s="295" t="n"/>
      <c r="O357" s="293" t="n"/>
      <c r="P357" s="295" t="n"/>
      <c r="Q357" s="295" t="n"/>
      <c r="R357" s="290" t="n"/>
      <c r="S357" s="295" t="n"/>
      <c r="T357" s="295" t="n"/>
      <c r="U357" s="293" t="n"/>
      <c r="V357" s="295" t="n"/>
      <c r="W357" s="290" t="n"/>
      <c r="X357" s="295" t="n"/>
      <c r="Y357" s="295" t="n"/>
      <c r="Z357" s="295" t="n"/>
      <c r="AA357" s="295" t="n"/>
      <c r="AB357" s="293" t="n"/>
      <c r="AC357" s="295" t="n"/>
      <c r="AD357" s="295" t="n"/>
      <c r="AE357" s="294" t="n"/>
    </row>
    <row r="358">
      <c r="B358" s="279" t="n"/>
      <c r="C358" s="280" t="n"/>
      <c r="D358" s="295" t="n"/>
      <c r="E358" s="295" t="n"/>
      <c r="F358" s="295" t="n"/>
      <c r="G358" s="282" t="n"/>
      <c r="H358" s="295" t="n"/>
      <c r="I358" s="295" t="n"/>
      <c r="J358" s="282" t="n"/>
      <c r="K358" s="345" t="n"/>
      <c r="L358" s="295" t="n"/>
      <c r="M358" s="346" t="n"/>
      <c r="N358" s="295" t="n"/>
      <c r="O358" s="285" t="n"/>
      <c r="P358" s="295" t="n"/>
      <c r="Q358" s="295" t="n"/>
      <c r="R358" s="282" t="n"/>
      <c r="S358" s="295" t="n"/>
      <c r="T358" s="295" t="n"/>
      <c r="U358" s="285" t="n"/>
      <c r="V358" s="295" t="n"/>
      <c r="W358" s="282" t="n"/>
      <c r="X358" s="295" t="n"/>
      <c r="Y358" s="295" t="n"/>
      <c r="Z358" s="295" t="n"/>
      <c r="AA358" s="295" t="n"/>
      <c r="AB358" s="285" t="n"/>
      <c r="AC358" s="295" t="n"/>
      <c r="AD358" s="295" t="n"/>
      <c r="AE358" s="286" t="n"/>
    </row>
    <row r="359">
      <c r="B359" s="287" t="n"/>
      <c r="C359" s="288" t="n"/>
      <c r="D359" s="295" t="n"/>
      <c r="E359" s="295" t="n"/>
      <c r="F359" s="295" t="n"/>
      <c r="G359" s="290" t="n"/>
      <c r="H359" s="295" t="n"/>
      <c r="I359" s="295" t="n"/>
      <c r="J359" s="290" t="n"/>
      <c r="K359" s="347" t="n"/>
      <c r="L359" s="295" t="n"/>
      <c r="M359" s="348" t="n"/>
      <c r="N359" s="295" t="n"/>
      <c r="O359" s="293" t="n"/>
      <c r="P359" s="295" t="n"/>
      <c r="Q359" s="295" t="n"/>
      <c r="R359" s="290" t="n"/>
      <c r="S359" s="295" t="n"/>
      <c r="T359" s="295" t="n"/>
      <c r="U359" s="293" t="n"/>
      <c r="V359" s="295" t="n"/>
      <c r="W359" s="290" t="n"/>
      <c r="X359" s="295" t="n"/>
      <c r="Y359" s="295" t="n"/>
      <c r="Z359" s="295" t="n"/>
      <c r="AA359" s="295" t="n"/>
      <c r="AB359" s="293" t="n"/>
      <c r="AC359" s="295" t="n"/>
      <c r="AD359" s="295" t="n"/>
      <c r="AE359" s="294" t="n"/>
    </row>
    <row r="360">
      <c r="B360" s="279" t="n"/>
      <c r="C360" s="280" t="n"/>
      <c r="D360" s="295" t="n"/>
      <c r="E360" s="295" t="n"/>
      <c r="F360" s="295" t="n"/>
      <c r="G360" s="282" t="n"/>
      <c r="H360" s="295" t="n"/>
      <c r="I360" s="295" t="n"/>
      <c r="J360" s="282" t="n"/>
      <c r="K360" s="345" t="n"/>
      <c r="L360" s="295" t="n"/>
      <c r="M360" s="346" t="n"/>
      <c r="N360" s="295" t="n"/>
      <c r="O360" s="285" t="n"/>
      <c r="P360" s="295" t="n"/>
      <c r="Q360" s="295" t="n"/>
      <c r="R360" s="282" t="n"/>
      <c r="S360" s="295" t="n"/>
      <c r="T360" s="295" t="n"/>
      <c r="U360" s="285" t="n"/>
      <c r="V360" s="295" t="n"/>
      <c r="W360" s="282" t="n"/>
      <c r="X360" s="295" t="n"/>
      <c r="Y360" s="295" t="n"/>
      <c r="Z360" s="295" t="n"/>
      <c r="AA360" s="295" t="n"/>
      <c r="AB360" s="285" t="n"/>
      <c r="AC360" s="295" t="n"/>
      <c r="AD360" s="295" t="n"/>
      <c r="AE360" s="286" t="n"/>
    </row>
    <row r="361">
      <c r="B361" s="287" t="n"/>
      <c r="C361" s="288" t="n"/>
      <c r="D361" s="295" t="n"/>
      <c r="E361" s="295" t="n"/>
      <c r="F361" s="295" t="n"/>
      <c r="G361" s="290" t="n"/>
      <c r="H361" s="295" t="n"/>
      <c r="I361" s="295" t="n"/>
      <c r="J361" s="290" t="n"/>
      <c r="K361" s="347" t="n"/>
      <c r="L361" s="295" t="n"/>
      <c r="M361" s="348" t="n"/>
      <c r="N361" s="295" t="n"/>
      <c r="O361" s="293" t="n"/>
      <c r="P361" s="295" t="n"/>
      <c r="Q361" s="295" t="n"/>
      <c r="R361" s="290" t="n"/>
      <c r="S361" s="295" t="n"/>
      <c r="T361" s="295" t="n"/>
      <c r="U361" s="293" t="n"/>
      <c r="V361" s="295" t="n"/>
      <c r="W361" s="290" t="n"/>
      <c r="X361" s="295" t="n"/>
      <c r="Y361" s="295" t="n"/>
      <c r="Z361" s="295" t="n"/>
      <c r="AA361" s="295" t="n"/>
      <c r="AB361" s="293" t="n"/>
      <c r="AC361" s="295" t="n"/>
      <c r="AD361" s="295" t="n"/>
      <c r="AE361" s="294" t="n"/>
    </row>
    <row r="362">
      <c r="B362" s="279" t="n"/>
      <c r="C362" s="280" t="n"/>
      <c r="D362" s="295" t="n"/>
      <c r="E362" s="295" t="n"/>
      <c r="F362" s="295" t="n"/>
      <c r="G362" s="282" t="n"/>
      <c r="H362" s="295" t="n"/>
      <c r="I362" s="295" t="n"/>
      <c r="J362" s="282" t="n"/>
      <c r="K362" s="345" t="n"/>
      <c r="L362" s="295" t="n"/>
      <c r="M362" s="346" t="n"/>
      <c r="N362" s="295" t="n"/>
      <c r="O362" s="285" t="n"/>
      <c r="P362" s="295" t="n"/>
      <c r="Q362" s="295" t="n"/>
      <c r="R362" s="282" t="n"/>
      <c r="S362" s="295" t="n"/>
      <c r="T362" s="295" t="n"/>
      <c r="U362" s="285" t="n"/>
      <c r="V362" s="295" t="n"/>
      <c r="W362" s="282" t="n"/>
      <c r="X362" s="295" t="n"/>
      <c r="Y362" s="295" t="n"/>
      <c r="Z362" s="295" t="n"/>
      <c r="AA362" s="295" t="n"/>
      <c r="AB362" s="285" t="n"/>
      <c r="AC362" s="295" t="n"/>
      <c r="AD362" s="295" t="n"/>
      <c r="AE362" s="286" t="n"/>
    </row>
    <row r="363">
      <c r="B363" s="287" t="n"/>
      <c r="C363" s="288" t="n"/>
      <c r="D363" s="295" t="n"/>
      <c r="E363" s="295" t="n"/>
      <c r="F363" s="295" t="n"/>
      <c r="G363" s="290" t="n"/>
      <c r="H363" s="295" t="n"/>
      <c r="I363" s="295" t="n"/>
      <c r="J363" s="290" t="n"/>
      <c r="K363" s="347" t="n"/>
      <c r="L363" s="295" t="n"/>
      <c r="M363" s="348" t="n"/>
      <c r="N363" s="295" t="n"/>
      <c r="O363" s="293" t="n"/>
      <c r="P363" s="295" t="n"/>
      <c r="Q363" s="295" t="n"/>
      <c r="R363" s="290" t="n"/>
      <c r="S363" s="295" t="n"/>
      <c r="T363" s="295" t="n"/>
      <c r="U363" s="293" t="n"/>
      <c r="V363" s="295" t="n"/>
      <c r="W363" s="290" t="n"/>
      <c r="X363" s="295" t="n"/>
      <c r="Y363" s="295" t="n"/>
      <c r="Z363" s="295" t="n"/>
      <c r="AA363" s="295" t="n"/>
      <c r="AB363" s="293" t="n"/>
      <c r="AC363" s="295" t="n"/>
      <c r="AD363" s="295" t="n"/>
      <c r="AE363" s="294" t="n"/>
    </row>
    <row r="364">
      <c r="B364" s="279" t="n"/>
      <c r="C364" s="280" t="n"/>
      <c r="D364" s="295" t="n"/>
      <c r="E364" s="295" t="n"/>
      <c r="F364" s="295" t="n"/>
      <c r="G364" s="282" t="n"/>
      <c r="H364" s="295" t="n"/>
      <c r="I364" s="295" t="n"/>
      <c r="J364" s="282" t="n"/>
      <c r="K364" s="345" t="n"/>
      <c r="L364" s="295" t="n"/>
      <c r="M364" s="346" t="n"/>
      <c r="N364" s="295" t="n"/>
      <c r="O364" s="285" t="n"/>
      <c r="P364" s="295" t="n"/>
      <c r="Q364" s="295" t="n"/>
      <c r="R364" s="282" t="n"/>
      <c r="S364" s="295" t="n"/>
      <c r="T364" s="295" t="n"/>
      <c r="U364" s="285" t="n"/>
      <c r="V364" s="295" t="n"/>
      <c r="W364" s="282" t="n"/>
      <c r="X364" s="295" t="n"/>
      <c r="Y364" s="295" t="n"/>
      <c r="Z364" s="295" t="n"/>
      <c r="AA364" s="295" t="n"/>
      <c r="AB364" s="285" t="n"/>
      <c r="AC364" s="295" t="n"/>
      <c r="AD364" s="295" t="n"/>
      <c r="AE364" s="286" t="n"/>
    </row>
    <row r="365">
      <c r="B365" s="287" t="n"/>
      <c r="C365" s="288" t="n"/>
      <c r="D365" s="295" t="n"/>
      <c r="E365" s="295" t="n"/>
      <c r="F365" s="295" t="n"/>
      <c r="G365" s="290" t="n"/>
      <c r="H365" s="295" t="n"/>
      <c r="I365" s="295" t="n"/>
      <c r="J365" s="290" t="n"/>
      <c r="K365" s="347" t="n"/>
      <c r="L365" s="295" t="n"/>
      <c r="M365" s="348" t="n"/>
      <c r="N365" s="295" t="n"/>
      <c r="O365" s="293" t="n"/>
      <c r="P365" s="295" t="n"/>
      <c r="Q365" s="295" t="n"/>
      <c r="R365" s="290" t="n"/>
      <c r="S365" s="295" t="n"/>
      <c r="T365" s="295" t="n"/>
      <c r="U365" s="293" t="n"/>
      <c r="V365" s="295" t="n"/>
      <c r="W365" s="290" t="n"/>
      <c r="X365" s="295" t="n"/>
      <c r="Y365" s="295" t="n"/>
      <c r="Z365" s="295" t="n"/>
      <c r="AA365" s="295" t="n"/>
      <c r="AB365" s="293" t="n"/>
      <c r="AC365" s="295" t="n"/>
      <c r="AD365" s="295" t="n"/>
      <c r="AE365" s="294" t="n"/>
    </row>
    <row r="366">
      <c r="B366" s="279" t="n"/>
      <c r="C366" s="280" t="n"/>
      <c r="D366" s="295" t="n"/>
      <c r="E366" s="295" t="n"/>
      <c r="F366" s="295" t="n"/>
      <c r="G366" s="282" t="n"/>
      <c r="H366" s="295" t="n"/>
      <c r="I366" s="295" t="n"/>
      <c r="J366" s="282" t="n"/>
      <c r="K366" s="345" t="n"/>
      <c r="L366" s="295" t="n"/>
      <c r="M366" s="346" t="n"/>
      <c r="N366" s="295" t="n"/>
      <c r="O366" s="285" t="n"/>
      <c r="P366" s="295" t="n"/>
      <c r="Q366" s="295" t="n"/>
      <c r="R366" s="282" t="n"/>
      <c r="S366" s="295" t="n"/>
      <c r="T366" s="295" t="n"/>
      <c r="U366" s="285" t="n"/>
      <c r="V366" s="295" t="n"/>
      <c r="W366" s="282" t="n"/>
      <c r="X366" s="295" t="n"/>
      <c r="Y366" s="295" t="n"/>
      <c r="Z366" s="295" t="n"/>
      <c r="AA366" s="295" t="n"/>
      <c r="AB366" s="285" t="n"/>
      <c r="AC366" s="295" t="n"/>
      <c r="AD366" s="295" t="n"/>
      <c r="AE366" s="286" t="n"/>
    </row>
    <row r="367">
      <c r="B367" s="287" t="n"/>
      <c r="C367" s="288" t="n"/>
      <c r="D367" s="295" t="n"/>
      <c r="E367" s="295" t="n"/>
      <c r="F367" s="295" t="n"/>
      <c r="G367" s="290" t="n"/>
      <c r="H367" s="295" t="n"/>
      <c r="I367" s="295" t="n"/>
      <c r="J367" s="290" t="n"/>
      <c r="K367" s="347" t="n"/>
      <c r="L367" s="295" t="n"/>
      <c r="M367" s="348" t="n"/>
      <c r="N367" s="295" t="n"/>
      <c r="O367" s="293" t="n"/>
      <c r="P367" s="295" t="n"/>
      <c r="Q367" s="295" t="n"/>
      <c r="R367" s="290" t="n"/>
      <c r="S367" s="295" t="n"/>
      <c r="T367" s="295" t="n"/>
      <c r="U367" s="293" t="n"/>
      <c r="V367" s="295" t="n"/>
      <c r="W367" s="290" t="n"/>
      <c r="X367" s="295" t="n"/>
      <c r="Y367" s="295" t="n"/>
      <c r="Z367" s="295" t="n"/>
      <c r="AA367" s="295" t="n"/>
      <c r="AB367" s="293" t="n"/>
      <c r="AC367" s="295" t="n"/>
      <c r="AD367" s="295" t="n"/>
      <c r="AE367" s="294" t="n"/>
    </row>
    <row r="368">
      <c r="B368" s="279" t="n"/>
      <c r="C368" s="280" t="n"/>
      <c r="D368" s="295" t="n"/>
      <c r="E368" s="295" t="n"/>
      <c r="F368" s="295" t="n"/>
      <c r="G368" s="282" t="n"/>
      <c r="H368" s="295" t="n"/>
      <c r="I368" s="295" t="n"/>
      <c r="J368" s="282" t="n"/>
      <c r="K368" s="345" t="n"/>
      <c r="L368" s="295" t="n"/>
      <c r="M368" s="346" t="n"/>
      <c r="N368" s="295" t="n"/>
      <c r="O368" s="285" t="n"/>
      <c r="P368" s="295" t="n"/>
      <c r="Q368" s="295" t="n"/>
      <c r="R368" s="282" t="n"/>
      <c r="S368" s="295" t="n"/>
      <c r="T368" s="295" t="n"/>
      <c r="U368" s="285" t="n"/>
      <c r="V368" s="295" t="n"/>
      <c r="W368" s="282" t="n"/>
      <c r="X368" s="295" t="n"/>
      <c r="Y368" s="295" t="n"/>
      <c r="Z368" s="295" t="n"/>
      <c r="AA368" s="295" t="n"/>
      <c r="AB368" s="285" t="n"/>
      <c r="AC368" s="295" t="n"/>
      <c r="AD368" s="295" t="n"/>
      <c r="AE368" s="286" t="n"/>
    </row>
    <row r="369">
      <c r="B369" s="287" t="n"/>
      <c r="C369" s="288" t="n"/>
      <c r="D369" s="295" t="n"/>
      <c r="E369" s="295" t="n"/>
      <c r="F369" s="295" t="n"/>
      <c r="G369" s="290" t="n"/>
      <c r="H369" s="295" t="n"/>
      <c r="I369" s="295" t="n"/>
      <c r="J369" s="290" t="n"/>
      <c r="K369" s="347" t="n"/>
      <c r="L369" s="295" t="n"/>
      <c r="M369" s="348" t="n"/>
      <c r="N369" s="295" t="n"/>
      <c r="O369" s="293" t="n"/>
      <c r="P369" s="295" t="n"/>
      <c r="Q369" s="295" t="n"/>
      <c r="R369" s="290" t="n"/>
      <c r="S369" s="295" t="n"/>
      <c r="T369" s="295" t="n"/>
      <c r="U369" s="293" t="n"/>
      <c r="V369" s="295" t="n"/>
      <c r="W369" s="290" t="n"/>
      <c r="X369" s="295" t="n"/>
      <c r="Y369" s="295" t="n"/>
      <c r="Z369" s="295" t="n"/>
      <c r="AA369" s="295" t="n"/>
      <c r="AB369" s="293" t="n"/>
      <c r="AC369" s="295" t="n"/>
      <c r="AD369" s="295" t="n"/>
      <c r="AE369" s="294" t="n"/>
    </row>
    <row r="370">
      <c r="B370" s="279" t="n"/>
      <c r="C370" s="280" t="n"/>
      <c r="D370" s="295" t="n"/>
      <c r="E370" s="295" t="n"/>
      <c r="F370" s="295" t="n"/>
      <c r="G370" s="282" t="n"/>
      <c r="H370" s="295" t="n"/>
      <c r="I370" s="295" t="n"/>
      <c r="J370" s="282" t="n"/>
      <c r="K370" s="345" t="n"/>
      <c r="L370" s="295" t="n"/>
      <c r="M370" s="346" t="n"/>
      <c r="N370" s="295" t="n"/>
      <c r="O370" s="285" t="n"/>
      <c r="P370" s="295" t="n"/>
      <c r="Q370" s="295" t="n"/>
      <c r="R370" s="282" t="n"/>
      <c r="S370" s="295" t="n"/>
      <c r="T370" s="295" t="n"/>
      <c r="U370" s="285" t="n"/>
      <c r="V370" s="295" t="n"/>
      <c r="W370" s="282" t="n"/>
      <c r="X370" s="295" t="n"/>
      <c r="Y370" s="295" t="n"/>
      <c r="Z370" s="295" t="n"/>
      <c r="AA370" s="295" t="n"/>
      <c r="AB370" s="285" t="n"/>
      <c r="AC370" s="295" t="n"/>
      <c r="AD370" s="295" t="n"/>
      <c r="AE370" s="286" t="n"/>
    </row>
    <row r="371">
      <c r="B371" s="287" t="n"/>
      <c r="C371" s="288" t="n"/>
      <c r="D371" s="295" t="n"/>
      <c r="E371" s="295" t="n"/>
      <c r="F371" s="295" t="n"/>
      <c r="G371" s="290" t="n"/>
      <c r="H371" s="295" t="n"/>
      <c r="I371" s="295" t="n"/>
      <c r="J371" s="290" t="n"/>
      <c r="K371" s="347" t="n"/>
      <c r="L371" s="295" t="n"/>
      <c r="M371" s="348" t="n"/>
      <c r="N371" s="295" t="n"/>
      <c r="O371" s="293" t="n"/>
      <c r="P371" s="295" t="n"/>
      <c r="Q371" s="295" t="n"/>
      <c r="R371" s="290" t="n"/>
      <c r="S371" s="295" t="n"/>
      <c r="T371" s="295" t="n"/>
      <c r="U371" s="293" t="n"/>
      <c r="V371" s="295" t="n"/>
      <c r="W371" s="290" t="n"/>
      <c r="X371" s="295" t="n"/>
      <c r="Y371" s="295" t="n"/>
      <c r="Z371" s="295" t="n"/>
      <c r="AA371" s="295" t="n"/>
      <c r="AB371" s="293" t="n"/>
      <c r="AC371" s="295" t="n"/>
      <c r="AD371" s="295" t="n"/>
      <c r="AE371" s="294" t="n"/>
    </row>
    <row r="372">
      <c r="B372" s="279" t="n"/>
      <c r="C372" s="280" t="n"/>
      <c r="D372" s="295" t="n"/>
      <c r="E372" s="295" t="n"/>
      <c r="F372" s="295" t="n"/>
      <c r="G372" s="282" t="n"/>
      <c r="H372" s="295" t="n"/>
      <c r="I372" s="295" t="n"/>
      <c r="J372" s="282" t="n"/>
      <c r="K372" s="345" t="n"/>
      <c r="L372" s="295" t="n"/>
      <c r="M372" s="346" t="n"/>
      <c r="N372" s="295" t="n"/>
      <c r="O372" s="285" t="n"/>
      <c r="P372" s="295" t="n"/>
      <c r="Q372" s="295" t="n"/>
      <c r="R372" s="282" t="n"/>
      <c r="S372" s="295" t="n"/>
      <c r="T372" s="295" t="n"/>
      <c r="U372" s="285" t="n"/>
      <c r="V372" s="295" t="n"/>
      <c r="W372" s="282" t="n"/>
      <c r="X372" s="295" t="n"/>
      <c r="Y372" s="295" t="n"/>
      <c r="Z372" s="295" t="n"/>
      <c r="AA372" s="295" t="n"/>
      <c r="AB372" s="285" t="n"/>
      <c r="AC372" s="295" t="n"/>
      <c r="AD372" s="295" t="n"/>
      <c r="AE372" s="286" t="n"/>
    </row>
    <row r="373">
      <c r="B373" s="287" t="n"/>
      <c r="C373" s="288" t="n"/>
      <c r="D373" s="295" t="n"/>
      <c r="E373" s="295" t="n"/>
      <c r="F373" s="295" t="n"/>
      <c r="G373" s="290" t="n"/>
      <c r="H373" s="295" t="n"/>
      <c r="I373" s="295" t="n"/>
      <c r="J373" s="290" t="n"/>
      <c r="K373" s="347" t="n"/>
      <c r="L373" s="295" t="n"/>
      <c r="M373" s="348" t="n"/>
      <c r="N373" s="295" t="n"/>
      <c r="O373" s="293" t="n"/>
      <c r="P373" s="295" t="n"/>
      <c r="Q373" s="295" t="n"/>
      <c r="R373" s="290" t="n"/>
      <c r="S373" s="295" t="n"/>
      <c r="T373" s="295" t="n"/>
      <c r="U373" s="293" t="n"/>
      <c r="V373" s="295" t="n"/>
      <c r="W373" s="290" t="n"/>
      <c r="X373" s="295" t="n"/>
      <c r="Y373" s="295" t="n"/>
      <c r="Z373" s="295" t="n"/>
      <c r="AA373" s="295" t="n"/>
      <c r="AB373" s="293" t="n"/>
      <c r="AC373" s="295" t="n"/>
      <c r="AD373" s="295" t="n"/>
      <c r="AE373" s="294" t="n"/>
    </row>
    <row r="374">
      <c r="B374" s="279" t="n"/>
      <c r="C374" s="280" t="n"/>
      <c r="D374" s="295" t="n"/>
      <c r="E374" s="295" t="n"/>
      <c r="F374" s="295" t="n"/>
      <c r="G374" s="282" t="n"/>
      <c r="H374" s="295" t="n"/>
      <c r="I374" s="295" t="n"/>
      <c r="J374" s="282" t="n"/>
      <c r="K374" s="345" t="n"/>
      <c r="L374" s="295" t="n"/>
      <c r="M374" s="346" t="n"/>
      <c r="N374" s="295" t="n"/>
      <c r="O374" s="285" t="n"/>
      <c r="P374" s="295" t="n"/>
      <c r="Q374" s="295" t="n"/>
      <c r="R374" s="282" t="n"/>
      <c r="S374" s="295" t="n"/>
      <c r="T374" s="295" t="n"/>
      <c r="U374" s="285" t="n"/>
      <c r="V374" s="295" t="n"/>
      <c r="W374" s="282" t="n"/>
      <c r="X374" s="295" t="n"/>
      <c r="Y374" s="295" t="n"/>
      <c r="Z374" s="295" t="n"/>
      <c r="AA374" s="295" t="n"/>
      <c r="AB374" s="285" t="n"/>
      <c r="AC374" s="295" t="n"/>
      <c r="AD374" s="295" t="n"/>
      <c r="AE374" s="286" t="n"/>
    </row>
    <row r="375">
      <c r="B375" s="287" t="n"/>
      <c r="C375" s="288" t="n"/>
      <c r="D375" s="295" t="n"/>
      <c r="E375" s="295" t="n"/>
      <c r="F375" s="295" t="n"/>
      <c r="G375" s="290" t="n"/>
      <c r="H375" s="295" t="n"/>
      <c r="I375" s="295" t="n"/>
      <c r="J375" s="290" t="n"/>
      <c r="K375" s="347" t="n"/>
      <c r="L375" s="295" t="n"/>
      <c r="M375" s="348" t="n"/>
      <c r="N375" s="295" t="n"/>
      <c r="O375" s="293" t="n"/>
      <c r="P375" s="295" t="n"/>
      <c r="Q375" s="295" t="n"/>
      <c r="R375" s="290" t="n"/>
      <c r="S375" s="295" t="n"/>
      <c r="T375" s="295" t="n"/>
      <c r="U375" s="293" t="n"/>
      <c r="V375" s="295" t="n"/>
      <c r="W375" s="290" t="n"/>
      <c r="X375" s="295" t="n"/>
      <c r="Y375" s="295" t="n"/>
      <c r="Z375" s="295" t="n"/>
      <c r="AA375" s="295" t="n"/>
      <c r="AB375" s="293" t="n"/>
      <c r="AC375" s="295" t="n"/>
      <c r="AD375" s="295" t="n"/>
      <c r="AE375" s="294" t="n"/>
    </row>
    <row r="376">
      <c r="B376" s="279" t="n"/>
      <c r="C376" s="280" t="n"/>
      <c r="D376" s="295" t="n"/>
      <c r="E376" s="295" t="n"/>
      <c r="F376" s="295" t="n"/>
      <c r="G376" s="282" t="n"/>
      <c r="H376" s="295" t="n"/>
      <c r="I376" s="295" t="n"/>
      <c r="J376" s="282" t="n"/>
      <c r="K376" s="345" t="n"/>
      <c r="L376" s="295" t="n"/>
      <c r="M376" s="346" t="n"/>
      <c r="N376" s="295" t="n"/>
      <c r="O376" s="285" t="n"/>
      <c r="P376" s="295" t="n"/>
      <c r="Q376" s="295" t="n"/>
      <c r="R376" s="282" t="n"/>
      <c r="S376" s="295" t="n"/>
      <c r="T376" s="295" t="n"/>
      <c r="U376" s="285" t="n"/>
      <c r="V376" s="295" t="n"/>
      <c r="W376" s="282" t="n"/>
      <c r="X376" s="295" t="n"/>
      <c r="Y376" s="295" t="n"/>
      <c r="Z376" s="295" t="n"/>
      <c r="AA376" s="295" t="n"/>
      <c r="AB376" s="285" t="n"/>
      <c r="AC376" s="295" t="n"/>
      <c r="AD376" s="295" t="n"/>
      <c r="AE376" s="286" t="n"/>
    </row>
    <row r="377">
      <c r="B377" s="287" t="n"/>
      <c r="C377" s="288" t="n"/>
      <c r="D377" s="295" t="n"/>
      <c r="E377" s="295" t="n"/>
      <c r="F377" s="295" t="n"/>
      <c r="G377" s="290" t="n"/>
      <c r="H377" s="295" t="n"/>
      <c r="I377" s="295" t="n"/>
      <c r="J377" s="290" t="n"/>
      <c r="K377" s="347" t="n"/>
      <c r="L377" s="295" t="n"/>
      <c r="M377" s="348" t="n"/>
      <c r="N377" s="295" t="n"/>
      <c r="O377" s="293" t="n"/>
      <c r="P377" s="295" t="n"/>
      <c r="Q377" s="295" t="n"/>
      <c r="R377" s="290" t="n"/>
      <c r="S377" s="295" t="n"/>
      <c r="T377" s="295" t="n"/>
      <c r="U377" s="293" t="n"/>
      <c r="V377" s="295" t="n"/>
      <c r="W377" s="290" t="n"/>
      <c r="X377" s="295" t="n"/>
      <c r="Y377" s="295" t="n"/>
      <c r="Z377" s="295" t="n"/>
      <c r="AA377" s="295" t="n"/>
      <c r="AB377" s="293" t="n"/>
      <c r="AC377" s="295" t="n"/>
      <c r="AD377" s="295" t="n"/>
      <c r="AE377" s="294" t="n"/>
    </row>
    <row r="378">
      <c r="B378" s="279" t="n"/>
      <c r="C378" s="280" t="n"/>
      <c r="D378" s="295" t="n"/>
      <c r="E378" s="295" t="n"/>
      <c r="F378" s="295" t="n"/>
      <c r="G378" s="282" t="n"/>
      <c r="H378" s="295" t="n"/>
      <c r="I378" s="295" t="n"/>
      <c r="J378" s="282" t="n"/>
      <c r="K378" s="345" t="n"/>
      <c r="L378" s="295" t="n"/>
      <c r="M378" s="346" t="n"/>
      <c r="N378" s="295" t="n"/>
      <c r="O378" s="285" t="n"/>
      <c r="P378" s="295" t="n"/>
      <c r="Q378" s="295" t="n"/>
      <c r="R378" s="282" t="n"/>
      <c r="S378" s="295" t="n"/>
      <c r="T378" s="295" t="n"/>
      <c r="U378" s="285" t="n"/>
      <c r="V378" s="295" t="n"/>
      <c r="W378" s="282" t="n"/>
      <c r="X378" s="295" t="n"/>
      <c r="Y378" s="295" t="n"/>
      <c r="Z378" s="295" t="n"/>
      <c r="AA378" s="295" t="n"/>
      <c r="AB378" s="285" t="n"/>
      <c r="AC378" s="295" t="n"/>
      <c r="AD378" s="295" t="n"/>
      <c r="AE378" s="286" t="n"/>
    </row>
    <row r="379">
      <c r="B379" s="287" t="n"/>
      <c r="C379" s="288" t="n"/>
      <c r="D379" s="295" t="n"/>
      <c r="E379" s="295" t="n"/>
      <c r="F379" s="295" t="n"/>
      <c r="G379" s="290" t="n"/>
      <c r="H379" s="295" t="n"/>
      <c r="I379" s="295" t="n"/>
      <c r="J379" s="290" t="n"/>
      <c r="K379" s="347" t="n"/>
      <c r="L379" s="295" t="n"/>
      <c r="M379" s="348" t="n"/>
      <c r="N379" s="295" t="n"/>
      <c r="O379" s="293" t="n"/>
      <c r="P379" s="295" t="n"/>
      <c r="Q379" s="295" t="n"/>
      <c r="R379" s="290" t="n"/>
      <c r="S379" s="295" t="n"/>
      <c r="T379" s="295" t="n"/>
      <c r="U379" s="293" t="n"/>
      <c r="V379" s="295" t="n"/>
      <c r="W379" s="290" t="n"/>
      <c r="X379" s="295" t="n"/>
      <c r="Y379" s="295" t="n"/>
      <c r="Z379" s="295" t="n"/>
      <c r="AA379" s="295" t="n"/>
      <c r="AB379" s="293" t="n"/>
      <c r="AC379" s="295" t="n"/>
      <c r="AD379" s="295" t="n"/>
      <c r="AE379" s="294" t="n"/>
    </row>
    <row r="380">
      <c r="B380" s="279" t="n"/>
      <c r="C380" s="280" t="n"/>
      <c r="D380" s="295" t="n"/>
      <c r="E380" s="295" t="n"/>
      <c r="F380" s="295" t="n"/>
      <c r="G380" s="282" t="n"/>
      <c r="H380" s="295" t="n"/>
      <c r="I380" s="295" t="n"/>
      <c r="J380" s="282" t="n"/>
      <c r="K380" s="345" t="n"/>
      <c r="L380" s="295" t="n"/>
      <c r="M380" s="346" t="n"/>
      <c r="N380" s="295" t="n"/>
      <c r="O380" s="285" t="n"/>
      <c r="P380" s="295" t="n"/>
      <c r="Q380" s="295" t="n"/>
      <c r="R380" s="282" t="n"/>
      <c r="S380" s="295" t="n"/>
      <c r="T380" s="295" t="n"/>
      <c r="U380" s="285" t="n"/>
      <c r="V380" s="295" t="n"/>
      <c r="W380" s="282" t="n"/>
      <c r="X380" s="295" t="n"/>
      <c r="Y380" s="295" t="n"/>
      <c r="Z380" s="295" t="n"/>
      <c r="AA380" s="295" t="n"/>
      <c r="AB380" s="285" t="n"/>
      <c r="AC380" s="295" t="n"/>
      <c r="AD380" s="295" t="n"/>
      <c r="AE380" s="286" t="n"/>
    </row>
    <row r="381">
      <c r="B381" s="287" t="n"/>
      <c r="C381" s="288" t="n"/>
      <c r="D381" s="295" t="n"/>
      <c r="E381" s="295" t="n"/>
      <c r="F381" s="295" t="n"/>
      <c r="G381" s="290" t="n"/>
      <c r="H381" s="295" t="n"/>
      <c r="I381" s="295" t="n"/>
      <c r="J381" s="290" t="n"/>
      <c r="K381" s="347" t="n"/>
      <c r="L381" s="295" t="n"/>
      <c r="M381" s="348" t="n"/>
      <c r="N381" s="295" t="n"/>
      <c r="O381" s="293" t="n"/>
      <c r="P381" s="295" t="n"/>
      <c r="Q381" s="295" t="n"/>
      <c r="R381" s="290" t="n"/>
      <c r="S381" s="295" t="n"/>
      <c r="T381" s="295" t="n"/>
      <c r="U381" s="293" t="n"/>
      <c r="V381" s="295" t="n"/>
      <c r="W381" s="290" t="n"/>
      <c r="X381" s="295" t="n"/>
      <c r="Y381" s="295" t="n"/>
      <c r="Z381" s="295" t="n"/>
      <c r="AA381" s="295" t="n"/>
      <c r="AB381" s="293" t="n"/>
      <c r="AC381" s="295" t="n"/>
      <c r="AD381" s="295" t="n"/>
      <c r="AE381" s="294" t="n"/>
    </row>
    <row r="382">
      <c r="B382" s="279" t="n"/>
      <c r="C382" s="280" t="n"/>
      <c r="D382" s="295" t="n"/>
      <c r="E382" s="295" t="n"/>
      <c r="F382" s="295" t="n"/>
      <c r="G382" s="282" t="n"/>
      <c r="H382" s="295" t="n"/>
      <c r="I382" s="295" t="n"/>
      <c r="J382" s="282" t="n"/>
      <c r="K382" s="345" t="n"/>
      <c r="L382" s="295" t="n"/>
      <c r="M382" s="346" t="n"/>
      <c r="N382" s="295" t="n"/>
      <c r="O382" s="285" t="n"/>
      <c r="P382" s="295" t="n"/>
      <c r="Q382" s="295" t="n"/>
      <c r="R382" s="282" t="n"/>
      <c r="S382" s="295" t="n"/>
      <c r="T382" s="295" t="n"/>
      <c r="U382" s="285" t="n"/>
      <c r="V382" s="295" t="n"/>
      <c r="W382" s="282" t="n"/>
      <c r="X382" s="295" t="n"/>
      <c r="Y382" s="295" t="n"/>
      <c r="Z382" s="295" t="n"/>
      <c r="AA382" s="295" t="n"/>
      <c r="AB382" s="285" t="n"/>
      <c r="AC382" s="295" t="n"/>
      <c r="AD382" s="295" t="n"/>
      <c r="AE382" s="286" t="n"/>
    </row>
    <row r="383">
      <c r="B383" s="287" t="n"/>
      <c r="C383" s="288" t="n"/>
      <c r="D383" s="295" t="n"/>
      <c r="E383" s="295" t="n"/>
      <c r="F383" s="295" t="n"/>
      <c r="G383" s="290" t="n"/>
      <c r="H383" s="295" t="n"/>
      <c r="I383" s="295" t="n"/>
      <c r="J383" s="290" t="n"/>
      <c r="K383" s="347" t="n"/>
      <c r="L383" s="295" t="n"/>
      <c r="M383" s="348" t="n"/>
      <c r="N383" s="295" t="n"/>
      <c r="O383" s="293" t="n"/>
      <c r="P383" s="295" t="n"/>
      <c r="Q383" s="295" t="n"/>
      <c r="R383" s="290" t="n"/>
      <c r="S383" s="295" t="n"/>
      <c r="T383" s="295" t="n"/>
      <c r="U383" s="293" t="n"/>
      <c r="V383" s="295" t="n"/>
      <c r="W383" s="290" t="n"/>
      <c r="X383" s="295" t="n"/>
      <c r="Y383" s="295" t="n"/>
      <c r="Z383" s="295" t="n"/>
      <c r="AA383" s="295" t="n"/>
      <c r="AB383" s="293" t="n"/>
      <c r="AC383" s="295" t="n"/>
      <c r="AD383" s="295" t="n"/>
      <c r="AE383" s="294" t="n"/>
    </row>
    <row r="384">
      <c r="B384" s="279" t="n"/>
      <c r="C384" s="280" t="n"/>
      <c r="D384" s="295" t="n"/>
      <c r="E384" s="295" t="n"/>
      <c r="F384" s="295" t="n"/>
      <c r="G384" s="282" t="n"/>
      <c r="H384" s="295" t="n"/>
      <c r="I384" s="295" t="n"/>
      <c r="J384" s="282" t="n"/>
      <c r="K384" s="345" t="n"/>
      <c r="L384" s="295" t="n"/>
      <c r="M384" s="346" t="n"/>
      <c r="N384" s="295" t="n"/>
      <c r="O384" s="285" t="n"/>
      <c r="P384" s="295" t="n"/>
      <c r="Q384" s="295" t="n"/>
      <c r="R384" s="282" t="n"/>
      <c r="S384" s="295" t="n"/>
      <c r="T384" s="295" t="n"/>
      <c r="U384" s="285" t="n"/>
      <c r="V384" s="295" t="n"/>
      <c r="W384" s="282" t="n"/>
      <c r="X384" s="295" t="n"/>
      <c r="Y384" s="295" t="n"/>
      <c r="Z384" s="295" t="n"/>
      <c r="AA384" s="295" t="n"/>
      <c r="AB384" s="285" t="n"/>
      <c r="AC384" s="295" t="n"/>
      <c r="AD384" s="295" t="n"/>
      <c r="AE384" s="286" t="n"/>
    </row>
    <row r="385">
      <c r="B385" s="287" t="n"/>
      <c r="C385" s="288" t="n"/>
      <c r="D385" s="295" t="n"/>
      <c r="E385" s="295" t="n"/>
      <c r="F385" s="295" t="n"/>
      <c r="G385" s="290" t="n"/>
      <c r="H385" s="295" t="n"/>
      <c r="I385" s="295" t="n"/>
      <c r="J385" s="290" t="n"/>
      <c r="K385" s="347" t="n"/>
      <c r="L385" s="295" t="n"/>
      <c r="M385" s="348" t="n"/>
      <c r="N385" s="295" t="n"/>
      <c r="O385" s="293" t="n"/>
      <c r="P385" s="295" t="n"/>
      <c r="Q385" s="295" t="n"/>
      <c r="R385" s="290" t="n"/>
      <c r="S385" s="295" t="n"/>
      <c r="T385" s="295" t="n"/>
      <c r="U385" s="293" t="n"/>
      <c r="V385" s="295" t="n"/>
      <c r="W385" s="290" t="n"/>
      <c r="X385" s="295" t="n"/>
      <c r="Y385" s="295" t="n"/>
      <c r="Z385" s="295" t="n"/>
      <c r="AA385" s="295" t="n"/>
      <c r="AB385" s="293" t="n"/>
      <c r="AC385" s="295" t="n"/>
      <c r="AD385" s="295" t="n"/>
      <c r="AE385" s="294" t="n"/>
    </row>
    <row r="386">
      <c r="B386" s="279" t="n"/>
      <c r="C386" s="280" t="n"/>
      <c r="D386" s="295" t="n"/>
      <c r="E386" s="295" t="n"/>
      <c r="F386" s="295" t="n"/>
      <c r="G386" s="282" t="n"/>
      <c r="H386" s="295" t="n"/>
      <c r="I386" s="295" t="n"/>
      <c r="J386" s="282" t="n"/>
      <c r="K386" s="345" t="n"/>
      <c r="L386" s="295" t="n"/>
      <c r="M386" s="346" t="n"/>
      <c r="N386" s="295" t="n"/>
      <c r="O386" s="285" t="n"/>
      <c r="P386" s="295" t="n"/>
      <c r="Q386" s="295" t="n"/>
      <c r="R386" s="282" t="n"/>
      <c r="S386" s="295" t="n"/>
      <c r="T386" s="295" t="n"/>
      <c r="U386" s="285" t="n"/>
      <c r="V386" s="295" t="n"/>
      <c r="W386" s="282" t="n"/>
      <c r="X386" s="295" t="n"/>
      <c r="Y386" s="295" t="n"/>
      <c r="Z386" s="295" t="n"/>
      <c r="AA386" s="295" t="n"/>
      <c r="AB386" s="285" t="n"/>
      <c r="AC386" s="295" t="n"/>
      <c r="AD386" s="295" t="n"/>
      <c r="AE386" s="286" t="n"/>
    </row>
    <row r="387">
      <c r="B387" s="287" t="n"/>
      <c r="C387" s="288" t="n"/>
      <c r="D387" s="295" t="n"/>
      <c r="E387" s="295" t="n"/>
      <c r="F387" s="295" t="n"/>
      <c r="G387" s="290" t="n"/>
      <c r="H387" s="295" t="n"/>
      <c r="I387" s="295" t="n"/>
      <c r="J387" s="290" t="n"/>
      <c r="K387" s="347" t="n"/>
      <c r="L387" s="295" t="n"/>
      <c r="M387" s="348" t="n"/>
      <c r="N387" s="295" t="n"/>
      <c r="O387" s="293" t="n"/>
      <c r="P387" s="295" t="n"/>
      <c r="Q387" s="295" t="n"/>
      <c r="R387" s="290" t="n"/>
      <c r="S387" s="295" t="n"/>
      <c r="T387" s="295" t="n"/>
      <c r="U387" s="293" t="n"/>
      <c r="V387" s="295" t="n"/>
      <c r="W387" s="290" t="n"/>
      <c r="X387" s="295" t="n"/>
      <c r="Y387" s="295" t="n"/>
      <c r="Z387" s="295" t="n"/>
      <c r="AA387" s="295" t="n"/>
      <c r="AB387" s="293" t="n"/>
      <c r="AC387" s="295" t="n"/>
      <c r="AD387" s="295" t="n"/>
      <c r="AE387" s="294" t="n"/>
    </row>
    <row r="388">
      <c r="B388" s="279" t="n"/>
      <c r="C388" s="280" t="n"/>
      <c r="D388" s="295" t="n"/>
      <c r="E388" s="295" t="n"/>
      <c r="F388" s="295" t="n"/>
      <c r="G388" s="282" t="n"/>
      <c r="H388" s="295" t="n"/>
      <c r="I388" s="295" t="n"/>
      <c r="J388" s="282" t="n"/>
      <c r="K388" s="345" t="n"/>
      <c r="L388" s="295" t="n"/>
      <c r="M388" s="346" t="n"/>
      <c r="N388" s="295" t="n"/>
      <c r="O388" s="285" t="n"/>
      <c r="P388" s="295" t="n"/>
      <c r="Q388" s="295" t="n"/>
      <c r="R388" s="282" t="n"/>
      <c r="S388" s="295" t="n"/>
      <c r="T388" s="295" t="n"/>
      <c r="U388" s="285" t="n"/>
      <c r="V388" s="295" t="n"/>
      <c r="W388" s="282" t="n"/>
      <c r="X388" s="295" t="n"/>
      <c r="Y388" s="295" t="n"/>
      <c r="Z388" s="295" t="n"/>
      <c r="AA388" s="295" t="n"/>
      <c r="AB388" s="285" t="n"/>
      <c r="AC388" s="295" t="n"/>
      <c r="AD388" s="295" t="n"/>
      <c r="AE388" s="286" t="n"/>
    </row>
    <row r="389">
      <c r="B389" s="287" t="n"/>
      <c r="C389" s="288" t="n"/>
      <c r="D389" s="295" t="n"/>
      <c r="E389" s="295" t="n"/>
      <c r="F389" s="295" t="n"/>
      <c r="G389" s="290" t="n"/>
      <c r="H389" s="295" t="n"/>
      <c r="I389" s="295" t="n"/>
      <c r="J389" s="290" t="n"/>
      <c r="K389" s="347" t="n"/>
      <c r="L389" s="295" t="n"/>
      <c r="M389" s="348" t="n"/>
      <c r="N389" s="295" t="n"/>
      <c r="O389" s="293" t="n"/>
      <c r="P389" s="295" t="n"/>
      <c r="Q389" s="295" t="n"/>
      <c r="R389" s="290" t="n"/>
      <c r="S389" s="295" t="n"/>
      <c r="T389" s="295" t="n"/>
      <c r="U389" s="293" t="n"/>
      <c r="V389" s="295" t="n"/>
      <c r="W389" s="290" t="n"/>
      <c r="X389" s="295" t="n"/>
      <c r="Y389" s="295" t="n"/>
      <c r="Z389" s="295" t="n"/>
      <c r="AA389" s="295" t="n"/>
      <c r="AB389" s="293" t="n"/>
      <c r="AC389" s="295" t="n"/>
      <c r="AD389" s="295" t="n"/>
      <c r="AE389" s="294" t="n"/>
    </row>
    <row r="390">
      <c r="B390" s="279" t="n"/>
      <c r="C390" s="280" t="n"/>
      <c r="D390" s="295" t="n"/>
      <c r="E390" s="295" t="n"/>
      <c r="F390" s="295" t="n"/>
      <c r="G390" s="282" t="n"/>
      <c r="H390" s="295" t="n"/>
      <c r="I390" s="295" t="n"/>
      <c r="J390" s="282" t="n"/>
      <c r="K390" s="345" t="n"/>
      <c r="L390" s="295" t="n"/>
      <c r="M390" s="346" t="n"/>
      <c r="N390" s="295" t="n"/>
      <c r="O390" s="285" t="n"/>
      <c r="P390" s="295" t="n"/>
      <c r="Q390" s="295" t="n"/>
      <c r="R390" s="282" t="n"/>
      <c r="S390" s="295" t="n"/>
      <c r="T390" s="295" t="n"/>
      <c r="U390" s="285" t="n"/>
      <c r="V390" s="295" t="n"/>
      <c r="W390" s="282" t="n"/>
      <c r="X390" s="295" t="n"/>
      <c r="Y390" s="295" t="n"/>
      <c r="Z390" s="295" t="n"/>
      <c r="AA390" s="295" t="n"/>
      <c r="AB390" s="285" t="n"/>
      <c r="AC390" s="295" t="n"/>
      <c r="AD390" s="295" t="n"/>
      <c r="AE390" s="286" t="n"/>
    </row>
    <row r="391">
      <c r="B391" s="287" t="n"/>
      <c r="C391" s="288" t="n"/>
      <c r="D391" s="295" t="n"/>
      <c r="E391" s="295" t="n"/>
      <c r="F391" s="295" t="n"/>
      <c r="G391" s="290" t="n"/>
      <c r="H391" s="295" t="n"/>
      <c r="I391" s="295" t="n"/>
      <c r="J391" s="290" t="n"/>
      <c r="K391" s="347" t="n"/>
      <c r="L391" s="295" t="n"/>
      <c r="M391" s="348" t="n"/>
      <c r="N391" s="295" t="n"/>
      <c r="O391" s="293" t="n"/>
      <c r="P391" s="295" t="n"/>
      <c r="Q391" s="295" t="n"/>
      <c r="R391" s="290" t="n"/>
      <c r="S391" s="295" t="n"/>
      <c r="T391" s="295" t="n"/>
      <c r="U391" s="293" t="n"/>
      <c r="V391" s="295" t="n"/>
      <c r="W391" s="290" t="n"/>
      <c r="X391" s="295" t="n"/>
      <c r="Y391" s="295" t="n"/>
      <c r="Z391" s="295" t="n"/>
      <c r="AA391" s="295" t="n"/>
      <c r="AB391" s="293" t="n"/>
      <c r="AC391" s="295" t="n"/>
      <c r="AD391" s="295" t="n"/>
      <c r="AE391" s="294" t="n"/>
    </row>
    <row r="392">
      <c r="B392" s="279" t="n"/>
      <c r="C392" s="280" t="n"/>
      <c r="D392" s="295" t="n"/>
      <c r="E392" s="295" t="n"/>
      <c r="F392" s="295" t="n"/>
      <c r="G392" s="282" t="n"/>
      <c r="H392" s="295" t="n"/>
      <c r="I392" s="295" t="n"/>
      <c r="J392" s="282" t="n"/>
      <c r="K392" s="345" t="n"/>
      <c r="L392" s="295" t="n"/>
      <c r="M392" s="346" t="n"/>
      <c r="N392" s="295" t="n"/>
      <c r="O392" s="285" t="n"/>
      <c r="P392" s="295" t="n"/>
      <c r="Q392" s="295" t="n"/>
      <c r="R392" s="282" t="n"/>
      <c r="S392" s="295" t="n"/>
      <c r="T392" s="295" t="n"/>
      <c r="U392" s="285" t="n"/>
      <c r="V392" s="295" t="n"/>
      <c r="W392" s="282" t="n"/>
      <c r="X392" s="295" t="n"/>
      <c r="Y392" s="295" t="n"/>
      <c r="Z392" s="295" t="n"/>
      <c r="AA392" s="295" t="n"/>
      <c r="AB392" s="285" t="n"/>
      <c r="AC392" s="295" t="n"/>
      <c r="AD392" s="295" t="n"/>
      <c r="AE392" s="286" t="n"/>
    </row>
    <row r="393">
      <c r="B393" s="287" t="n"/>
      <c r="C393" s="288" t="n"/>
      <c r="D393" s="295" t="n"/>
      <c r="E393" s="295" t="n"/>
      <c r="F393" s="295" t="n"/>
      <c r="G393" s="290" t="n"/>
      <c r="H393" s="295" t="n"/>
      <c r="I393" s="295" t="n"/>
      <c r="J393" s="290" t="n"/>
      <c r="K393" s="347" t="n"/>
      <c r="L393" s="295" t="n"/>
      <c r="M393" s="348" t="n"/>
      <c r="N393" s="295" t="n"/>
      <c r="O393" s="293" t="n"/>
      <c r="P393" s="295" t="n"/>
      <c r="Q393" s="295" t="n"/>
      <c r="R393" s="290" t="n"/>
      <c r="S393" s="295" t="n"/>
      <c r="T393" s="295" t="n"/>
      <c r="U393" s="293" t="n"/>
      <c r="V393" s="295" t="n"/>
      <c r="W393" s="290" t="n"/>
      <c r="X393" s="295" t="n"/>
      <c r="Y393" s="295" t="n"/>
      <c r="Z393" s="295" t="n"/>
      <c r="AA393" s="295" t="n"/>
      <c r="AB393" s="293" t="n"/>
      <c r="AC393" s="295" t="n"/>
      <c r="AD393" s="295" t="n"/>
      <c r="AE393" s="294" t="n"/>
    </row>
    <row r="394">
      <c r="B394" s="279" t="n"/>
      <c r="C394" s="280" t="n"/>
      <c r="D394" s="295" t="n"/>
      <c r="E394" s="295" t="n"/>
      <c r="F394" s="295" t="n"/>
      <c r="G394" s="282" t="n"/>
      <c r="H394" s="295" t="n"/>
      <c r="I394" s="295" t="n"/>
      <c r="J394" s="282" t="n"/>
      <c r="K394" s="345" t="n"/>
      <c r="L394" s="295" t="n"/>
      <c r="M394" s="346" t="n"/>
      <c r="N394" s="295" t="n"/>
      <c r="O394" s="285" t="n"/>
      <c r="P394" s="295" t="n"/>
      <c r="Q394" s="295" t="n"/>
      <c r="R394" s="282" t="n"/>
      <c r="S394" s="295" t="n"/>
      <c r="T394" s="295" t="n"/>
      <c r="U394" s="285" t="n"/>
      <c r="V394" s="295" t="n"/>
      <c r="W394" s="282" t="n"/>
      <c r="X394" s="295" t="n"/>
      <c r="Y394" s="295" t="n"/>
      <c r="Z394" s="295" t="n"/>
      <c r="AA394" s="295" t="n"/>
      <c r="AB394" s="285" t="n"/>
      <c r="AC394" s="295" t="n"/>
      <c r="AD394" s="295" t="n"/>
      <c r="AE394" s="286" t="n"/>
    </row>
    <row r="395">
      <c r="B395" s="287" t="n"/>
      <c r="C395" s="288" t="n"/>
      <c r="D395" s="295" t="n"/>
      <c r="E395" s="295" t="n"/>
      <c r="F395" s="295" t="n"/>
      <c r="G395" s="290" t="n"/>
      <c r="H395" s="295" t="n"/>
      <c r="I395" s="295" t="n"/>
      <c r="J395" s="290" t="n"/>
      <c r="K395" s="347" t="n"/>
      <c r="L395" s="295" t="n"/>
      <c r="M395" s="348" t="n"/>
      <c r="N395" s="295" t="n"/>
      <c r="O395" s="293" t="n"/>
      <c r="P395" s="295" t="n"/>
      <c r="Q395" s="295" t="n"/>
      <c r="R395" s="290" t="n"/>
      <c r="S395" s="295" t="n"/>
      <c r="T395" s="295" t="n"/>
      <c r="U395" s="293" t="n"/>
      <c r="V395" s="295" t="n"/>
      <c r="W395" s="290" t="n"/>
      <c r="X395" s="295" t="n"/>
      <c r="Y395" s="295" t="n"/>
      <c r="Z395" s="295" t="n"/>
      <c r="AA395" s="295" t="n"/>
      <c r="AB395" s="293" t="n"/>
      <c r="AC395" s="295" t="n"/>
      <c r="AD395" s="295" t="n"/>
      <c r="AE395" s="294" t="n"/>
    </row>
    <row r="396">
      <c r="B396" s="279" t="n"/>
      <c r="C396" s="280" t="n"/>
      <c r="D396" s="295" t="n"/>
      <c r="E396" s="295" t="n"/>
      <c r="F396" s="295" t="n"/>
      <c r="G396" s="282" t="n"/>
      <c r="H396" s="295" t="n"/>
      <c r="I396" s="295" t="n"/>
      <c r="J396" s="282" t="n"/>
      <c r="K396" s="345" t="n"/>
      <c r="L396" s="295" t="n"/>
      <c r="M396" s="346" t="n"/>
      <c r="N396" s="295" t="n"/>
      <c r="O396" s="285" t="n"/>
      <c r="P396" s="295" t="n"/>
      <c r="Q396" s="295" t="n"/>
      <c r="R396" s="282" t="n"/>
      <c r="S396" s="295" t="n"/>
      <c r="T396" s="295" t="n"/>
      <c r="U396" s="285" t="n"/>
      <c r="V396" s="295" t="n"/>
      <c r="W396" s="282" t="n"/>
      <c r="X396" s="295" t="n"/>
      <c r="Y396" s="295" t="n"/>
      <c r="Z396" s="295" t="n"/>
      <c r="AA396" s="295" t="n"/>
      <c r="AB396" s="285" t="n"/>
      <c r="AC396" s="295" t="n"/>
      <c r="AD396" s="295" t="n"/>
      <c r="AE396" s="286" t="n"/>
    </row>
    <row r="397">
      <c r="B397" s="287" t="n"/>
      <c r="C397" s="288" t="n"/>
      <c r="D397" s="295" t="n"/>
      <c r="E397" s="295" t="n"/>
      <c r="F397" s="295" t="n"/>
      <c r="G397" s="290" t="n"/>
      <c r="H397" s="295" t="n"/>
      <c r="I397" s="295" t="n"/>
      <c r="J397" s="290" t="n"/>
      <c r="K397" s="347" t="n"/>
      <c r="L397" s="295" t="n"/>
      <c r="M397" s="348" t="n"/>
      <c r="N397" s="295" t="n"/>
      <c r="O397" s="293" t="n"/>
      <c r="P397" s="295" t="n"/>
      <c r="Q397" s="295" t="n"/>
      <c r="R397" s="290" t="n"/>
      <c r="S397" s="295" t="n"/>
      <c r="T397" s="295" t="n"/>
      <c r="U397" s="293" t="n"/>
      <c r="V397" s="295" t="n"/>
      <c r="W397" s="290" t="n"/>
      <c r="X397" s="295" t="n"/>
      <c r="Y397" s="295" t="n"/>
      <c r="Z397" s="295" t="n"/>
      <c r="AA397" s="295" t="n"/>
      <c r="AB397" s="293" t="n"/>
      <c r="AC397" s="295" t="n"/>
      <c r="AD397" s="295" t="n"/>
      <c r="AE397" s="294" t="n"/>
    </row>
    <row r="398">
      <c r="B398" s="279" t="n"/>
      <c r="C398" s="280" t="n"/>
      <c r="D398" s="295" t="n"/>
      <c r="E398" s="295" t="n"/>
      <c r="F398" s="295" t="n"/>
      <c r="G398" s="282" t="n"/>
      <c r="H398" s="295" t="n"/>
      <c r="I398" s="295" t="n"/>
      <c r="J398" s="282" t="n"/>
      <c r="K398" s="345" t="n"/>
      <c r="L398" s="295" t="n"/>
      <c r="M398" s="346" t="n"/>
      <c r="N398" s="295" t="n"/>
      <c r="O398" s="285" t="n"/>
      <c r="P398" s="295" t="n"/>
      <c r="Q398" s="295" t="n"/>
      <c r="R398" s="282" t="n"/>
      <c r="S398" s="295" t="n"/>
      <c r="T398" s="295" t="n"/>
      <c r="U398" s="285" t="n"/>
      <c r="V398" s="295" t="n"/>
      <c r="W398" s="282" t="n"/>
      <c r="X398" s="295" t="n"/>
      <c r="Y398" s="295" t="n"/>
      <c r="Z398" s="295" t="n"/>
      <c r="AA398" s="295" t="n"/>
      <c r="AB398" s="285" t="n"/>
      <c r="AC398" s="295" t="n"/>
      <c r="AD398" s="295" t="n"/>
      <c r="AE398" s="286" t="n"/>
    </row>
    <row r="399">
      <c r="B399" s="287" t="n"/>
      <c r="C399" s="288" t="n"/>
      <c r="D399" s="295" t="n"/>
      <c r="E399" s="295" t="n"/>
      <c r="F399" s="295" t="n"/>
      <c r="G399" s="290" t="n"/>
      <c r="H399" s="295" t="n"/>
      <c r="I399" s="295" t="n"/>
      <c r="J399" s="290" t="n"/>
      <c r="K399" s="347" t="n"/>
      <c r="L399" s="295" t="n"/>
      <c r="M399" s="348" t="n"/>
      <c r="N399" s="295" t="n"/>
      <c r="O399" s="293" t="n"/>
      <c r="P399" s="295" t="n"/>
      <c r="Q399" s="295" t="n"/>
      <c r="R399" s="290" t="n"/>
      <c r="S399" s="295" t="n"/>
      <c r="T399" s="295" t="n"/>
      <c r="U399" s="293" t="n"/>
      <c r="V399" s="295" t="n"/>
      <c r="W399" s="290" t="n"/>
      <c r="X399" s="295" t="n"/>
      <c r="Y399" s="295" t="n"/>
      <c r="Z399" s="295" t="n"/>
      <c r="AA399" s="295" t="n"/>
      <c r="AB399" s="293" t="n"/>
      <c r="AC399" s="295" t="n"/>
      <c r="AD399" s="295" t="n"/>
      <c r="AE399" s="294" t="n"/>
    </row>
    <row r="400">
      <c r="B400" s="279" t="n"/>
      <c r="C400" s="280" t="n"/>
      <c r="D400" s="295" t="n"/>
      <c r="E400" s="295" t="n"/>
      <c r="F400" s="295" t="n"/>
      <c r="G400" s="282" t="n"/>
      <c r="H400" s="295" t="n"/>
      <c r="I400" s="295" t="n"/>
      <c r="J400" s="282" t="n"/>
      <c r="K400" s="345" t="n"/>
      <c r="L400" s="295" t="n"/>
      <c r="M400" s="346" t="n"/>
      <c r="N400" s="295" t="n"/>
      <c r="O400" s="285" t="n"/>
      <c r="P400" s="295" t="n"/>
      <c r="Q400" s="295" t="n"/>
      <c r="R400" s="282" t="n"/>
      <c r="S400" s="295" t="n"/>
      <c r="T400" s="295" t="n"/>
      <c r="U400" s="285" t="n"/>
      <c r="V400" s="295" t="n"/>
      <c r="W400" s="282" t="n"/>
      <c r="X400" s="295" t="n"/>
      <c r="Y400" s="295" t="n"/>
      <c r="Z400" s="295" t="n"/>
      <c r="AA400" s="295" t="n"/>
      <c r="AB400" s="285" t="n"/>
      <c r="AC400" s="295" t="n"/>
      <c r="AD400" s="295" t="n"/>
      <c r="AE400" s="286" t="n"/>
    </row>
    <row r="401">
      <c r="B401" s="287" t="n"/>
      <c r="C401" s="288" t="n"/>
      <c r="D401" s="295" t="n"/>
      <c r="E401" s="295" t="n"/>
      <c r="F401" s="295" t="n"/>
      <c r="G401" s="290" t="n"/>
      <c r="H401" s="295" t="n"/>
      <c r="I401" s="295" t="n"/>
      <c r="J401" s="290" t="n"/>
      <c r="K401" s="347" t="n"/>
      <c r="L401" s="295" t="n"/>
      <c r="M401" s="348" t="n"/>
      <c r="N401" s="295" t="n"/>
      <c r="O401" s="293" t="n"/>
      <c r="P401" s="295" t="n"/>
      <c r="Q401" s="295" t="n"/>
      <c r="R401" s="290" t="n"/>
      <c r="S401" s="295" t="n"/>
      <c r="T401" s="295" t="n"/>
      <c r="U401" s="293" t="n"/>
      <c r="V401" s="295" t="n"/>
      <c r="W401" s="290" t="n"/>
      <c r="X401" s="295" t="n"/>
      <c r="Y401" s="295" t="n"/>
      <c r="Z401" s="295" t="n"/>
      <c r="AA401" s="295" t="n"/>
      <c r="AB401" s="293" t="n"/>
      <c r="AC401" s="295" t="n"/>
      <c r="AD401" s="295" t="n"/>
      <c r="AE401" s="294" t="n"/>
    </row>
    <row r="402">
      <c r="B402" s="279" t="n"/>
      <c r="C402" s="280" t="n"/>
      <c r="D402" s="295" t="n"/>
      <c r="E402" s="295" t="n"/>
      <c r="F402" s="295" t="n"/>
      <c r="G402" s="282" t="n"/>
      <c r="H402" s="295" t="n"/>
      <c r="I402" s="295" t="n"/>
      <c r="J402" s="282" t="n"/>
      <c r="K402" s="345" t="n"/>
      <c r="L402" s="295" t="n"/>
      <c r="M402" s="346" t="n"/>
      <c r="N402" s="295" t="n"/>
      <c r="O402" s="285" t="n"/>
      <c r="P402" s="295" t="n"/>
      <c r="Q402" s="295" t="n"/>
      <c r="R402" s="282" t="n"/>
      <c r="S402" s="295" t="n"/>
      <c r="T402" s="295" t="n"/>
      <c r="U402" s="285" t="n"/>
      <c r="V402" s="295" t="n"/>
      <c r="W402" s="282" t="n"/>
      <c r="X402" s="295" t="n"/>
      <c r="Y402" s="295" t="n"/>
      <c r="Z402" s="295" t="n"/>
      <c r="AA402" s="295" t="n"/>
      <c r="AB402" s="285" t="n"/>
      <c r="AC402" s="295" t="n"/>
      <c r="AD402" s="295" t="n"/>
      <c r="AE402" s="286" t="n"/>
    </row>
    <row r="403">
      <c r="B403" s="287" t="n"/>
      <c r="C403" s="288" t="n"/>
      <c r="D403" s="295" t="n"/>
      <c r="E403" s="295" t="n"/>
      <c r="F403" s="295" t="n"/>
      <c r="G403" s="290" t="n"/>
      <c r="H403" s="295" t="n"/>
      <c r="I403" s="295" t="n"/>
      <c r="J403" s="290" t="n"/>
      <c r="K403" s="347" t="n"/>
      <c r="L403" s="295" t="n"/>
      <c r="M403" s="348" t="n"/>
      <c r="N403" s="295" t="n"/>
      <c r="O403" s="293" t="n"/>
      <c r="P403" s="295" t="n"/>
      <c r="Q403" s="295" t="n"/>
      <c r="R403" s="290" t="n"/>
      <c r="S403" s="295" t="n"/>
      <c r="T403" s="295" t="n"/>
      <c r="U403" s="293" t="n"/>
      <c r="V403" s="295" t="n"/>
      <c r="W403" s="290" t="n"/>
      <c r="X403" s="295" t="n"/>
      <c r="Y403" s="295" t="n"/>
      <c r="Z403" s="295" t="n"/>
      <c r="AA403" s="295" t="n"/>
      <c r="AB403" s="293" t="n"/>
      <c r="AC403" s="295" t="n"/>
      <c r="AD403" s="295" t="n"/>
      <c r="AE403" s="294" t="n"/>
    </row>
    <row r="404">
      <c r="B404" s="279" t="n"/>
      <c r="C404" s="280" t="n"/>
      <c r="D404" s="295" t="n"/>
      <c r="E404" s="295" t="n"/>
      <c r="F404" s="295" t="n"/>
      <c r="G404" s="282" t="n"/>
      <c r="H404" s="295" t="n"/>
      <c r="I404" s="295" t="n"/>
      <c r="J404" s="282" t="n"/>
      <c r="K404" s="345" t="n"/>
      <c r="L404" s="295" t="n"/>
      <c r="M404" s="346" t="n"/>
      <c r="N404" s="295" t="n"/>
      <c r="O404" s="285" t="n"/>
      <c r="P404" s="295" t="n"/>
      <c r="Q404" s="295" t="n"/>
      <c r="R404" s="282" t="n"/>
      <c r="S404" s="295" t="n"/>
      <c r="T404" s="295" t="n"/>
      <c r="U404" s="285" t="n"/>
      <c r="V404" s="295" t="n"/>
      <c r="W404" s="282" t="n"/>
      <c r="X404" s="295" t="n"/>
      <c r="Y404" s="295" t="n"/>
      <c r="Z404" s="295" t="n"/>
      <c r="AA404" s="295" t="n"/>
      <c r="AB404" s="285" t="n"/>
      <c r="AC404" s="295" t="n"/>
      <c r="AD404" s="295" t="n"/>
      <c r="AE404" s="286" t="n"/>
    </row>
    <row r="405">
      <c r="B405" s="287" t="n"/>
      <c r="C405" s="288" t="n"/>
      <c r="D405" s="295" t="n"/>
      <c r="E405" s="295" t="n"/>
      <c r="F405" s="295" t="n"/>
      <c r="G405" s="290" t="n"/>
      <c r="H405" s="295" t="n"/>
      <c r="I405" s="295" t="n"/>
      <c r="J405" s="290" t="n"/>
      <c r="K405" s="347" t="n"/>
      <c r="L405" s="295" t="n"/>
      <c r="M405" s="348" t="n"/>
      <c r="N405" s="295" t="n"/>
      <c r="O405" s="293" t="n"/>
      <c r="P405" s="295" t="n"/>
      <c r="Q405" s="295" t="n"/>
      <c r="R405" s="290" t="n"/>
      <c r="S405" s="295" t="n"/>
      <c r="T405" s="295" t="n"/>
      <c r="U405" s="293" t="n"/>
      <c r="V405" s="295" t="n"/>
      <c r="W405" s="290" t="n"/>
      <c r="X405" s="295" t="n"/>
      <c r="Y405" s="295" t="n"/>
      <c r="Z405" s="295" t="n"/>
      <c r="AA405" s="295" t="n"/>
      <c r="AB405" s="293" t="n"/>
      <c r="AC405" s="295" t="n"/>
      <c r="AD405" s="295" t="n"/>
      <c r="AE405" s="294" t="n"/>
    </row>
    <row r="406">
      <c r="B406" s="279" t="n"/>
      <c r="C406" s="280" t="n"/>
      <c r="D406" s="295" t="n"/>
      <c r="E406" s="295" t="n"/>
      <c r="F406" s="295" t="n"/>
      <c r="G406" s="282" t="n"/>
      <c r="H406" s="295" t="n"/>
      <c r="I406" s="295" t="n"/>
      <c r="J406" s="282" t="n"/>
      <c r="K406" s="345" t="n"/>
      <c r="L406" s="295" t="n"/>
      <c r="M406" s="346" t="n"/>
      <c r="N406" s="295" t="n"/>
      <c r="O406" s="285" t="n"/>
      <c r="P406" s="295" t="n"/>
      <c r="Q406" s="295" t="n"/>
      <c r="R406" s="282" t="n"/>
      <c r="S406" s="295" t="n"/>
      <c r="T406" s="295" t="n"/>
      <c r="U406" s="285" t="n"/>
      <c r="V406" s="295" t="n"/>
      <c r="W406" s="282" t="n"/>
      <c r="X406" s="295" t="n"/>
      <c r="Y406" s="295" t="n"/>
      <c r="Z406" s="295" t="n"/>
      <c r="AA406" s="295" t="n"/>
      <c r="AB406" s="285" t="n"/>
      <c r="AC406" s="295" t="n"/>
      <c r="AD406" s="295" t="n"/>
      <c r="AE406" s="286" t="n"/>
    </row>
    <row r="407">
      <c r="B407" s="287" t="n"/>
      <c r="C407" s="288" t="n"/>
      <c r="D407" s="295" t="n"/>
      <c r="E407" s="295" t="n"/>
      <c r="F407" s="295" t="n"/>
      <c r="G407" s="290" t="n"/>
      <c r="H407" s="295" t="n"/>
      <c r="I407" s="295" t="n"/>
      <c r="J407" s="290" t="n"/>
      <c r="K407" s="347" t="n"/>
      <c r="L407" s="295" t="n"/>
      <c r="M407" s="348" t="n"/>
      <c r="N407" s="295" t="n"/>
      <c r="O407" s="293" t="n"/>
      <c r="P407" s="295" t="n"/>
      <c r="Q407" s="295" t="n"/>
      <c r="R407" s="290" t="n"/>
      <c r="S407" s="295" t="n"/>
      <c r="T407" s="295" t="n"/>
      <c r="U407" s="293" t="n"/>
      <c r="V407" s="295" t="n"/>
      <c r="W407" s="290" t="n"/>
      <c r="X407" s="295" t="n"/>
      <c r="Y407" s="295" t="n"/>
      <c r="Z407" s="295" t="n"/>
      <c r="AA407" s="295" t="n"/>
      <c r="AB407" s="293" t="n"/>
      <c r="AC407" s="295" t="n"/>
      <c r="AD407" s="295" t="n"/>
      <c r="AE407" s="294" t="n"/>
    </row>
    <row r="408">
      <c r="B408" s="279" t="n"/>
      <c r="C408" s="280" t="n"/>
      <c r="D408" s="295" t="n"/>
      <c r="E408" s="295" t="n"/>
      <c r="F408" s="295" t="n"/>
      <c r="G408" s="282" t="n"/>
      <c r="H408" s="295" t="n"/>
      <c r="I408" s="295" t="n"/>
      <c r="J408" s="282" t="n"/>
      <c r="K408" s="345" t="n"/>
      <c r="L408" s="295" t="n"/>
      <c r="M408" s="346" t="n"/>
      <c r="N408" s="295" t="n"/>
      <c r="O408" s="285" t="n"/>
      <c r="P408" s="295" t="n"/>
      <c r="Q408" s="295" t="n"/>
      <c r="R408" s="282" t="n"/>
      <c r="S408" s="295" t="n"/>
      <c r="T408" s="295" t="n"/>
      <c r="U408" s="285" t="n"/>
      <c r="V408" s="295" t="n"/>
      <c r="W408" s="282" t="n"/>
      <c r="X408" s="295" t="n"/>
      <c r="Y408" s="295" t="n"/>
      <c r="Z408" s="295" t="n"/>
      <c r="AA408" s="295" t="n"/>
      <c r="AB408" s="285" t="n"/>
      <c r="AC408" s="295" t="n"/>
      <c r="AD408" s="295" t="n"/>
      <c r="AE408" s="286" t="n"/>
    </row>
    <row r="409">
      <c r="B409" s="287" t="n"/>
      <c r="C409" s="288" t="n"/>
      <c r="D409" s="295" t="n"/>
      <c r="E409" s="295" t="n"/>
      <c r="F409" s="295" t="n"/>
      <c r="G409" s="290" t="n"/>
      <c r="H409" s="295" t="n"/>
      <c r="I409" s="295" t="n"/>
      <c r="J409" s="290" t="n"/>
      <c r="K409" s="347" t="n"/>
      <c r="L409" s="295" t="n"/>
      <c r="M409" s="348" t="n"/>
      <c r="N409" s="295" t="n"/>
      <c r="O409" s="293" t="n"/>
      <c r="P409" s="295" t="n"/>
      <c r="Q409" s="295" t="n"/>
      <c r="R409" s="290" t="n"/>
      <c r="S409" s="295" t="n"/>
      <c r="T409" s="295" t="n"/>
      <c r="U409" s="293" t="n"/>
      <c r="V409" s="295" t="n"/>
      <c r="W409" s="290" t="n"/>
      <c r="X409" s="295" t="n"/>
      <c r="Y409" s="295" t="n"/>
      <c r="Z409" s="295" t="n"/>
      <c r="AA409" s="295" t="n"/>
      <c r="AB409" s="293" t="n"/>
      <c r="AC409" s="295" t="n"/>
      <c r="AD409" s="295" t="n"/>
      <c r="AE409" s="294" t="n"/>
    </row>
    <row r="410">
      <c r="B410" s="279" t="n"/>
      <c r="C410" s="280" t="n"/>
      <c r="D410" s="295" t="n"/>
      <c r="E410" s="295" t="n"/>
      <c r="F410" s="295" t="n"/>
      <c r="G410" s="282" t="n"/>
      <c r="H410" s="295" t="n"/>
      <c r="I410" s="295" t="n"/>
      <c r="J410" s="282" t="n"/>
      <c r="K410" s="345" t="n"/>
      <c r="L410" s="295" t="n"/>
      <c r="M410" s="346" t="n"/>
      <c r="N410" s="295" t="n"/>
      <c r="O410" s="285" t="n"/>
      <c r="P410" s="295" t="n"/>
      <c r="Q410" s="295" t="n"/>
      <c r="R410" s="282" t="n"/>
      <c r="S410" s="295" t="n"/>
      <c r="T410" s="295" t="n"/>
      <c r="U410" s="285" t="n"/>
      <c r="V410" s="295" t="n"/>
      <c r="W410" s="282" t="n"/>
      <c r="X410" s="295" t="n"/>
      <c r="Y410" s="295" t="n"/>
      <c r="Z410" s="295" t="n"/>
      <c r="AA410" s="295" t="n"/>
      <c r="AB410" s="285" t="n"/>
      <c r="AC410" s="295" t="n"/>
      <c r="AD410" s="295" t="n"/>
      <c r="AE410" s="286" t="n"/>
    </row>
    <row r="411">
      <c r="B411" s="287" t="n"/>
      <c r="C411" s="288" t="n"/>
      <c r="D411" s="295" t="n"/>
      <c r="E411" s="295" t="n"/>
      <c r="F411" s="295" t="n"/>
      <c r="G411" s="290" t="n"/>
      <c r="H411" s="295" t="n"/>
      <c r="I411" s="295" t="n"/>
      <c r="J411" s="290" t="n"/>
      <c r="K411" s="347" t="n"/>
      <c r="L411" s="295" t="n"/>
      <c r="M411" s="348" t="n"/>
      <c r="N411" s="295" t="n"/>
      <c r="O411" s="293" t="n"/>
      <c r="P411" s="295" t="n"/>
      <c r="Q411" s="295" t="n"/>
      <c r="R411" s="290" t="n"/>
      <c r="S411" s="295" t="n"/>
      <c r="T411" s="295" t="n"/>
      <c r="U411" s="293" t="n"/>
      <c r="V411" s="295" t="n"/>
      <c r="W411" s="290" t="n"/>
      <c r="X411" s="295" t="n"/>
      <c r="Y411" s="295" t="n"/>
      <c r="Z411" s="295" t="n"/>
      <c r="AA411" s="295" t="n"/>
      <c r="AB411" s="293" t="n"/>
      <c r="AC411" s="295" t="n"/>
      <c r="AD411" s="295" t="n"/>
      <c r="AE411" s="294" t="n"/>
    </row>
    <row r="412">
      <c r="B412" s="279" t="n"/>
      <c r="C412" s="280" t="n"/>
      <c r="D412" s="295" t="n"/>
      <c r="E412" s="295" t="n"/>
      <c r="F412" s="295" t="n"/>
      <c r="G412" s="282" t="n"/>
      <c r="H412" s="295" t="n"/>
      <c r="I412" s="295" t="n"/>
      <c r="J412" s="282" t="n"/>
      <c r="K412" s="345" t="n"/>
      <c r="L412" s="295" t="n"/>
      <c r="M412" s="346" t="n"/>
      <c r="N412" s="295" t="n"/>
      <c r="O412" s="285" t="n"/>
      <c r="P412" s="295" t="n"/>
      <c r="Q412" s="295" t="n"/>
      <c r="R412" s="282" t="n"/>
      <c r="S412" s="295" t="n"/>
      <c r="T412" s="295" t="n"/>
      <c r="U412" s="285" t="n"/>
      <c r="V412" s="295" t="n"/>
      <c r="W412" s="282" t="n"/>
      <c r="X412" s="295" t="n"/>
      <c r="Y412" s="295" t="n"/>
      <c r="Z412" s="295" t="n"/>
      <c r="AA412" s="295" t="n"/>
      <c r="AB412" s="285" t="n"/>
      <c r="AC412" s="295" t="n"/>
      <c r="AD412" s="295" t="n"/>
      <c r="AE412" s="286" t="n"/>
    </row>
    <row r="413">
      <c r="B413" s="287" t="n"/>
      <c r="C413" s="288" t="n"/>
      <c r="D413" s="295" t="n"/>
      <c r="E413" s="295" t="n"/>
      <c r="F413" s="295" t="n"/>
      <c r="G413" s="290" t="n"/>
      <c r="H413" s="295" t="n"/>
      <c r="I413" s="295" t="n"/>
      <c r="J413" s="290" t="n"/>
      <c r="K413" s="347" t="n"/>
      <c r="L413" s="295" t="n"/>
      <c r="M413" s="348" t="n"/>
      <c r="N413" s="295" t="n"/>
      <c r="O413" s="293" t="n"/>
      <c r="P413" s="295" t="n"/>
      <c r="Q413" s="295" t="n"/>
      <c r="R413" s="290" t="n"/>
      <c r="S413" s="295" t="n"/>
      <c r="T413" s="295" t="n"/>
      <c r="U413" s="293" t="n"/>
      <c r="V413" s="295" t="n"/>
      <c r="W413" s="290" t="n"/>
      <c r="X413" s="295" t="n"/>
      <c r="Y413" s="295" t="n"/>
      <c r="Z413" s="295" t="n"/>
      <c r="AA413" s="295" t="n"/>
      <c r="AB413" s="293" t="n"/>
      <c r="AC413" s="295" t="n"/>
      <c r="AD413" s="295" t="n"/>
      <c r="AE413" s="294" t="n"/>
    </row>
    <row r="414">
      <c r="B414" s="279" t="n"/>
      <c r="C414" s="280" t="n"/>
      <c r="D414" s="295" t="n"/>
      <c r="E414" s="295" t="n"/>
      <c r="F414" s="295" t="n"/>
      <c r="G414" s="282" t="n"/>
      <c r="H414" s="295" t="n"/>
      <c r="I414" s="295" t="n"/>
      <c r="J414" s="282" t="n"/>
      <c r="K414" s="345" t="n"/>
      <c r="L414" s="295" t="n"/>
      <c r="M414" s="346" t="n"/>
      <c r="N414" s="295" t="n"/>
      <c r="O414" s="285" t="n"/>
      <c r="P414" s="295" t="n"/>
      <c r="Q414" s="295" t="n"/>
      <c r="R414" s="282" t="n"/>
      <c r="S414" s="295" t="n"/>
      <c r="T414" s="295" t="n"/>
      <c r="U414" s="285" t="n"/>
      <c r="V414" s="295" t="n"/>
      <c r="W414" s="282" t="n"/>
      <c r="X414" s="295" t="n"/>
      <c r="Y414" s="295" t="n"/>
      <c r="Z414" s="295" t="n"/>
      <c r="AA414" s="295" t="n"/>
      <c r="AB414" s="285" t="n"/>
      <c r="AC414" s="295" t="n"/>
      <c r="AD414" s="295" t="n"/>
      <c r="AE414" s="286" t="n"/>
    </row>
    <row r="415">
      <c r="B415" s="287" t="n"/>
      <c r="C415" s="288" t="n"/>
      <c r="D415" s="295" t="n"/>
      <c r="E415" s="295" t="n"/>
      <c r="F415" s="295" t="n"/>
      <c r="G415" s="290" t="n"/>
      <c r="H415" s="295" t="n"/>
      <c r="I415" s="295" t="n"/>
      <c r="J415" s="290" t="n"/>
      <c r="K415" s="347" t="n"/>
      <c r="L415" s="295" t="n"/>
      <c r="M415" s="348" t="n"/>
      <c r="N415" s="295" t="n"/>
      <c r="O415" s="293" t="n"/>
      <c r="P415" s="295" t="n"/>
      <c r="Q415" s="295" t="n"/>
      <c r="R415" s="290" t="n"/>
      <c r="S415" s="295" t="n"/>
      <c r="T415" s="295" t="n"/>
      <c r="U415" s="293" t="n"/>
      <c r="V415" s="295" t="n"/>
      <c r="W415" s="290" t="n"/>
      <c r="X415" s="295" t="n"/>
      <c r="Y415" s="295" t="n"/>
      <c r="Z415" s="295" t="n"/>
      <c r="AA415" s="295" t="n"/>
      <c r="AB415" s="293" t="n"/>
      <c r="AC415" s="295" t="n"/>
      <c r="AD415" s="295" t="n"/>
      <c r="AE415" s="294" t="n"/>
    </row>
    <row r="416">
      <c r="B416" s="279" t="n"/>
      <c r="C416" s="280" t="n"/>
      <c r="D416" s="295" t="n"/>
      <c r="E416" s="295" t="n"/>
      <c r="F416" s="295" t="n"/>
      <c r="G416" s="282" t="n"/>
      <c r="H416" s="295" t="n"/>
      <c r="I416" s="295" t="n"/>
      <c r="J416" s="282" t="n"/>
      <c r="K416" s="345" t="n"/>
      <c r="L416" s="295" t="n"/>
      <c r="M416" s="346" t="n"/>
      <c r="N416" s="295" t="n"/>
      <c r="O416" s="285" t="n"/>
      <c r="P416" s="295" t="n"/>
      <c r="Q416" s="295" t="n"/>
      <c r="R416" s="282" t="n"/>
      <c r="S416" s="295" t="n"/>
      <c r="T416" s="295" t="n"/>
      <c r="U416" s="285" t="n"/>
      <c r="V416" s="295" t="n"/>
      <c r="W416" s="282" t="n"/>
      <c r="X416" s="295" t="n"/>
      <c r="Y416" s="295" t="n"/>
      <c r="Z416" s="295" t="n"/>
      <c r="AA416" s="295" t="n"/>
      <c r="AB416" s="285" t="n"/>
      <c r="AC416" s="295" t="n"/>
      <c r="AD416" s="295" t="n"/>
      <c r="AE416" s="286" t="n"/>
    </row>
    <row r="417">
      <c r="B417" s="287" t="n"/>
      <c r="C417" s="288" t="n"/>
      <c r="D417" s="295" t="n"/>
      <c r="E417" s="295" t="n"/>
      <c r="F417" s="295" t="n"/>
      <c r="G417" s="290" t="n"/>
      <c r="H417" s="295" t="n"/>
      <c r="I417" s="295" t="n"/>
      <c r="J417" s="290" t="n"/>
      <c r="K417" s="347" t="n"/>
      <c r="L417" s="295" t="n"/>
      <c r="M417" s="348" t="n"/>
      <c r="N417" s="295" t="n"/>
      <c r="O417" s="293" t="n"/>
      <c r="P417" s="295" t="n"/>
      <c r="Q417" s="295" t="n"/>
      <c r="R417" s="290" t="n"/>
      <c r="S417" s="295" t="n"/>
      <c r="T417" s="295" t="n"/>
      <c r="U417" s="293" t="n"/>
      <c r="V417" s="295" t="n"/>
      <c r="W417" s="290" t="n"/>
      <c r="X417" s="295" t="n"/>
      <c r="Y417" s="295" t="n"/>
      <c r="Z417" s="295" t="n"/>
      <c r="AA417" s="295" t="n"/>
      <c r="AB417" s="293" t="n"/>
      <c r="AC417" s="295" t="n"/>
      <c r="AD417" s="295" t="n"/>
      <c r="AE417" s="294" t="n"/>
    </row>
    <row r="418">
      <c r="B418" s="279" t="n"/>
      <c r="C418" s="280" t="n"/>
      <c r="D418" s="295" t="n"/>
      <c r="E418" s="295" t="n"/>
      <c r="F418" s="295" t="n"/>
      <c r="G418" s="282" t="n"/>
      <c r="H418" s="295" t="n"/>
      <c r="I418" s="295" t="n"/>
      <c r="J418" s="282" t="n"/>
      <c r="K418" s="345" t="n"/>
      <c r="L418" s="295" t="n"/>
      <c r="M418" s="346" t="n"/>
      <c r="N418" s="295" t="n"/>
      <c r="O418" s="285" t="n"/>
      <c r="P418" s="295" t="n"/>
      <c r="Q418" s="295" t="n"/>
      <c r="R418" s="282" t="n"/>
      <c r="S418" s="295" t="n"/>
      <c r="T418" s="295" t="n"/>
      <c r="U418" s="285" t="n"/>
      <c r="V418" s="295" t="n"/>
      <c r="W418" s="282" t="n"/>
      <c r="X418" s="295" t="n"/>
      <c r="Y418" s="295" t="n"/>
      <c r="Z418" s="295" t="n"/>
      <c r="AA418" s="295" t="n"/>
      <c r="AB418" s="285" t="n"/>
      <c r="AC418" s="295" t="n"/>
      <c r="AD418" s="295" t="n"/>
      <c r="AE418" s="286" t="n"/>
    </row>
    <row r="419">
      <c r="B419" s="287" t="n"/>
      <c r="C419" s="288" t="n"/>
      <c r="D419" s="295" t="n"/>
      <c r="E419" s="295" t="n"/>
      <c r="F419" s="295" t="n"/>
      <c r="G419" s="290" t="n"/>
      <c r="H419" s="295" t="n"/>
      <c r="I419" s="295" t="n"/>
      <c r="J419" s="290" t="n"/>
      <c r="K419" s="347" t="n"/>
      <c r="L419" s="295" t="n"/>
      <c r="M419" s="348" t="n"/>
      <c r="N419" s="295" t="n"/>
      <c r="O419" s="293" t="n"/>
      <c r="P419" s="295" t="n"/>
      <c r="Q419" s="295" t="n"/>
      <c r="R419" s="290" t="n"/>
      <c r="S419" s="295" t="n"/>
      <c r="T419" s="295" t="n"/>
      <c r="U419" s="293" t="n"/>
      <c r="V419" s="295" t="n"/>
      <c r="W419" s="290" t="n"/>
      <c r="X419" s="295" t="n"/>
      <c r="Y419" s="295" t="n"/>
      <c r="Z419" s="295" t="n"/>
      <c r="AA419" s="295" t="n"/>
      <c r="AB419" s="293" t="n"/>
      <c r="AC419" s="295" t="n"/>
      <c r="AD419" s="295" t="n"/>
      <c r="AE419" s="294" t="n"/>
    </row>
    <row r="420">
      <c r="B420" s="279" t="n"/>
      <c r="C420" s="280" t="n"/>
      <c r="D420" s="295" t="n"/>
      <c r="E420" s="295" t="n"/>
      <c r="F420" s="295" t="n"/>
      <c r="G420" s="282" t="n"/>
      <c r="H420" s="295" t="n"/>
      <c r="I420" s="295" t="n"/>
      <c r="J420" s="282" t="n"/>
      <c r="K420" s="345" t="n"/>
      <c r="L420" s="295" t="n"/>
      <c r="M420" s="346" t="n"/>
      <c r="N420" s="295" t="n"/>
      <c r="O420" s="285" t="n"/>
      <c r="P420" s="295" t="n"/>
      <c r="Q420" s="295" t="n"/>
      <c r="R420" s="282" t="n"/>
      <c r="S420" s="295" t="n"/>
      <c r="T420" s="295" t="n"/>
      <c r="U420" s="285" t="n"/>
      <c r="V420" s="295" t="n"/>
      <c r="W420" s="282" t="n"/>
      <c r="X420" s="295" t="n"/>
      <c r="Y420" s="295" t="n"/>
      <c r="Z420" s="295" t="n"/>
      <c r="AA420" s="295" t="n"/>
      <c r="AB420" s="285" t="n"/>
      <c r="AC420" s="295" t="n"/>
      <c r="AD420" s="295" t="n"/>
      <c r="AE420" s="286" t="n"/>
    </row>
    <row r="421">
      <c r="B421" s="287" t="n"/>
      <c r="C421" s="288" t="n"/>
      <c r="D421" s="295" t="n"/>
      <c r="E421" s="295" t="n"/>
      <c r="F421" s="295" t="n"/>
      <c r="G421" s="290" t="n"/>
      <c r="H421" s="295" t="n"/>
      <c r="I421" s="295" t="n"/>
      <c r="J421" s="290" t="n"/>
      <c r="K421" s="347" t="n"/>
      <c r="L421" s="295" t="n"/>
      <c r="M421" s="348" t="n"/>
      <c r="N421" s="295" t="n"/>
      <c r="O421" s="293" t="n"/>
      <c r="P421" s="295" t="n"/>
      <c r="Q421" s="295" t="n"/>
      <c r="R421" s="290" t="n"/>
      <c r="S421" s="295" t="n"/>
      <c r="T421" s="295" t="n"/>
      <c r="U421" s="293" t="n"/>
      <c r="V421" s="295" t="n"/>
      <c r="W421" s="290" t="n"/>
      <c r="X421" s="295" t="n"/>
      <c r="Y421" s="295" t="n"/>
      <c r="Z421" s="295" t="n"/>
      <c r="AA421" s="295" t="n"/>
      <c r="AB421" s="293" t="n"/>
      <c r="AC421" s="295" t="n"/>
      <c r="AD421" s="295" t="n"/>
      <c r="AE421" s="294" t="n"/>
    </row>
    <row r="422">
      <c r="B422" s="279" t="n"/>
      <c r="C422" s="280" t="n"/>
      <c r="D422" s="295" t="n"/>
      <c r="E422" s="295" t="n"/>
      <c r="F422" s="295" t="n"/>
      <c r="G422" s="282" t="n"/>
      <c r="H422" s="295" t="n"/>
      <c r="I422" s="295" t="n"/>
      <c r="J422" s="282" t="n"/>
      <c r="K422" s="345" t="n"/>
      <c r="L422" s="295" t="n"/>
      <c r="M422" s="346" t="n"/>
      <c r="N422" s="295" t="n"/>
      <c r="O422" s="285" t="n"/>
      <c r="P422" s="295" t="n"/>
      <c r="Q422" s="295" t="n"/>
      <c r="R422" s="282" t="n"/>
      <c r="S422" s="295" t="n"/>
      <c r="T422" s="295" t="n"/>
      <c r="U422" s="285" t="n"/>
      <c r="V422" s="295" t="n"/>
      <c r="W422" s="282" t="n"/>
      <c r="X422" s="295" t="n"/>
      <c r="Y422" s="295" t="n"/>
      <c r="Z422" s="295" t="n"/>
      <c r="AA422" s="295" t="n"/>
      <c r="AB422" s="285" t="n"/>
      <c r="AC422" s="295" t="n"/>
      <c r="AD422" s="295" t="n"/>
      <c r="AE422" s="286" t="n"/>
    </row>
    <row r="423">
      <c r="B423" s="287" t="n"/>
      <c r="C423" s="288" t="n"/>
      <c r="D423" s="295" t="n"/>
      <c r="E423" s="295" t="n"/>
      <c r="F423" s="295" t="n"/>
      <c r="G423" s="290" t="n"/>
      <c r="H423" s="295" t="n"/>
      <c r="I423" s="295" t="n"/>
      <c r="J423" s="290" t="n"/>
      <c r="K423" s="347" t="n"/>
      <c r="L423" s="295" t="n"/>
      <c r="M423" s="348" t="n"/>
      <c r="N423" s="295" t="n"/>
      <c r="O423" s="293" t="n"/>
      <c r="P423" s="295" t="n"/>
      <c r="Q423" s="295" t="n"/>
      <c r="R423" s="290" t="n"/>
      <c r="S423" s="295" t="n"/>
      <c r="T423" s="295" t="n"/>
      <c r="U423" s="293" t="n"/>
      <c r="V423" s="295" t="n"/>
      <c r="W423" s="290" t="n"/>
      <c r="X423" s="295" t="n"/>
      <c r="Y423" s="295" t="n"/>
      <c r="Z423" s="295" t="n"/>
      <c r="AA423" s="295" t="n"/>
      <c r="AB423" s="293" t="n"/>
      <c r="AC423" s="295" t="n"/>
      <c r="AD423" s="295" t="n"/>
      <c r="AE423" s="294" t="n"/>
    </row>
    <row r="424">
      <c r="B424" s="279" t="n"/>
      <c r="C424" s="280" t="n"/>
      <c r="D424" s="295" t="n"/>
      <c r="E424" s="295" t="n"/>
      <c r="F424" s="295" t="n"/>
      <c r="G424" s="282" t="n"/>
      <c r="H424" s="295" t="n"/>
      <c r="I424" s="295" t="n"/>
      <c r="J424" s="282" t="n"/>
      <c r="K424" s="345" t="n"/>
      <c r="L424" s="295" t="n"/>
      <c r="M424" s="346" t="n"/>
      <c r="N424" s="295" t="n"/>
      <c r="O424" s="285" t="n"/>
      <c r="P424" s="295" t="n"/>
      <c r="Q424" s="295" t="n"/>
      <c r="R424" s="282" t="n"/>
      <c r="S424" s="295" t="n"/>
      <c r="T424" s="295" t="n"/>
      <c r="U424" s="285" t="n"/>
      <c r="V424" s="295" t="n"/>
      <c r="W424" s="282" t="n"/>
      <c r="X424" s="295" t="n"/>
      <c r="Y424" s="295" t="n"/>
      <c r="Z424" s="295" t="n"/>
      <c r="AA424" s="295" t="n"/>
      <c r="AB424" s="285" t="n"/>
      <c r="AC424" s="295" t="n"/>
      <c r="AD424" s="295" t="n"/>
      <c r="AE424" s="286" t="n"/>
    </row>
    <row r="425">
      <c r="B425" s="287" t="n"/>
      <c r="C425" s="288" t="n"/>
      <c r="D425" s="295" t="n"/>
      <c r="E425" s="295" t="n"/>
      <c r="F425" s="295" t="n"/>
      <c r="G425" s="290" t="n"/>
      <c r="H425" s="295" t="n"/>
      <c r="I425" s="295" t="n"/>
      <c r="J425" s="290" t="n"/>
      <c r="K425" s="347" t="n"/>
      <c r="L425" s="295" t="n"/>
      <c r="M425" s="348" t="n"/>
      <c r="N425" s="295" t="n"/>
      <c r="O425" s="293" t="n"/>
      <c r="P425" s="295" t="n"/>
      <c r="Q425" s="295" t="n"/>
      <c r="R425" s="290" t="n"/>
      <c r="S425" s="295" t="n"/>
      <c r="T425" s="295" t="n"/>
      <c r="U425" s="293" t="n"/>
      <c r="V425" s="295" t="n"/>
      <c r="W425" s="290" t="n"/>
      <c r="X425" s="295" t="n"/>
      <c r="Y425" s="295" t="n"/>
      <c r="Z425" s="295" t="n"/>
      <c r="AA425" s="295" t="n"/>
      <c r="AB425" s="293" t="n"/>
      <c r="AC425" s="295" t="n"/>
      <c r="AD425" s="295" t="n"/>
      <c r="AE425" s="294" t="n"/>
    </row>
    <row r="426">
      <c r="B426" s="279" t="n"/>
      <c r="C426" s="280" t="n"/>
      <c r="D426" s="295" t="n"/>
      <c r="E426" s="295" t="n"/>
      <c r="F426" s="295" t="n"/>
      <c r="G426" s="282" t="n"/>
      <c r="H426" s="295" t="n"/>
      <c r="I426" s="295" t="n"/>
      <c r="J426" s="282" t="n"/>
      <c r="K426" s="345" t="n"/>
      <c r="L426" s="295" t="n"/>
      <c r="M426" s="346" t="n"/>
      <c r="N426" s="295" t="n"/>
      <c r="O426" s="285" t="n"/>
      <c r="P426" s="295" t="n"/>
      <c r="Q426" s="295" t="n"/>
      <c r="R426" s="282" t="n"/>
      <c r="S426" s="295" t="n"/>
      <c r="T426" s="295" t="n"/>
      <c r="U426" s="285" t="n"/>
      <c r="V426" s="295" t="n"/>
      <c r="W426" s="282" t="n"/>
      <c r="X426" s="295" t="n"/>
      <c r="Y426" s="295" t="n"/>
      <c r="Z426" s="295" t="n"/>
      <c r="AA426" s="295" t="n"/>
      <c r="AB426" s="285" t="n"/>
      <c r="AC426" s="295" t="n"/>
      <c r="AD426" s="295" t="n"/>
      <c r="AE426" s="286" t="n"/>
    </row>
    <row r="427">
      <c r="B427" s="287" t="n"/>
      <c r="C427" s="288" t="n"/>
      <c r="D427" s="295" t="n"/>
      <c r="E427" s="295" t="n"/>
      <c r="F427" s="295" t="n"/>
      <c r="G427" s="290" t="n"/>
      <c r="H427" s="295" t="n"/>
      <c r="I427" s="295" t="n"/>
      <c r="J427" s="290" t="n"/>
      <c r="K427" s="347" t="n"/>
      <c r="L427" s="295" t="n"/>
      <c r="M427" s="348" t="n"/>
      <c r="N427" s="295" t="n"/>
      <c r="O427" s="293" t="n"/>
      <c r="P427" s="295" t="n"/>
      <c r="Q427" s="295" t="n"/>
      <c r="R427" s="290" t="n"/>
      <c r="S427" s="295" t="n"/>
      <c r="T427" s="295" t="n"/>
      <c r="U427" s="293" t="n"/>
      <c r="V427" s="295" t="n"/>
      <c r="W427" s="290" t="n"/>
      <c r="X427" s="295" t="n"/>
      <c r="Y427" s="295" t="n"/>
      <c r="Z427" s="295" t="n"/>
      <c r="AA427" s="295" t="n"/>
      <c r="AB427" s="293" t="n"/>
      <c r="AC427" s="295" t="n"/>
      <c r="AD427" s="295" t="n"/>
      <c r="AE427" s="294" t="n"/>
    </row>
    <row r="428">
      <c r="B428" s="279" t="n"/>
      <c r="C428" s="280" t="n"/>
      <c r="D428" s="295" t="n"/>
      <c r="E428" s="295" t="n"/>
      <c r="F428" s="295" t="n"/>
      <c r="G428" s="282" t="n"/>
      <c r="H428" s="295" t="n"/>
      <c r="I428" s="295" t="n"/>
      <c r="J428" s="282" t="n"/>
      <c r="K428" s="345" t="n"/>
      <c r="L428" s="295" t="n"/>
      <c r="M428" s="346" t="n"/>
      <c r="N428" s="295" t="n"/>
      <c r="O428" s="285" t="n"/>
      <c r="P428" s="295" t="n"/>
      <c r="Q428" s="295" t="n"/>
      <c r="R428" s="282" t="n"/>
      <c r="S428" s="295" t="n"/>
      <c r="T428" s="295" t="n"/>
      <c r="U428" s="285" t="n"/>
      <c r="V428" s="295" t="n"/>
      <c r="W428" s="282" t="n"/>
      <c r="X428" s="295" t="n"/>
      <c r="Y428" s="295" t="n"/>
      <c r="Z428" s="295" t="n"/>
      <c r="AA428" s="295" t="n"/>
      <c r="AB428" s="285" t="n"/>
      <c r="AC428" s="295" t="n"/>
      <c r="AD428" s="295" t="n"/>
      <c r="AE428" s="286" t="n"/>
    </row>
    <row r="429">
      <c r="B429" s="287" t="n"/>
      <c r="C429" s="288" t="n"/>
      <c r="D429" s="295" t="n"/>
      <c r="E429" s="295" t="n"/>
      <c r="F429" s="295" t="n"/>
      <c r="G429" s="290" t="n"/>
      <c r="H429" s="295" t="n"/>
      <c r="I429" s="295" t="n"/>
      <c r="J429" s="290" t="n"/>
      <c r="K429" s="347" t="n"/>
      <c r="L429" s="295" t="n"/>
      <c r="M429" s="348" t="n"/>
      <c r="N429" s="295" t="n"/>
      <c r="O429" s="293" t="n"/>
      <c r="P429" s="295" t="n"/>
      <c r="Q429" s="295" t="n"/>
      <c r="R429" s="290" t="n"/>
      <c r="S429" s="295" t="n"/>
      <c r="T429" s="295" t="n"/>
      <c r="U429" s="293" t="n"/>
      <c r="V429" s="295" t="n"/>
      <c r="W429" s="290" t="n"/>
      <c r="X429" s="295" t="n"/>
      <c r="Y429" s="295" t="n"/>
      <c r="Z429" s="295" t="n"/>
      <c r="AA429" s="295" t="n"/>
      <c r="AB429" s="293" t="n"/>
      <c r="AC429" s="295" t="n"/>
      <c r="AD429" s="295" t="n"/>
      <c r="AE429" s="294" t="n"/>
    </row>
    <row r="430">
      <c r="B430" s="279" t="n"/>
      <c r="C430" s="280" t="n"/>
      <c r="D430" s="295" t="n"/>
      <c r="E430" s="295" t="n"/>
      <c r="F430" s="295" t="n"/>
      <c r="G430" s="282" t="n"/>
      <c r="H430" s="295" t="n"/>
      <c r="I430" s="295" t="n"/>
      <c r="J430" s="282" t="n"/>
      <c r="K430" s="345" t="n"/>
      <c r="L430" s="295" t="n"/>
      <c r="M430" s="346" t="n"/>
      <c r="N430" s="295" t="n"/>
      <c r="O430" s="285" t="n"/>
      <c r="P430" s="295" t="n"/>
      <c r="Q430" s="295" t="n"/>
      <c r="R430" s="282" t="n"/>
      <c r="S430" s="295" t="n"/>
      <c r="T430" s="295" t="n"/>
      <c r="U430" s="285" t="n"/>
      <c r="V430" s="295" t="n"/>
      <c r="W430" s="282" t="n"/>
      <c r="X430" s="295" t="n"/>
      <c r="Y430" s="295" t="n"/>
      <c r="Z430" s="295" t="n"/>
      <c r="AA430" s="295" t="n"/>
      <c r="AB430" s="285" t="n"/>
      <c r="AC430" s="295" t="n"/>
      <c r="AD430" s="295" t="n"/>
      <c r="AE430" s="286" t="n"/>
    </row>
    <row r="431">
      <c r="B431" s="287" t="n"/>
      <c r="C431" s="288" t="n"/>
      <c r="D431" s="295" t="n"/>
      <c r="E431" s="295" t="n"/>
      <c r="F431" s="295" t="n"/>
      <c r="G431" s="290" t="n"/>
      <c r="H431" s="295" t="n"/>
      <c r="I431" s="295" t="n"/>
      <c r="J431" s="290" t="n"/>
      <c r="K431" s="347" t="n"/>
      <c r="L431" s="295" t="n"/>
      <c r="M431" s="348" t="n"/>
      <c r="N431" s="295" t="n"/>
      <c r="O431" s="293" t="n"/>
      <c r="P431" s="295" t="n"/>
      <c r="Q431" s="295" t="n"/>
      <c r="R431" s="290" t="n"/>
      <c r="S431" s="295" t="n"/>
      <c r="T431" s="295" t="n"/>
      <c r="U431" s="293" t="n"/>
      <c r="V431" s="295" t="n"/>
      <c r="W431" s="290" t="n"/>
      <c r="X431" s="295" t="n"/>
      <c r="Y431" s="295" t="n"/>
      <c r="Z431" s="295" t="n"/>
      <c r="AA431" s="295" t="n"/>
      <c r="AB431" s="293" t="n"/>
      <c r="AC431" s="295" t="n"/>
      <c r="AD431" s="295" t="n"/>
      <c r="AE431" s="294" t="n"/>
    </row>
    <row r="432">
      <c r="B432" s="279" t="n"/>
      <c r="C432" s="280" t="n"/>
      <c r="D432" s="295" t="n"/>
      <c r="E432" s="295" t="n"/>
      <c r="F432" s="295" t="n"/>
      <c r="G432" s="282" t="n"/>
      <c r="H432" s="295" t="n"/>
      <c r="I432" s="295" t="n"/>
      <c r="J432" s="282" t="n"/>
      <c r="K432" s="345" t="n"/>
      <c r="L432" s="295" t="n"/>
      <c r="M432" s="346" t="n"/>
      <c r="N432" s="295" t="n"/>
      <c r="O432" s="285" t="n"/>
      <c r="P432" s="295" t="n"/>
      <c r="Q432" s="295" t="n"/>
      <c r="R432" s="282" t="n"/>
      <c r="S432" s="295" t="n"/>
      <c r="T432" s="295" t="n"/>
      <c r="U432" s="285" t="n"/>
      <c r="V432" s="295" t="n"/>
      <c r="W432" s="282" t="n"/>
      <c r="X432" s="295" t="n"/>
      <c r="Y432" s="295" t="n"/>
      <c r="Z432" s="295" t="n"/>
      <c r="AA432" s="295" t="n"/>
      <c r="AB432" s="285" t="n"/>
      <c r="AC432" s="295" t="n"/>
      <c r="AD432" s="295" t="n"/>
      <c r="AE432" s="286" t="n"/>
    </row>
    <row r="433">
      <c r="B433" s="287" t="n"/>
      <c r="C433" s="288" t="n"/>
      <c r="D433" s="295" t="n"/>
      <c r="E433" s="295" t="n"/>
      <c r="F433" s="295" t="n"/>
      <c r="G433" s="290" t="n"/>
      <c r="H433" s="295" t="n"/>
      <c r="I433" s="295" t="n"/>
      <c r="J433" s="290" t="n"/>
      <c r="K433" s="347" t="n"/>
      <c r="L433" s="295" t="n"/>
      <c r="M433" s="348" t="n"/>
      <c r="N433" s="295" t="n"/>
      <c r="O433" s="293" t="n"/>
      <c r="P433" s="295" t="n"/>
      <c r="Q433" s="295" t="n"/>
      <c r="R433" s="290" t="n"/>
      <c r="S433" s="295" t="n"/>
      <c r="T433" s="295" t="n"/>
      <c r="U433" s="293" t="n"/>
      <c r="V433" s="295" t="n"/>
      <c r="W433" s="290" t="n"/>
      <c r="X433" s="295" t="n"/>
      <c r="Y433" s="295" t="n"/>
      <c r="Z433" s="295" t="n"/>
      <c r="AA433" s="295" t="n"/>
      <c r="AB433" s="293" t="n"/>
      <c r="AC433" s="295" t="n"/>
      <c r="AD433" s="295" t="n"/>
      <c r="AE433" s="294" t="n"/>
    </row>
    <row r="434">
      <c r="B434" s="279" t="n"/>
      <c r="C434" s="280" t="n"/>
      <c r="D434" s="295" t="n"/>
      <c r="E434" s="295" t="n"/>
      <c r="F434" s="295" t="n"/>
      <c r="G434" s="282" t="n"/>
      <c r="H434" s="295" t="n"/>
      <c r="I434" s="295" t="n"/>
      <c r="J434" s="282" t="n"/>
      <c r="K434" s="345" t="n"/>
      <c r="L434" s="295" t="n"/>
      <c r="M434" s="346" t="n"/>
      <c r="N434" s="295" t="n"/>
      <c r="O434" s="285" t="n"/>
      <c r="P434" s="295" t="n"/>
      <c r="Q434" s="295" t="n"/>
      <c r="R434" s="282" t="n"/>
      <c r="S434" s="295" t="n"/>
      <c r="T434" s="295" t="n"/>
      <c r="U434" s="285" t="n"/>
      <c r="V434" s="295" t="n"/>
      <c r="W434" s="282" t="n"/>
      <c r="X434" s="295" t="n"/>
      <c r="Y434" s="295" t="n"/>
      <c r="Z434" s="295" t="n"/>
      <c r="AA434" s="295" t="n"/>
      <c r="AB434" s="285" t="n"/>
      <c r="AC434" s="295" t="n"/>
      <c r="AD434" s="295" t="n"/>
      <c r="AE434" s="286" t="n"/>
    </row>
    <row r="435">
      <c r="B435" s="287" t="n"/>
      <c r="C435" s="288" t="n"/>
      <c r="D435" s="295" t="n"/>
      <c r="E435" s="295" t="n"/>
      <c r="F435" s="295" t="n"/>
      <c r="G435" s="290" t="n"/>
      <c r="H435" s="295" t="n"/>
      <c r="I435" s="295" t="n"/>
      <c r="J435" s="290" t="n"/>
      <c r="K435" s="347" t="n"/>
      <c r="L435" s="295" t="n"/>
      <c r="M435" s="348" t="n"/>
      <c r="N435" s="295" t="n"/>
      <c r="O435" s="293" t="n"/>
      <c r="P435" s="295" t="n"/>
      <c r="Q435" s="295" t="n"/>
      <c r="R435" s="290" t="n"/>
      <c r="S435" s="295" t="n"/>
      <c r="T435" s="295" t="n"/>
      <c r="U435" s="293" t="n"/>
      <c r="V435" s="295" t="n"/>
      <c r="W435" s="290" t="n"/>
      <c r="X435" s="295" t="n"/>
      <c r="Y435" s="295" t="n"/>
      <c r="Z435" s="295" t="n"/>
      <c r="AA435" s="295" t="n"/>
      <c r="AB435" s="293" t="n"/>
      <c r="AC435" s="295" t="n"/>
      <c r="AD435" s="295" t="n"/>
      <c r="AE435" s="294" t="n"/>
    </row>
    <row r="436">
      <c r="B436" s="279" t="n"/>
      <c r="C436" s="280" t="n"/>
      <c r="D436" s="295" t="n"/>
      <c r="E436" s="295" t="n"/>
      <c r="F436" s="295" t="n"/>
      <c r="G436" s="282" t="n"/>
      <c r="H436" s="295" t="n"/>
      <c r="I436" s="295" t="n"/>
      <c r="J436" s="282" t="n"/>
      <c r="K436" s="345" t="n"/>
      <c r="L436" s="295" t="n"/>
      <c r="M436" s="346" t="n"/>
      <c r="N436" s="295" t="n"/>
      <c r="O436" s="285" t="n"/>
      <c r="P436" s="295" t="n"/>
      <c r="Q436" s="295" t="n"/>
      <c r="R436" s="282" t="n"/>
      <c r="S436" s="295" t="n"/>
      <c r="T436" s="295" t="n"/>
      <c r="U436" s="285" t="n"/>
      <c r="V436" s="295" t="n"/>
      <c r="W436" s="282" t="n"/>
      <c r="X436" s="295" t="n"/>
      <c r="Y436" s="295" t="n"/>
      <c r="Z436" s="295" t="n"/>
      <c r="AA436" s="295" t="n"/>
      <c r="AB436" s="285" t="n"/>
      <c r="AC436" s="295" t="n"/>
      <c r="AD436" s="295" t="n"/>
      <c r="AE436" s="286" t="n"/>
    </row>
    <row r="437">
      <c r="B437" s="287" t="n"/>
      <c r="C437" s="288" t="n"/>
      <c r="D437" s="295" t="n"/>
      <c r="E437" s="295" t="n"/>
      <c r="F437" s="295" t="n"/>
      <c r="G437" s="290" t="n"/>
      <c r="H437" s="295" t="n"/>
      <c r="I437" s="295" t="n"/>
      <c r="J437" s="290" t="n"/>
      <c r="K437" s="347" t="n"/>
      <c r="L437" s="295" t="n"/>
      <c r="M437" s="348" t="n"/>
      <c r="N437" s="295" t="n"/>
      <c r="O437" s="293" t="n"/>
      <c r="P437" s="295" t="n"/>
      <c r="Q437" s="295" t="n"/>
      <c r="R437" s="290" t="n"/>
      <c r="S437" s="295" t="n"/>
      <c r="T437" s="295" t="n"/>
      <c r="U437" s="293" t="n"/>
      <c r="V437" s="295" t="n"/>
      <c r="W437" s="290" t="n"/>
      <c r="X437" s="295" t="n"/>
      <c r="Y437" s="295" t="n"/>
      <c r="Z437" s="295" t="n"/>
      <c r="AA437" s="295" t="n"/>
      <c r="AB437" s="293" t="n"/>
      <c r="AC437" s="295" t="n"/>
      <c r="AD437" s="295" t="n"/>
      <c r="AE437" s="294" t="n"/>
    </row>
    <row r="438">
      <c r="B438" s="279" t="n"/>
      <c r="C438" s="280" t="n"/>
      <c r="D438" s="295" t="n"/>
      <c r="E438" s="295" t="n"/>
      <c r="F438" s="295" t="n"/>
      <c r="G438" s="282" t="n"/>
      <c r="H438" s="295" t="n"/>
      <c r="I438" s="295" t="n"/>
      <c r="J438" s="282" t="n"/>
      <c r="K438" s="345" t="n"/>
      <c r="L438" s="295" t="n"/>
      <c r="M438" s="346" t="n"/>
      <c r="N438" s="295" t="n"/>
      <c r="O438" s="285" t="n"/>
      <c r="P438" s="295" t="n"/>
      <c r="Q438" s="295" t="n"/>
      <c r="R438" s="282" t="n"/>
      <c r="S438" s="295" t="n"/>
      <c r="T438" s="295" t="n"/>
      <c r="U438" s="285" t="n"/>
      <c r="V438" s="295" t="n"/>
      <c r="W438" s="282" t="n"/>
      <c r="X438" s="295" t="n"/>
      <c r="Y438" s="295" t="n"/>
      <c r="Z438" s="295" t="n"/>
      <c r="AA438" s="295" t="n"/>
      <c r="AB438" s="285" t="n"/>
      <c r="AC438" s="295" t="n"/>
      <c r="AD438" s="295" t="n"/>
      <c r="AE438" s="286" t="n"/>
    </row>
    <row r="439">
      <c r="B439" s="287" t="n"/>
      <c r="C439" s="288" t="n"/>
      <c r="D439" s="295" t="n"/>
      <c r="E439" s="295" t="n"/>
      <c r="F439" s="295" t="n"/>
      <c r="G439" s="290" t="n"/>
      <c r="H439" s="295" t="n"/>
      <c r="I439" s="295" t="n"/>
      <c r="J439" s="290" t="n"/>
      <c r="K439" s="347" t="n"/>
      <c r="L439" s="295" t="n"/>
      <c r="M439" s="348" t="n"/>
      <c r="N439" s="295" t="n"/>
      <c r="O439" s="293" t="n"/>
      <c r="P439" s="295" t="n"/>
      <c r="Q439" s="295" t="n"/>
      <c r="R439" s="290" t="n"/>
      <c r="S439" s="295" t="n"/>
      <c r="T439" s="295" t="n"/>
      <c r="U439" s="293" t="n"/>
      <c r="V439" s="295" t="n"/>
      <c r="W439" s="290" t="n"/>
      <c r="X439" s="295" t="n"/>
      <c r="Y439" s="295" t="n"/>
      <c r="Z439" s="295" t="n"/>
      <c r="AA439" s="295" t="n"/>
      <c r="AB439" s="293" t="n"/>
      <c r="AC439" s="295" t="n"/>
      <c r="AD439" s="295" t="n"/>
      <c r="AE439" s="294" t="n"/>
    </row>
    <row r="440">
      <c r="B440" s="279" t="n"/>
      <c r="C440" s="280" t="n"/>
      <c r="D440" s="295" t="n"/>
      <c r="E440" s="295" t="n"/>
      <c r="F440" s="295" t="n"/>
      <c r="G440" s="282" t="n"/>
      <c r="H440" s="295" t="n"/>
      <c r="I440" s="295" t="n"/>
      <c r="J440" s="282" t="n"/>
      <c r="K440" s="345" t="n"/>
      <c r="L440" s="295" t="n"/>
      <c r="M440" s="346" t="n"/>
      <c r="N440" s="295" t="n"/>
      <c r="O440" s="285" t="n"/>
      <c r="P440" s="295" t="n"/>
      <c r="Q440" s="295" t="n"/>
      <c r="R440" s="282" t="n"/>
      <c r="S440" s="295" t="n"/>
      <c r="T440" s="295" t="n"/>
      <c r="U440" s="285" t="n"/>
      <c r="V440" s="295" t="n"/>
      <c r="W440" s="282" t="n"/>
      <c r="X440" s="295" t="n"/>
      <c r="Y440" s="295" t="n"/>
      <c r="Z440" s="295" t="n"/>
      <c r="AA440" s="295" t="n"/>
      <c r="AB440" s="285" t="n"/>
      <c r="AC440" s="295" t="n"/>
      <c r="AD440" s="295" t="n"/>
      <c r="AE440" s="286" t="n"/>
    </row>
    <row r="441">
      <c r="B441" s="287" t="n"/>
      <c r="C441" s="288" t="n"/>
      <c r="D441" s="295" t="n"/>
      <c r="E441" s="295" t="n"/>
      <c r="F441" s="295" t="n"/>
      <c r="G441" s="290" t="n"/>
      <c r="H441" s="295" t="n"/>
      <c r="I441" s="295" t="n"/>
      <c r="J441" s="290" t="n"/>
      <c r="K441" s="347" t="n"/>
      <c r="L441" s="295" t="n"/>
      <c r="M441" s="348" t="n"/>
      <c r="N441" s="295" t="n"/>
      <c r="O441" s="293" t="n"/>
      <c r="P441" s="295" t="n"/>
      <c r="Q441" s="295" t="n"/>
      <c r="R441" s="290" t="n"/>
      <c r="S441" s="295" t="n"/>
      <c r="T441" s="295" t="n"/>
      <c r="U441" s="293" t="n"/>
      <c r="V441" s="295" t="n"/>
      <c r="W441" s="290" t="n"/>
      <c r="X441" s="295" t="n"/>
      <c r="Y441" s="295" t="n"/>
      <c r="Z441" s="295" t="n"/>
      <c r="AA441" s="295" t="n"/>
      <c r="AB441" s="293" t="n"/>
      <c r="AC441" s="295" t="n"/>
      <c r="AD441" s="295" t="n"/>
      <c r="AE441" s="294" t="n"/>
    </row>
    <row r="442">
      <c r="B442" s="279" t="n"/>
      <c r="C442" s="280" t="n"/>
      <c r="D442" s="295" t="n"/>
      <c r="E442" s="295" t="n"/>
      <c r="F442" s="295" t="n"/>
      <c r="G442" s="282" t="n"/>
      <c r="H442" s="295" t="n"/>
      <c r="I442" s="295" t="n"/>
      <c r="J442" s="282" t="n"/>
      <c r="K442" s="345" t="n"/>
      <c r="L442" s="295" t="n"/>
      <c r="M442" s="346" t="n"/>
      <c r="N442" s="295" t="n"/>
      <c r="O442" s="285" t="n"/>
      <c r="P442" s="295" t="n"/>
      <c r="Q442" s="295" t="n"/>
      <c r="R442" s="282" t="n"/>
      <c r="S442" s="295" t="n"/>
      <c r="T442" s="295" t="n"/>
      <c r="U442" s="285" t="n"/>
      <c r="V442" s="295" t="n"/>
      <c r="W442" s="282" t="n"/>
      <c r="X442" s="295" t="n"/>
      <c r="Y442" s="295" t="n"/>
      <c r="Z442" s="295" t="n"/>
      <c r="AA442" s="295" t="n"/>
      <c r="AB442" s="285" t="n"/>
      <c r="AC442" s="295" t="n"/>
      <c r="AD442" s="295" t="n"/>
      <c r="AE442" s="286" t="n"/>
    </row>
    <row r="443">
      <c r="B443" s="287" t="n"/>
      <c r="C443" s="288" t="n"/>
      <c r="D443" s="295" t="n"/>
      <c r="E443" s="295" t="n"/>
      <c r="F443" s="295" t="n"/>
      <c r="G443" s="290" t="n"/>
      <c r="H443" s="295" t="n"/>
      <c r="I443" s="295" t="n"/>
      <c r="J443" s="290" t="n"/>
      <c r="K443" s="347" t="n"/>
      <c r="L443" s="295" t="n"/>
      <c r="M443" s="348" t="n"/>
      <c r="N443" s="295" t="n"/>
      <c r="O443" s="293" t="n"/>
      <c r="P443" s="295" t="n"/>
      <c r="Q443" s="295" t="n"/>
      <c r="R443" s="290" t="n"/>
      <c r="S443" s="295" t="n"/>
      <c r="T443" s="295" t="n"/>
      <c r="U443" s="293" t="n"/>
      <c r="V443" s="295" t="n"/>
      <c r="W443" s="290" t="n"/>
      <c r="X443" s="295" t="n"/>
      <c r="Y443" s="295" t="n"/>
      <c r="Z443" s="295" t="n"/>
      <c r="AA443" s="295" t="n"/>
      <c r="AB443" s="293" t="n"/>
      <c r="AC443" s="295" t="n"/>
      <c r="AD443" s="295" t="n"/>
      <c r="AE443" s="294" t="n"/>
    </row>
    <row r="444">
      <c r="B444" s="279" t="n"/>
      <c r="C444" s="280" t="n"/>
      <c r="D444" s="295" t="n"/>
      <c r="E444" s="295" t="n"/>
      <c r="F444" s="295" t="n"/>
      <c r="G444" s="282" t="n"/>
      <c r="H444" s="295" t="n"/>
      <c r="I444" s="295" t="n"/>
      <c r="J444" s="282" t="n"/>
      <c r="K444" s="345" t="n"/>
      <c r="L444" s="295" t="n"/>
      <c r="M444" s="346" t="n"/>
      <c r="N444" s="295" t="n"/>
      <c r="O444" s="285" t="n"/>
      <c r="P444" s="295" t="n"/>
      <c r="Q444" s="295" t="n"/>
      <c r="R444" s="282" t="n"/>
      <c r="S444" s="295" t="n"/>
      <c r="T444" s="295" t="n"/>
      <c r="U444" s="285" t="n"/>
      <c r="V444" s="295" t="n"/>
      <c r="W444" s="282" t="n"/>
      <c r="X444" s="295" t="n"/>
      <c r="Y444" s="295" t="n"/>
      <c r="Z444" s="295" t="n"/>
      <c r="AA444" s="295" t="n"/>
      <c r="AB444" s="285" t="n"/>
      <c r="AC444" s="295" t="n"/>
      <c r="AD444" s="295" t="n"/>
      <c r="AE444" s="286" t="n"/>
    </row>
    <row r="445">
      <c r="B445" s="279" t="n"/>
      <c r="C445" s="280" t="n"/>
      <c r="D445" s="295" t="n"/>
      <c r="E445" s="295" t="n"/>
      <c r="F445" s="295" t="n"/>
      <c r="G445" s="282" t="n"/>
      <c r="H445" s="295" t="n"/>
      <c r="I445" s="295" t="n"/>
      <c r="J445" s="282" t="n"/>
      <c r="K445" s="345" t="n"/>
      <c r="L445" s="295" t="n"/>
      <c r="M445" s="346" t="n"/>
      <c r="N445" s="295" t="n"/>
      <c r="O445" s="285" t="n"/>
      <c r="P445" s="295" t="n"/>
      <c r="Q445" s="295" t="n"/>
      <c r="R445" s="282" t="n"/>
      <c r="S445" s="295" t="n"/>
      <c r="T445" s="295" t="n"/>
      <c r="U445" s="285" t="n"/>
      <c r="V445" s="295" t="n"/>
      <c r="W445" s="282" t="n"/>
      <c r="X445" s="295" t="n"/>
      <c r="Y445" s="295" t="n"/>
      <c r="Z445" s="295" t="n"/>
      <c r="AA445" s="295" t="n"/>
      <c r="AB445" s="285" t="n"/>
      <c r="AC445" s="295" t="n"/>
      <c r="AD445" s="295" t="n"/>
      <c r="AE445" s="286" t="n"/>
    </row>
    <row r="446">
      <c r="B446" s="287" t="n"/>
      <c r="C446" s="288" t="n"/>
      <c r="D446" s="295" t="n"/>
      <c r="E446" s="295" t="n"/>
      <c r="F446" s="295" t="n"/>
      <c r="G446" s="290" t="n"/>
      <c r="H446" s="295" t="n"/>
      <c r="I446" s="295" t="n"/>
      <c r="J446" s="290" t="n"/>
      <c r="K446" s="347" t="n"/>
      <c r="L446" s="295" t="n"/>
      <c r="M446" s="348" t="n"/>
      <c r="N446" s="295" t="n"/>
      <c r="O446" s="293" t="n"/>
      <c r="P446" s="295" t="n"/>
      <c r="Q446" s="295" t="n"/>
      <c r="R446" s="290" t="n"/>
      <c r="S446" s="295" t="n"/>
      <c r="T446" s="295" t="n"/>
      <c r="U446" s="293" t="n"/>
      <c r="V446" s="295" t="n"/>
      <c r="W446" s="290" t="n"/>
      <c r="X446" s="295" t="n"/>
      <c r="Y446" s="295" t="n"/>
      <c r="Z446" s="295" t="n"/>
      <c r="AA446" s="295" t="n"/>
      <c r="AB446" s="293" t="n"/>
      <c r="AC446" s="295" t="n"/>
      <c r="AD446" s="295" t="n"/>
      <c r="AE446" s="294" t="n"/>
    </row>
    <row r="447">
      <c r="B447" s="279" t="n"/>
      <c r="C447" s="280" t="n"/>
      <c r="D447" s="295" t="n"/>
      <c r="E447" s="295" t="n"/>
      <c r="F447" s="295" t="n"/>
      <c r="G447" s="282" t="n"/>
      <c r="H447" s="295" t="n"/>
      <c r="I447" s="295" t="n"/>
      <c r="J447" s="282" t="n"/>
      <c r="K447" s="345" t="n"/>
      <c r="L447" s="295" t="n"/>
      <c r="M447" s="346" t="n"/>
      <c r="N447" s="295" t="n"/>
      <c r="O447" s="285" t="n"/>
      <c r="P447" s="295" t="n"/>
      <c r="Q447" s="295" t="n"/>
      <c r="R447" s="282" t="n"/>
      <c r="S447" s="295" t="n"/>
      <c r="T447" s="295" t="n"/>
      <c r="U447" s="285" t="n"/>
      <c r="V447" s="295" t="n"/>
      <c r="W447" s="282" t="n"/>
      <c r="X447" s="295" t="n"/>
      <c r="Y447" s="295" t="n"/>
      <c r="Z447" s="295" t="n"/>
      <c r="AA447" s="295" t="n"/>
      <c r="AB447" s="285" t="n"/>
      <c r="AC447" s="295" t="n"/>
      <c r="AD447" s="295" t="n"/>
      <c r="AE447" s="286" t="n"/>
    </row>
    <row r="448">
      <c r="B448" s="287" t="n"/>
      <c r="C448" s="288" t="n"/>
      <c r="D448" s="295" t="n"/>
      <c r="E448" s="295" t="n"/>
      <c r="F448" s="295" t="n"/>
      <c r="G448" s="290" t="n"/>
      <c r="H448" s="295" t="n"/>
      <c r="I448" s="295" t="n"/>
      <c r="J448" s="290" t="n"/>
      <c r="K448" s="347" t="n"/>
      <c r="L448" s="295" t="n"/>
      <c r="M448" s="348" t="n"/>
      <c r="N448" s="295" t="n"/>
      <c r="O448" s="293" t="n"/>
      <c r="P448" s="295" t="n"/>
      <c r="Q448" s="295" t="n"/>
      <c r="R448" s="290" t="n"/>
      <c r="S448" s="295" t="n"/>
      <c r="T448" s="295" t="n"/>
      <c r="U448" s="293" t="n"/>
      <c r="V448" s="295" t="n"/>
      <c r="W448" s="290" t="n"/>
      <c r="X448" s="295" t="n"/>
      <c r="Y448" s="295" t="n"/>
      <c r="Z448" s="295" t="n"/>
      <c r="AA448" s="295" t="n"/>
      <c r="AB448" s="293" t="n"/>
      <c r="AC448" s="295" t="n"/>
      <c r="AD448" s="295" t="n"/>
      <c r="AE448" s="294" t="n"/>
    </row>
    <row r="449">
      <c r="B449" s="279" t="n"/>
      <c r="C449" s="280" t="n"/>
      <c r="D449" s="295" t="n"/>
      <c r="E449" s="295" t="n"/>
      <c r="F449" s="295" t="n"/>
      <c r="G449" s="282" t="n"/>
      <c r="H449" s="295" t="n"/>
      <c r="I449" s="295" t="n"/>
      <c r="J449" s="282" t="n"/>
      <c r="K449" s="345" t="n"/>
      <c r="L449" s="295" t="n"/>
      <c r="M449" s="346" t="n"/>
      <c r="N449" s="295" t="n"/>
      <c r="O449" s="285" t="n"/>
      <c r="P449" s="295" t="n"/>
      <c r="Q449" s="295" t="n"/>
      <c r="R449" s="282" t="n"/>
      <c r="S449" s="295" t="n"/>
      <c r="T449" s="295" t="n"/>
      <c r="U449" s="285" t="n"/>
      <c r="V449" s="295" t="n"/>
      <c r="W449" s="282" t="n"/>
      <c r="X449" s="295" t="n"/>
      <c r="Y449" s="295" t="n"/>
      <c r="Z449" s="295" t="n"/>
      <c r="AA449" s="295" t="n"/>
      <c r="AB449" s="285" t="n"/>
      <c r="AC449" s="295" t="n"/>
      <c r="AD449" s="295" t="n"/>
      <c r="AE449" s="286" t="n"/>
    </row>
    <row r="450">
      <c r="B450" s="287" t="n"/>
      <c r="C450" s="288" t="n"/>
      <c r="D450" s="295" t="n"/>
      <c r="E450" s="295" t="n"/>
      <c r="F450" s="295" t="n"/>
      <c r="G450" s="290" t="n"/>
      <c r="H450" s="295" t="n"/>
      <c r="I450" s="295" t="n"/>
      <c r="J450" s="290" t="n"/>
      <c r="K450" s="347" t="n"/>
      <c r="L450" s="295" t="n"/>
      <c r="M450" s="348" t="n"/>
      <c r="N450" s="295" t="n"/>
      <c r="O450" s="293" t="n"/>
      <c r="P450" s="295" t="n"/>
      <c r="Q450" s="295" t="n"/>
      <c r="R450" s="290" t="n"/>
      <c r="S450" s="295" t="n"/>
      <c r="T450" s="295" t="n"/>
      <c r="U450" s="293" t="n"/>
      <c r="V450" s="295" t="n"/>
      <c r="W450" s="290" t="n"/>
      <c r="X450" s="295" t="n"/>
      <c r="Y450" s="295" t="n"/>
      <c r="Z450" s="295" t="n"/>
      <c r="AA450" s="295" t="n"/>
      <c r="AB450" s="293" t="n"/>
      <c r="AC450" s="295" t="n"/>
      <c r="AD450" s="295" t="n"/>
      <c r="AE450" s="294" t="n"/>
    </row>
    <row r="451">
      <c r="B451" s="279" t="n"/>
      <c r="C451" s="280" t="n"/>
      <c r="D451" s="295" t="n"/>
      <c r="E451" s="295" t="n"/>
      <c r="F451" s="295" t="n"/>
      <c r="G451" s="282" t="n"/>
      <c r="H451" s="295" t="n"/>
      <c r="I451" s="295" t="n"/>
      <c r="J451" s="282" t="n"/>
      <c r="K451" s="345" t="n"/>
      <c r="L451" s="295" t="n"/>
      <c r="M451" s="346" t="n"/>
      <c r="N451" s="295" t="n"/>
      <c r="O451" s="285" t="n"/>
      <c r="P451" s="295" t="n"/>
      <c r="Q451" s="295" t="n"/>
      <c r="R451" s="282" t="n"/>
      <c r="S451" s="295" t="n"/>
      <c r="T451" s="295" t="n"/>
      <c r="U451" s="285" t="n"/>
      <c r="V451" s="295" t="n"/>
      <c r="W451" s="282" t="n"/>
      <c r="X451" s="295" t="n"/>
      <c r="Y451" s="295" t="n"/>
      <c r="Z451" s="295" t="n"/>
      <c r="AA451" s="295" t="n"/>
      <c r="AB451" s="285" t="n"/>
      <c r="AC451" s="295" t="n"/>
      <c r="AD451" s="295" t="n"/>
      <c r="AE451" s="286" t="n"/>
    </row>
    <row r="452">
      <c r="B452" s="287" t="n"/>
      <c r="C452" s="288" t="n"/>
      <c r="D452" s="295" t="n"/>
      <c r="E452" s="295" t="n"/>
      <c r="F452" s="295" t="n"/>
      <c r="G452" s="290" t="n"/>
      <c r="H452" s="295" t="n"/>
      <c r="I452" s="295" t="n"/>
      <c r="J452" s="290" t="n"/>
      <c r="K452" s="347" t="n"/>
      <c r="L452" s="295" t="n"/>
      <c r="M452" s="348" t="n"/>
      <c r="N452" s="295" t="n"/>
      <c r="O452" s="293" t="n"/>
      <c r="P452" s="295" t="n"/>
      <c r="Q452" s="295" t="n"/>
      <c r="R452" s="290" t="n"/>
      <c r="S452" s="295" t="n"/>
      <c r="T452" s="295" t="n"/>
      <c r="U452" s="293" t="n"/>
      <c r="V452" s="295" t="n"/>
      <c r="W452" s="290" t="n"/>
      <c r="X452" s="295" t="n"/>
      <c r="Y452" s="295" t="n"/>
      <c r="Z452" s="295" t="n"/>
      <c r="AA452" s="295" t="n"/>
      <c r="AB452" s="293" t="n"/>
      <c r="AC452" s="295" t="n"/>
      <c r="AD452" s="295" t="n"/>
      <c r="AE452" s="294" t="n"/>
    </row>
    <row r="453">
      <c r="B453" s="279" t="n"/>
      <c r="C453" s="280" t="n"/>
      <c r="D453" s="295" t="n"/>
      <c r="E453" s="295" t="n"/>
      <c r="F453" s="295" t="n"/>
      <c r="G453" s="282" t="n"/>
      <c r="H453" s="295" t="n"/>
      <c r="I453" s="295" t="n"/>
      <c r="J453" s="282" t="n"/>
      <c r="K453" s="345" t="n"/>
      <c r="L453" s="295" t="n"/>
      <c r="M453" s="346" t="n"/>
      <c r="N453" s="295" t="n"/>
      <c r="O453" s="285" t="n"/>
      <c r="P453" s="295" t="n"/>
      <c r="Q453" s="295" t="n"/>
      <c r="R453" s="282" t="n"/>
      <c r="S453" s="295" t="n"/>
      <c r="T453" s="295" t="n"/>
      <c r="U453" s="285" t="n"/>
      <c r="V453" s="295" t="n"/>
      <c r="W453" s="282" t="n"/>
      <c r="X453" s="295" t="n"/>
      <c r="Y453" s="295" t="n"/>
      <c r="Z453" s="295" t="n"/>
      <c r="AA453" s="295" t="n"/>
      <c r="AB453" s="285" t="n"/>
      <c r="AC453" s="295" t="n"/>
      <c r="AD453" s="295" t="n"/>
      <c r="AE453" s="286" t="n"/>
    </row>
    <row r="454">
      <c r="B454" s="287" t="n"/>
      <c r="C454" s="288" t="n"/>
      <c r="D454" s="295" t="n"/>
      <c r="E454" s="295" t="n"/>
      <c r="F454" s="295" t="n"/>
      <c r="G454" s="290" t="n"/>
      <c r="H454" s="295" t="n"/>
      <c r="I454" s="295" t="n"/>
      <c r="J454" s="290" t="n"/>
      <c r="K454" s="347" t="n"/>
      <c r="L454" s="295" t="n"/>
      <c r="M454" s="348" t="n"/>
      <c r="N454" s="295" t="n"/>
      <c r="O454" s="293" t="n"/>
      <c r="P454" s="295" t="n"/>
      <c r="Q454" s="295" t="n"/>
      <c r="R454" s="290" t="n"/>
      <c r="S454" s="295" t="n"/>
      <c r="T454" s="295" t="n"/>
      <c r="U454" s="293" t="n"/>
      <c r="V454" s="295" t="n"/>
      <c r="W454" s="290" t="n"/>
      <c r="X454" s="295" t="n"/>
      <c r="Y454" s="295" t="n"/>
      <c r="Z454" s="295" t="n"/>
      <c r="AA454" s="295" t="n"/>
      <c r="AB454" s="293" t="n"/>
      <c r="AC454" s="295" t="n"/>
      <c r="AD454" s="295" t="n"/>
      <c r="AE454" s="294" t="n"/>
    </row>
    <row r="455">
      <c r="B455" s="279" t="n"/>
      <c r="C455" s="280" t="n"/>
      <c r="D455" s="295" t="n"/>
      <c r="E455" s="295" t="n"/>
      <c r="F455" s="295" t="n"/>
      <c r="G455" s="282" t="n"/>
      <c r="H455" s="295" t="n"/>
      <c r="I455" s="295" t="n"/>
      <c r="J455" s="282" t="n"/>
      <c r="K455" s="345" t="n"/>
      <c r="L455" s="295" t="n"/>
      <c r="M455" s="346" t="n"/>
      <c r="N455" s="295" t="n"/>
      <c r="O455" s="285" t="n"/>
      <c r="P455" s="295" t="n"/>
      <c r="Q455" s="295" t="n"/>
      <c r="R455" s="282" t="n"/>
      <c r="S455" s="295" t="n"/>
      <c r="T455" s="295" t="n"/>
      <c r="U455" s="285" t="n"/>
      <c r="V455" s="295" t="n"/>
      <c r="W455" s="282" t="n"/>
      <c r="X455" s="295" t="n"/>
      <c r="Y455" s="295" t="n"/>
      <c r="Z455" s="295" t="n"/>
      <c r="AA455" s="295" t="n"/>
      <c r="AB455" s="285" t="n"/>
      <c r="AC455" s="295" t="n"/>
      <c r="AD455" s="295" t="n"/>
      <c r="AE455" s="286" t="n"/>
    </row>
    <row r="456">
      <c r="B456" s="152" t="n"/>
      <c r="C456" s="153" t="n"/>
      <c r="G456" s="155" t="n"/>
      <c r="J456" s="155" t="n"/>
      <c r="K456" s="349" t="n"/>
      <c r="M456" s="350" t="n"/>
      <c r="O456" s="158" t="n"/>
      <c r="R456" s="155" t="n"/>
      <c r="U456" s="158" t="n"/>
      <c r="W456" s="155" t="n"/>
      <c r="AB456" s="158" t="n"/>
      <c r="AE456" s="159" t="n"/>
    </row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71"/>
  <mergeCells count="1765">
    <mergeCell ref="U420:V420"/>
    <mergeCell ref="R415:T415"/>
    <mergeCell ref="G288:I288"/>
    <mergeCell ref="W367:AA367"/>
    <mergeCell ref="G323:I323"/>
    <mergeCell ref="G298:I298"/>
    <mergeCell ref="U291:V291"/>
    <mergeCell ref="W359:AA359"/>
    <mergeCell ref="G412:I412"/>
    <mergeCell ref="W369:AA369"/>
    <mergeCell ref="R440:T440"/>
    <mergeCell ref="K302:L302"/>
    <mergeCell ref="P158:Q158"/>
    <mergeCell ref="M358:N358"/>
    <mergeCell ref="U293:V293"/>
    <mergeCell ref="U415:V415"/>
    <mergeCell ref="R439:T439"/>
    <mergeCell ref="G443:I443"/>
    <mergeCell ref="U292:V292"/>
    <mergeCell ref="AB430:AD430"/>
    <mergeCell ref="M366:N366"/>
    <mergeCell ref="M360:N360"/>
    <mergeCell ref="R441:T441"/>
    <mergeCell ref="C368:F368"/>
    <mergeCell ref="R435:T435"/>
    <mergeCell ref="U317:V317"/>
    <mergeCell ref="R312:T312"/>
    <mergeCell ref="M361:N361"/>
    <mergeCell ref="C364:F364"/>
    <mergeCell ref="O425:Q425"/>
    <mergeCell ref="K328:L328"/>
    <mergeCell ref="U319:V319"/>
    <mergeCell ref="U318:V318"/>
    <mergeCell ref="W405:AA405"/>
    <mergeCell ref="M392:N392"/>
    <mergeCell ref="U312:V312"/>
    <mergeCell ref="M386:N386"/>
    <mergeCell ref="D219:F219"/>
    <mergeCell ref="W293:AA293"/>
    <mergeCell ref="U320:V320"/>
    <mergeCell ref="W407:AA407"/>
    <mergeCell ref="M394:N394"/>
    <mergeCell ref="U314:V314"/>
    <mergeCell ref="G367:I367"/>
    <mergeCell ref="M387:N387"/>
    <mergeCell ref="W438:AA438"/>
    <mergeCell ref="R365:T365"/>
    <mergeCell ref="O295:Q295"/>
    <mergeCell ref="G369:I369"/>
    <mergeCell ref="R454:T454"/>
    <mergeCell ref="C419:F419"/>
    <mergeCell ref="AB355:AD355"/>
    <mergeCell ref="G368:I368"/>
    <mergeCell ref="W439:AA439"/>
    <mergeCell ref="W433:AA433"/>
    <mergeCell ref="K341:L341"/>
    <mergeCell ref="G364:I364"/>
    <mergeCell ref="M316:N316"/>
    <mergeCell ref="U373:V373"/>
    <mergeCell ref="W435:AA435"/>
    <mergeCell ref="M405:N405"/>
    <mergeCell ref="AB356:AD356"/>
    <mergeCell ref="R376:T376"/>
    <mergeCell ref="U389:V389"/>
    <mergeCell ref="R378:T378"/>
    <mergeCell ref="O341:Q341"/>
    <mergeCell ref="M157:Q157"/>
    <mergeCell ref="U384:V384"/>
    <mergeCell ref="G408:I408"/>
    <mergeCell ref="W365:AA365"/>
    <mergeCell ref="C279:F279"/>
    <mergeCell ref="K273:L273"/>
    <mergeCell ref="U386:V386"/>
    <mergeCell ref="G410:I410"/>
    <mergeCell ref="C281:F281"/>
    <mergeCell ref="G439:I439"/>
    <mergeCell ref="F192:I192"/>
    <mergeCell ref="M331:N331"/>
    <mergeCell ref="L50:M50"/>
    <mergeCell ref="L25:M25"/>
    <mergeCell ref="O395:Q395"/>
    <mergeCell ref="R437:T437"/>
    <mergeCell ref="O367:Q367"/>
    <mergeCell ref="AB428:AD428"/>
    <mergeCell ref="G441:I441"/>
    <mergeCell ref="G435:I435"/>
    <mergeCell ref="L52:M52"/>
    <mergeCell ref="G312:I312"/>
    <mergeCell ref="G434:I434"/>
    <mergeCell ref="O396:Q396"/>
    <mergeCell ref="O390:Q390"/>
    <mergeCell ref="K413:L413"/>
    <mergeCell ref="AB423:AD423"/>
    <mergeCell ref="G436:I436"/>
    <mergeCell ref="U404:V404"/>
    <mergeCell ref="O398:Q398"/>
    <mergeCell ref="W376:AA376"/>
    <mergeCell ref="H256:I256"/>
    <mergeCell ref="K415:L415"/>
    <mergeCell ref="U397:V397"/>
    <mergeCell ref="U316:V316"/>
    <mergeCell ref="W378:AA378"/>
    <mergeCell ref="U310:V310"/>
    <mergeCell ref="K286:L286"/>
    <mergeCell ref="AB297:AD297"/>
    <mergeCell ref="AB299:AD299"/>
    <mergeCell ref="K410:L410"/>
    <mergeCell ref="O414:Q414"/>
    <mergeCell ref="O291:Q291"/>
    <mergeCell ref="R450:T450"/>
    <mergeCell ref="AB292:AD292"/>
    <mergeCell ref="G454:I454"/>
    <mergeCell ref="O293:Q293"/>
    <mergeCell ref="R452:T452"/>
    <mergeCell ref="AB294:AD294"/>
    <mergeCell ref="O409:Q409"/>
    <mergeCell ref="K337:L337"/>
    <mergeCell ref="K312:L312"/>
    <mergeCell ref="AB404:AD404"/>
    <mergeCell ref="H267:I267"/>
    <mergeCell ref="G449:I449"/>
    <mergeCell ref="K339:L339"/>
    <mergeCell ref="K314:L314"/>
    <mergeCell ref="M401:N401"/>
    <mergeCell ref="M395:N395"/>
    <mergeCell ref="U452:V452"/>
    <mergeCell ref="L2:M2"/>
    <mergeCell ref="C380:F380"/>
    <mergeCell ref="U329:V329"/>
    <mergeCell ref="M403:N403"/>
    <mergeCell ref="W432:AA432"/>
    <mergeCell ref="L3:M3"/>
    <mergeCell ref="C434:F434"/>
    <mergeCell ref="M398:N398"/>
    <mergeCell ref="L5:M5"/>
    <mergeCell ref="U380:V380"/>
    <mergeCell ref="M423:N423"/>
    <mergeCell ref="K350:L350"/>
    <mergeCell ref="W450:AA450"/>
    <mergeCell ref="U382:V382"/>
    <mergeCell ref="U357:V357"/>
    <mergeCell ref="M431:N431"/>
    <mergeCell ref="K352:L352"/>
    <mergeCell ref="M414:N414"/>
    <mergeCell ref="C277:F277"/>
    <mergeCell ref="M424:N424"/>
    <mergeCell ref="L21:M21"/>
    <mergeCell ref="C276:F276"/>
    <mergeCell ref="M416:N416"/>
    <mergeCell ref="C278:F278"/>
    <mergeCell ref="K376:L376"/>
    <mergeCell ref="O392:Q392"/>
    <mergeCell ref="L16:M16"/>
    <mergeCell ref="K384:L384"/>
    <mergeCell ref="K378:L378"/>
    <mergeCell ref="O394:Q394"/>
    <mergeCell ref="U393:V393"/>
    <mergeCell ref="M442:N442"/>
    <mergeCell ref="C288:F288"/>
    <mergeCell ref="K379:L379"/>
    <mergeCell ref="U395:V395"/>
    <mergeCell ref="R273:T273"/>
    <mergeCell ref="K406:L406"/>
    <mergeCell ref="G277:I277"/>
    <mergeCell ref="I33:J33"/>
    <mergeCell ref="U426:V426"/>
    <mergeCell ref="O376:Q376"/>
    <mergeCell ref="L44:M44"/>
    <mergeCell ref="K437:L437"/>
    <mergeCell ref="C291:F291"/>
    <mergeCell ref="M284:N284"/>
    <mergeCell ref="AB290:AD290"/>
    <mergeCell ref="O378:Q378"/>
    <mergeCell ref="O405:Q405"/>
    <mergeCell ref="U421:V421"/>
    <mergeCell ref="G445:I445"/>
    <mergeCell ref="C347:F347"/>
    <mergeCell ref="O407:Q407"/>
    <mergeCell ref="K310:L310"/>
    <mergeCell ref="K432:L432"/>
    <mergeCell ref="U423:V423"/>
    <mergeCell ref="K424:L424"/>
    <mergeCell ref="C342:F342"/>
    <mergeCell ref="R292:T292"/>
    <mergeCell ref="C344:F344"/>
    <mergeCell ref="O433:Q433"/>
    <mergeCell ref="K450:L450"/>
    <mergeCell ref="O435:Q435"/>
    <mergeCell ref="W273:AA273"/>
    <mergeCell ref="K452:L452"/>
    <mergeCell ref="AB334:AD334"/>
    <mergeCell ref="G347:I347"/>
    <mergeCell ref="AB336:AD336"/>
    <mergeCell ref="AB329:AD329"/>
    <mergeCell ref="W413:AA413"/>
    <mergeCell ref="AB337:AD337"/>
    <mergeCell ref="AB331:AD331"/>
    <mergeCell ref="K380:L380"/>
    <mergeCell ref="W415:AA415"/>
    <mergeCell ref="M438:N438"/>
    <mergeCell ref="W286:AA286"/>
    <mergeCell ref="K375:L375"/>
    <mergeCell ref="C417:F417"/>
    <mergeCell ref="M440:N440"/>
    <mergeCell ref="C383:F383"/>
    <mergeCell ref="R358:T358"/>
    <mergeCell ref="G362:I362"/>
    <mergeCell ref="M435:N435"/>
    <mergeCell ref="R360:T360"/>
    <mergeCell ref="C287:F287"/>
    <mergeCell ref="G414:I414"/>
    <mergeCell ref="M280:N280"/>
    <mergeCell ref="U417:V417"/>
    <mergeCell ref="C289:F289"/>
    <mergeCell ref="K393:L393"/>
    <mergeCell ref="G416:I416"/>
    <mergeCell ref="U419:V419"/>
    <mergeCell ref="M275:N275"/>
    <mergeCell ref="M311:N311"/>
    <mergeCell ref="C314:F314"/>
    <mergeCell ref="O347:Q347"/>
    <mergeCell ref="C313:F313"/>
    <mergeCell ref="M277:N277"/>
    <mergeCell ref="AB279:AD279"/>
    <mergeCell ref="AB401:AD401"/>
    <mergeCell ref="G286:I286"/>
    <mergeCell ref="C315:F315"/>
    <mergeCell ref="O429:Q429"/>
    <mergeCell ref="R290:T290"/>
    <mergeCell ref="AB281:AD281"/>
    <mergeCell ref="AB403:AD403"/>
    <mergeCell ref="O431:Q431"/>
    <mergeCell ref="AB274:AD274"/>
    <mergeCell ref="G287:I287"/>
    <mergeCell ref="E192:E193"/>
    <mergeCell ref="U430:V430"/>
    <mergeCell ref="W358:AA358"/>
    <mergeCell ref="U290:V290"/>
    <mergeCell ref="R285:T285"/>
    <mergeCell ref="G289:I289"/>
    <mergeCell ref="K416:L416"/>
    <mergeCell ref="W360:AA360"/>
    <mergeCell ref="R316:T316"/>
    <mergeCell ref="G314:I314"/>
    <mergeCell ref="C326:F326"/>
    <mergeCell ref="AB300:AD300"/>
    <mergeCell ref="R274:T274"/>
    <mergeCell ref="O273:Q273"/>
    <mergeCell ref="G305:I305"/>
    <mergeCell ref="R311:T311"/>
    <mergeCell ref="H247:I247"/>
    <mergeCell ref="AB327:AD327"/>
    <mergeCell ref="U308:V308"/>
    <mergeCell ref="O442:Q442"/>
    <mergeCell ref="R303:T303"/>
    <mergeCell ref="W411:AA411"/>
    <mergeCell ref="W282:AA282"/>
    <mergeCell ref="AB447:AD447"/>
    <mergeCell ref="U309:V309"/>
    <mergeCell ref="C413:F413"/>
    <mergeCell ref="R300:T300"/>
    <mergeCell ref="C379:F379"/>
    <mergeCell ref="W283:AA283"/>
    <mergeCell ref="C415:F415"/>
    <mergeCell ref="R329:T329"/>
    <mergeCell ref="O284:Q284"/>
    <mergeCell ref="G358:I358"/>
    <mergeCell ref="C408:F408"/>
    <mergeCell ref="R295:T295"/>
    <mergeCell ref="R331:T331"/>
    <mergeCell ref="W308:AA308"/>
    <mergeCell ref="O286:Q286"/>
    <mergeCell ref="G360:I360"/>
    <mergeCell ref="C410:F410"/>
    <mergeCell ref="AB346:AD346"/>
    <mergeCell ref="W316:AA316"/>
    <mergeCell ref="G353:I353"/>
    <mergeCell ref="W310:AA310"/>
    <mergeCell ref="W309:AA309"/>
    <mergeCell ref="C397:F397"/>
    <mergeCell ref="AB371:AD371"/>
    <mergeCell ref="G384:I384"/>
    <mergeCell ref="W311:AA311"/>
    <mergeCell ref="R382:T382"/>
    <mergeCell ref="C426:F426"/>
    <mergeCell ref="M273:N273"/>
    <mergeCell ref="AB372:AD372"/>
    <mergeCell ref="C428:F428"/>
    <mergeCell ref="M302:N302"/>
    <mergeCell ref="K358:L358"/>
    <mergeCell ref="AB374:AD374"/>
    <mergeCell ref="AB399:AD399"/>
    <mergeCell ref="W452:AA452"/>
    <mergeCell ref="G283:I283"/>
    <mergeCell ref="M299:N299"/>
    <mergeCell ref="G253:G254"/>
    <mergeCell ref="G285:I285"/>
    <mergeCell ref="C454:F454"/>
    <mergeCell ref="M328:N328"/>
    <mergeCell ref="R393:T393"/>
    <mergeCell ref="G397:I397"/>
    <mergeCell ref="AB425:AD425"/>
    <mergeCell ref="W324:AA324"/>
    <mergeCell ref="R401:T401"/>
    <mergeCell ref="R395:T395"/>
    <mergeCell ref="AB296:AD296"/>
    <mergeCell ref="AB427:AD427"/>
    <mergeCell ref="W380:AA380"/>
    <mergeCell ref="O358:Q358"/>
    <mergeCell ref="L51:M51"/>
    <mergeCell ref="M317:N317"/>
    <mergeCell ref="AB298:AD298"/>
    <mergeCell ref="G311:I311"/>
    <mergeCell ref="R396:T396"/>
    <mergeCell ref="AB456:AD456"/>
    <mergeCell ref="W382:AA382"/>
    <mergeCell ref="K430:L430"/>
    <mergeCell ref="U272:V272"/>
    <mergeCell ref="M346:N346"/>
    <mergeCell ref="G296:I296"/>
    <mergeCell ref="M318:N318"/>
    <mergeCell ref="K283:L283"/>
    <mergeCell ref="AB443:AD443"/>
    <mergeCell ref="M312:N312"/>
    <mergeCell ref="R421:T421"/>
    <mergeCell ref="U299:V299"/>
    <mergeCell ref="U274:V274"/>
    <mergeCell ref="M348:N348"/>
    <mergeCell ref="W377:AA377"/>
    <mergeCell ref="K285:L285"/>
    <mergeCell ref="M347:N347"/>
    <mergeCell ref="M314:N314"/>
    <mergeCell ref="R325:T325"/>
    <mergeCell ref="R456:T456"/>
    <mergeCell ref="G451:I451"/>
    <mergeCell ref="G329:I329"/>
    <mergeCell ref="AB438:AD438"/>
    <mergeCell ref="C352:F352"/>
    <mergeCell ref="K272:L272"/>
    <mergeCell ref="R327:T327"/>
    <mergeCell ref="G322:I322"/>
    <mergeCell ref="AB440:AD440"/>
    <mergeCell ref="C381:F381"/>
    <mergeCell ref="W393:AA393"/>
    <mergeCell ref="M374:N374"/>
    <mergeCell ref="K301:L301"/>
    <mergeCell ref="G324:I324"/>
    <mergeCell ref="W395:AA395"/>
    <mergeCell ref="D255:D256"/>
    <mergeCell ref="U327:V327"/>
    <mergeCell ref="K303:L303"/>
    <mergeCell ref="B192:B193"/>
    <mergeCell ref="U335:V335"/>
    <mergeCell ref="K296:L296"/>
    <mergeCell ref="O308:Q308"/>
    <mergeCell ref="G382:I382"/>
    <mergeCell ref="U328:V328"/>
    <mergeCell ref="O397:Q397"/>
    <mergeCell ref="AB368:AD368"/>
    <mergeCell ref="O310:Q310"/>
    <mergeCell ref="R338:T338"/>
    <mergeCell ref="W421:AA421"/>
    <mergeCell ref="O309:Q309"/>
    <mergeCell ref="K354:L354"/>
    <mergeCell ref="AB370:AD370"/>
    <mergeCell ref="AB364:AD364"/>
    <mergeCell ref="G377:I377"/>
    <mergeCell ref="U345:V345"/>
    <mergeCell ref="R340:T340"/>
    <mergeCell ref="O339:Q339"/>
    <mergeCell ref="W448:AA448"/>
    <mergeCell ref="W423:AA423"/>
    <mergeCell ref="C425:F425"/>
    <mergeCell ref="K356:L356"/>
    <mergeCell ref="M418:N418"/>
    <mergeCell ref="W325:AA325"/>
    <mergeCell ref="K349:L349"/>
    <mergeCell ref="U346:V346"/>
    <mergeCell ref="U340:V340"/>
    <mergeCell ref="C450:F450"/>
    <mergeCell ref="M413:N413"/>
    <mergeCell ref="U348:V348"/>
    <mergeCell ref="C452:F452"/>
    <mergeCell ref="W320:AA320"/>
    <mergeCell ref="L20:M20"/>
    <mergeCell ref="G395:I395"/>
    <mergeCell ref="C451:F451"/>
    <mergeCell ref="M415:N415"/>
    <mergeCell ref="C445:F445"/>
    <mergeCell ref="K382:L382"/>
    <mergeCell ref="L22:M22"/>
    <mergeCell ref="C453:F453"/>
    <mergeCell ref="R392:T392"/>
    <mergeCell ref="O322:Q322"/>
    <mergeCell ref="AB383:AD383"/>
    <mergeCell ref="G396:I396"/>
    <mergeCell ref="G390:I390"/>
    <mergeCell ref="U399:V399"/>
    <mergeCell ref="W338:AA338"/>
    <mergeCell ref="K368:L368"/>
    <mergeCell ref="W373:AA373"/>
    <mergeCell ref="C255:C256"/>
    <mergeCell ref="C375:F375"/>
    <mergeCell ref="M339:N339"/>
    <mergeCell ref="K395:L395"/>
    <mergeCell ref="O411:Q411"/>
    <mergeCell ref="C377:F377"/>
    <mergeCell ref="L35:M35"/>
    <mergeCell ref="U427:V427"/>
    <mergeCell ref="G320:I320"/>
    <mergeCell ref="G295:I295"/>
    <mergeCell ref="G409:I409"/>
    <mergeCell ref="U298:V298"/>
    <mergeCell ref="U418:V418"/>
    <mergeCell ref="U412:V412"/>
    <mergeCell ref="O406:Q406"/>
    <mergeCell ref="H264:I264"/>
    <mergeCell ref="M365:N365"/>
    <mergeCell ref="R430:T430"/>
    <mergeCell ref="M373:N373"/>
    <mergeCell ref="R438:T438"/>
    <mergeCell ref="O393:Q393"/>
    <mergeCell ref="K294:L294"/>
    <mergeCell ref="U413:V413"/>
    <mergeCell ref="O423:Q423"/>
    <mergeCell ref="O422:Q422"/>
    <mergeCell ref="K325:L325"/>
    <mergeCell ref="H255:I255"/>
    <mergeCell ref="U438:V438"/>
    <mergeCell ref="R433:T433"/>
    <mergeCell ref="AB449:AD449"/>
    <mergeCell ref="K318:L318"/>
    <mergeCell ref="O424:Q424"/>
    <mergeCell ref="C390:F390"/>
    <mergeCell ref="M383:N383"/>
    <mergeCell ref="U440:V440"/>
    <mergeCell ref="G333:I333"/>
    <mergeCell ref="K320:L320"/>
    <mergeCell ref="U342:V342"/>
    <mergeCell ref="M385:N385"/>
    <mergeCell ref="M384:N384"/>
    <mergeCell ref="U344:V344"/>
    <mergeCell ref="M411:N411"/>
    <mergeCell ref="R364:T364"/>
    <mergeCell ref="G359:I359"/>
    <mergeCell ref="W430:AA430"/>
    <mergeCell ref="W290:AA290"/>
    <mergeCell ref="K338:L338"/>
    <mergeCell ref="O354:Q354"/>
    <mergeCell ref="O348:Q348"/>
    <mergeCell ref="U370:V370"/>
    <mergeCell ref="O320:Q320"/>
    <mergeCell ref="K340:L340"/>
    <mergeCell ref="M437:N437"/>
    <mergeCell ref="K333:L333"/>
    <mergeCell ref="U355:V355"/>
    <mergeCell ref="U365:V365"/>
    <mergeCell ref="K366:L366"/>
    <mergeCell ref="M397:N397"/>
    <mergeCell ref="M310:N310"/>
    <mergeCell ref="L29:M29"/>
    <mergeCell ref="G448:I448"/>
    <mergeCell ref="L4:M4"/>
    <mergeCell ref="O374:Q374"/>
    <mergeCell ref="K391:L391"/>
    <mergeCell ref="W274:AA274"/>
    <mergeCell ref="W301:AA301"/>
    <mergeCell ref="O382:Q382"/>
    <mergeCell ref="L31:M31"/>
    <mergeCell ref="O375:Q375"/>
    <mergeCell ref="M455:N455"/>
    <mergeCell ref="W303:AA303"/>
    <mergeCell ref="K392:L392"/>
    <mergeCell ref="U383:V383"/>
    <mergeCell ref="O377:Q377"/>
    <mergeCell ref="K394:L394"/>
    <mergeCell ref="M450:N450"/>
    <mergeCell ref="U385:V385"/>
    <mergeCell ref="W357:AA357"/>
    <mergeCell ref="L57:M57"/>
    <mergeCell ref="AB276:AD276"/>
    <mergeCell ref="M452:N452"/>
    <mergeCell ref="C304:F304"/>
    <mergeCell ref="AB278:AD278"/>
    <mergeCell ref="L42:M42"/>
    <mergeCell ref="H251:I251"/>
    <mergeCell ref="R429:T429"/>
    <mergeCell ref="O359:Q359"/>
    <mergeCell ref="K404:L404"/>
    <mergeCell ref="G433:I433"/>
    <mergeCell ref="U305:V305"/>
    <mergeCell ref="U436:V436"/>
    <mergeCell ref="R431:T431"/>
    <mergeCell ref="M292:N292"/>
    <mergeCell ref="K316:L316"/>
    <mergeCell ref="U313:V313"/>
    <mergeCell ref="H246:I246"/>
    <mergeCell ref="U307:V307"/>
    <mergeCell ref="K405:L405"/>
    <mergeCell ref="C330:F330"/>
    <mergeCell ref="M380:N380"/>
    <mergeCell ref="U437:V437"/>
    <mergeCell ref="H248:I248"/>
    <mergeCell ref="K407:L407"/>
    <mergeCell ref="AB418:AD418"/>
    <mergeCell ref="C332:F332"/>
    <mergeCell ref="I59:J59"/>
    <mergeCell ref="O446:Q446"/>
    <mergeCell ref="M382:N382"/>
    <mergeCell ref="AB420:AD420"/>
    <mergeCell ref="O448:Q448"/>
    <mergeCell ref="AB291:AD291"/>
    <mergeCell ref="U447:V447"/>
    <mergeCell ref="R302:T302"/>
    <mergeCell ref="U455:V455"/>
    <mergeCell ref="U449:V449"/>
    <mergeCell ref="C343:F343"/>
    <mergeCell ref="K331:L331"/>
    <mergeCell ref="M393:N393"/>
    <mergeCell ref="R291:T291"/>
    <mergeCell ref="U450:V450"/>
    <mergeCell ref="C345:F345"/>
    <mergeCell ref="R284:T284"/>
    <mergeCell ref="W299:AA299"/>
    <mergeCell ref="C272:F272"/>
    <mergeCell ref="K357:L357"/>
    <mergeCell ref="O373:Q373"/>
    <mergeCell ref="M421:N421"/>
    <mergeCell ref="O301:Q301"/>
    <mergeCell ref="AB362:AD362"/>
    <mergeCell ref="W302:AA302"/>
    <mergeCell ref="C275:F275"/>
    <mergeCell ref="L55:M55"/>
    <mergeCell ref="O389:Q389"/>
    <mergeCell ref="C427:F427"/>
    <mergeCell ref="AB363:AD363"/>
    <mergeCell ref="W327:AA327"/>
    <mergeCell ref="O391:Q391"/>
    <mergeCell ref="O357:Q357"/>
    <mergeCell ref="K401:L401"/>
    <mergeCell ref="W284:AA284"/>
    <mergeCell ref="R399:T399"/>
    <mergeCell ref="G272:I272"/>
    <mergeCell ref="C295:F295"/>
    <mergeCell ref="C409:F409"/>
    <mergeCell ref="K403:L403"/>
    <mergeCell ref="C328:F328"/>
    <mergeCell ref="U276:V276"/>
    <mergeCell ref="AB287:AD287"/>
    <mergeCell ref="C323:F323"/>
    <mergeCell ref="U278:V278"/>
    <mergeCell ref="W340:AA340"/>
    <mergeCell ref="AB289:AD289"/>
    <mergeCell ref="G302:I302"/>
    <mergeCell ref="K307:L307"/>
    <mergeCell ref="K429:L429"/>
    <mergeCell ref="K431:L431"/>
    <mergeCell ref="R412:T412"/>
    <mergeCell ref="AB313:AD313"/>
    <mergeCell ref="U446:V446"/>
    <mergeCell ref="AB444:AD444"/>
    <mergeCell ref="C341:F341"/>
    <mergeCell ref="AB321:AD321"/>
    <mergeCell ref="AB315:AD315"/>
    <mergeCell ref="G328:I328"/>
    <mergeCell ref="U448:V448"/>
    <mergeCell ref="O430:Q430"/>
    <mergeCell ref="K447:L447"/>
    <mergeCell ref="C370:F370"/>
    <mergeCell ref="M363:N363"/>
    <mergeCell ref="W392:AA392"/>
    <mergeCell ref="AB316:AD316"/>
    <mergeCell ref="M329:N329"/>
    <mergeCell ref="W394:AA394"/>
    <mergeCell ref="K442:L442"/>
    <mergeCell ref="C367:F367"/>
    <mergeCell ref="R342:T342"/>
    <mergeCell ref="O272:Q272"/>
    <mergeCell ref="AB455:AD455"/>
    <mergeCell ref="C369:F369"/>
    <mergeCell ref="C396:F396"/>
    <mergeCell ref="R344:T344"/>
    <mergeCell ref="AB326:AD326"/>
    <mergeCell ref="O299:Q299"/>
    <mergeCell ref="O274:Q274"/>
    <mergeCell ref="C398:F398"/>
    <mergeCell ref="R337:T337"/>
    <mergeCell ref="G341:I341"/>
    <mergeCell ref="K284:L284"/>
    <mergeCell ref="W412:AA412"/>
    <mergeCell ref="R339:T339"/>
    <mergeCell ref="K372:L372"/>
    <mergeCell ref="R326:T326"/>
    <mergeCell ref="M430:N430"/>
    <mergeCell ref="O327:Q327"/>
    <mergeCell ref="M290:N290"/>
    <mergeCell ref="C293:F293"/>
    <mergeCell ref="R355:T355"/>
    <mergeCell ref="AB387:AD387"/>
    <mergeCell ref="R357:T357"/>
    <mergeCell ref="O356:Q356"/>
    <mergeCell ref="C294:F294"/>
    <mergeCell ref="W336:AA336"/>
    <mergeCell ref="G273:I273"/>
    <mergeCell ref="AB382:AD382"/>
    <mergeCell ref="U363:V363"/>
    <mergeCell ref="M272:N272"/>
    <mergeCell ref="W337:AA337"/>
    <mergeCell ref="R383:T383"/>
    <mergeCell ref="M274:N274"/>
    <mergeCell ref="O338:Q338"/>
    <mergeCell ref="W339:AA339"/>
    <mergeCell ref="R410:T410"/>
    <mergeCell ref="C312:F312"/>
    <mergeCell ref="O340:Q340"/>
    <mergeCell ref="R287:T287"/>
    <mergeCell ref="AB400:AD400"/>
    <mergeCell ref="G413:I413"/>
    <mergeCell ref="G407:I407"/>
    <mergeCell ref="W364:AA364"/>
    <mergeCell ref="P159:Q159"/>
    <mergeCell ref="R411:T411"/>
    <mergeCell ref="G284:I284"/>
    <mergeCell ref="C307:F307"/>
    <mergeCell ref="AB402:AD402"/>
    <mergeCell ref="G415:I415"/>
    <mergeCell ref="M300:N300"/>
    <mergeCell ref="W355:AA355"/>
    <mergeCell ref="U287:V287"/>
    <mergeCell ref="R282:T282"/>
    <mergeCell ref="U289:V289"/>
    <mergeCell ref="U411:V411"/>
    <mergeCell ref="R307:T307"/>
    <mergeCell ref="K440:L440"/>
    <mergeCell ref="AB426:AD426"/>
    <mergeCell ref="W350:AA350"/>
    <mergeCell ref="C392:F392"/>
    <mergeCell ref="M356:N356"/>
    <mergeCell ref="AB453:AD453"/>
    <mergeCell ref="C394:F394"/>
    <mergeCell ref="R308:T308"/>
    <mergeCell ref="AB330:AD330"/>
    <mergeCell ref="G337:I337"/>
    <mergeCell ref="R422:T422"/>
    <mergeCell ref="K280:L280"/>
    <mergeCell ref="W408:AA408"/>
    <mergeCell ref="U315:V315"/>
    <mergeCell ref="R335:T335"/>
    <mergeCell ref="R310:T310"/>
    <mergeCell ref="H253:I254"/>
    <mergeCell ref="G339:I339"/>
    <mergeCell ref="M372:N372"/>
    <mergeCell ref="K309:L309"/>
    <mergeCell ref="W403:AA403"/>
    <mergeCell ref="R449:T449"/>
    <mergeCell ref="C376:F376"/>
    <mergeCell ref="W434:AA434"/>
    <mergeCell ref="C378:F378"/>
    <mergeCell ref="O439:Q439"/>
    <mergeCell ref="AB352:AD352"/>
    <mergeCell ref="G365:I365"/>
    <mergeCell ref="W305:AA305"/>
    <mergeCell ref="C407:F407"/>
    <mergeCell ref="U326:V326"/>
    <mergeCell ref="M400:N400"/>
    <mergeCell ref="G350:I350"/>
    <mergeCell ref="W307:AA307"/>
    <mergeCell ref="W429:AA429"/>
    <mergeCell ref="AB353:AD353"/>
    <mergeCell ref="R348:T348"/>
    <mergeCell ref="W437:AA437"/>
    <mergeCell ref="W431:AA431"/>
    <mergeCell ref="U361:V361"/>
    <mergeCell ref="R379:T379"/>
    <mergeCell ref="W422:AA422"/>
    <mergeCell ref="U354:V354"/>
    <mergeCell ref="C433:F433"/>
    <mergeCell ref="W335:AA335"/>
    <mergeCell ref="R381:T381"/>
    <mergeCell ref="G376:I376"/>
    <mergeCell ref="O336:Q336"/>
    <mergeCell ref="U356:V356"/>
    <mergeCell ref="W447:AA447"/>
    <mergeCell ref="R380:T380"/>
    <mergeCell ref="C435:F435"/>
    <mergeCell ref="R374:T374"/>
    <mergeCell ref="K355:L355"/>
    <mergeCell ref="G378:I378"/>
    <mergeCell ref="O365:Q365"/>
    <mergeCell ref="W449:AA449"/>
    <mergeCell ref="O337:Q337"/>
    <mergeCell ref="G411:I411"/>
    <mergeCell ref="O331:Q331"/>
    <mergeCell ref="M296:N296"/>
    <mergeCell ref="W442:AA442"/>
    <mergeCell ref="O366:Q366"/>
    <mergeCell ref="M298:N298"/>
    <mergeCell ref="M325:N325"/>
    <mergeCell ref="M456:N456"/>
    <mergeCell ref="G406:I406"/>
    <mergeCell ref="W346:AA346"/>
    <mergeCell ref="G307:I307"/>
    <mergeCell ref="M327:N327"/>
    <mergeCell ref="L46:M46"/>
    <mergeCell ref="O363:Q363"/>
    <mergeCell ref="AB424:AD424"/>
    <mergeCell ref="G437:I437"/>
    <mergeCell ref="W348:AA348"/>
    <mergeCell ref="O355:Q355"/>
    <mergeCell ref="L48:M48"/>
    <mergeCell ref="AB295:AD295"/>
    <mergeCell ref="G308:I308"/>
    <mergeCell ref="G422:I422"/>
    <mergeCell ref="U311:V311"/>
    <mergeCell ref="R306:T306"/>
    <mergeCell ref="K281:L281"/>
    <mergeCell ref="G310:I310"/>
    <mergeCell ref="U400:V400"/>
    <mergeCell ref="R420:T420"/>
    <mergeCell ref="W372:AA372"/>
    <mergeCell ref="L43:M43"/>
    <mergeCell ref="H252:I252"/>
    <mergeCell ref="K411:L411"/>
    <mergeCell ref="W374:AA374"/>
    <mergeCell ref="U306:V306"/>
    <mergeCell ref="K282:L282"/>
    <mergeCell ref="U297:V297"/>
    <mergeCell ref="M340:N340"/>
    <mergeCell ref="O404:Q404"/>
    <mergeCell ref="R446:T446"/>
    <mergeCell ref="O323:Q323"/>
    <mergeCell ref="G450:I450"/>
    <mergeCell ref="O437:Q437"/>
    <mergeCell ref="R448:T448"/>
    <mergeCell ref="G452:I452"/>
    <mergeCell ref="U330:V330"/>
    <mergeCell ref="H263:I263"/>
    <mergeCell ref="U324:V324"/>
    <mergeCell ref="R319:T319"/>
    <mergeCell ref="K422:L422"/>
    <mergeCell ref="W427:AA427"/>
    <mergeCell ref="K335:L335"/>
    <mergeCell ref="H265:I265"/>
    <mergeCell ref="W298:AA298"/>
    <mergeCell ref="O305:Q305"/>
    <mergeCell ref="U325:V325"/>
    <mergeCell ref="M399:N399"/>
    <mergeCell ref="G372:I372"/>
    <mergeCell ref="O307:Q307"/>
    <mergeCell ref="C431:F431"/>
    <mergeCell ref="K351:L351"/>
    <mergeCell ref="G380:I380"/>
    <mergeCell ref="O300:Q300"/>
    <mergeCell ref="G374:I374"/>
    <mergeCell ref="W445:AA445"/>
    <mergeCell ref="C432:F432"/>
    <mergeCell ref="K346:L346"/>
    <mergeCell ref="G375:I375"/>
    <mergeCell ref="U343:V343"/>
    <mergeCell ref="W446:AA446"/>
    <mergeCell ref="W440:AA440"/>
    <mergeCell ref="K348:L348"/>
    <mergeCell ref="D245:G245"/>
    <mergeCell ref="C273:F273"/>
    <mergeCell ref="W317:AA317"/>
    <mergeCell ref="L17:M17"/>
    <mergeCell ref="U338:V338"/>
    <mergeCell ref="M412:N412"/>
    <mergeCell ref="C442:F442"/>
    <mergeCell ref="L19:M19"/>
    <mergeCell ref="C414:F414"/>
    <mergeCell ref="R389:T389"/>
    <mergeCell ref="L12:M12"/>
    <mergeCell ref="G393:I393"/>
    <mergeCell ref="K374:L374"/>
    <mergeCell ref="U396:V396"/>
    <mergeCell ref="R385:T385"/>
    <mergeCell ref="L39:M39"/>
    <mergeCell ref="L14:M14"/>
    <mergeCell ref="K276:L276"/>
    <mergeCell ref="U398:V398"/>
    <mergeCell ref="K278:L278"/>
    <mergeCell ref="U391:V391"/>
    <mergeCell ref="C286:F286"/>
    <mergeCell ref="M336:N336"/>
    <mergeCell ref="O372:Q372"/>
    <mergeCell ref="G446:I446"/>
    <mergeCell ref="O408:Q408"/>
    <mergeCell ref="O402:Q402"/>
    <mergeCell ref="O401:Q401"/>
    <mergeCell ref="K418:L418"/>
    <mergeCell ref="U409:V409"/>
    <mergeCell ref="O403:Q403"/>
    <mergeCell ref="H261:I261"/>
    <mergeCell ref="M362:N362"/>
    <mergeCell ref="K420:L420"/>
    <mergeCell ref="U321:V321"/>
    <mergeCell ref="M364:N364"/>
    <mergeCell ref="K291:L291"/>
    <mergeCell ref="U323:V323"/>
    <mergeCell ref="W385:AA385"/>
    <mergeCell ref="AB304:AD304"/>
    <mergeCell ref="O421:Q421"/>
    <mergeCell ref="K446:L446"/>
    <mergeCell ref="O456:Q456"/>
    <mergeCell ref="K317:L317"/>
    <mergeCell ref="C64:H64"/>
    <mergeCell ref="K448:L448"/>
    <mergeCell ref="K319:L319"/>
    <mergeCell ref="G373:I373"/>
    <mergeCell ref="C358:F358"/>
    <mergeCell ref="D2:D3"/>
    <mergeCell ref="R272:T272"/>
    <mergeCell ref="U334:V334"/>
    <mergeCell ref="AB332:AD332"/>
    <mergeCell ref="O447:Q447"/>
    <mergeCell ref="C351:F351"/>
    <mergeCell ref="U336:V336"/>
    <mergeCell ref="L8:M8"/>
    <mergeCell ref="K370:L370"/>
    <mergeCell ref="W280:AA280"/>
    <mergeCell ref="L10:M10"/>
    <mergeCell ref="C384:F384"/>
    <mergeCell ref="C441:F441"/>
    <mergeCell ref="M434:N434"/>
    <mergeCell ref="U362:V362"/>
    <mergeCell ref="M436:N436"/>
    <mergeCell ref="AB343:AD343"/>
    <mergeCell ref="K373:L373"/>
    <mergeCell ref="U364:V364"/>
    <mergeCell ref="R354:T354"/>
    <mergeCell ref="AB345:AD345"/>
    <mergeCell ref="K388:L388"/>
    <mergeCell ref="R356:T356"/>
    <mergeCell ref="C283:F283"/>
    <mergeCell ref="M276:N276"/>
    <mergeCell ref="W300:AA300"/>
    <mergeCell ref="C285:F285"/>
    <mergeCell ref="W272:AA272"/>
    <mergeCell ref="K389:L389"/>
    <mergeCell ref="K383:L383"/>
    <mergeCell ref="M278:N278"/>
    <mergeCell ref="O399:Q399"/>
    <mergeCell ref="L23:M23"/>
    <mergeCell ref="K385:L385"/>
    <mergeCell ref="M447:N447"/>
    <mergeCell ref="R372:T372"/>
    <mergeCell ref="P160:Q160"/>
    <mergeCell ref="L54:M54"/>
    <mergeCell ref="U444:V444"/>
    <mergeCell ref="C309:F309"/>
    <mergeCell ref="M449:N449"/>
    <mergeCell ref="C301:F301"/>
    <mergeCell ref="L56:M56"/>
    <mergeCell ref="AB275:AD275"/>
    <mergeCell ref="K386:L386"/>
    <mergeCell ref="C311:F311"/>
    <mergeCell ref="U402:V402"/>
    <mergeCell ref="R426:T426"/>
    <mergeCell ref="C303:F303"/>
    <mergeCell ref="L49:M49"/>
    <mergeCell ref="G430:I430"/>
    <mergeCell ref="AB277:AD277"/>
    <mergeCell ref="U433:V433"/>
    <mergeCell ref="O427:Q427"/>
    <mergeCell ref="K444:L444"/>
    <mergeCell ref="W354:AA354"/>
    <mergeCell ref="U435:V435"/>
    <mergeCell ref="M291:N291"/>
    <mergeCell ref="O412:Q412"/>
    <mergeCell ref="U434:V434"/>
    <mergeCell ref="U428:V428"/>
    <mergeCell ref="W356:AA356"/>
    <mergeCell ref="AB328:AD328"/>
    <mergeCell ref="O443:Q443"/>
    <mergeCell ref="R298:T298"/>
    <mergeCell ref="C322:F322"/>
    <mergeCell ref="AB417:AD417"/>
    <mergeCell ref="R297:T297"/>
    <mergeCell ref="O445:Q445"/>
    <mergeCell ref="AB288:AD288"/>
    <mergeCell ref="G301:I301"/>
    <mergeCell ref="C349:F349"/>
    <mergeCell ref="C324:F324"/>
    <mergeCell ref="AB419:AD419"/>
    <mergeCell ref="O438:Q438"/>
    <mergeCell ref="U304:V304"/>
    <mergeCell ref="R299:T299"/>
    <mergeCell ref="G303:I303"/>
    <mergeCell ref="K455:L455"/>
    <mergeCell ref="O440:Q440"/>
    <mergeCell ref="W278:AA278"/>
    <mergeCell ref="R296:T296"/>
    <mergeCell ref="U358:V358"/>
    <mergeCell ref="C411:F411"/>
    <mergeCell ref="U360:V360"/>
    <mergeCell ref="AB347:AD347"/>
    <mergeCell ref="O280:Q280"/>
    <mergeCell ref="AB341:AD341"/>
    <mergeCell ref="G354:I354"/>
    <mergeCell ref="O282:Q282"/>
    <mergeCell ref="G356:I356"/>
    <mergeCell ref="W296:AA296"/>
    <mergeCell ref="C406:F406"/>
    <mergeCell ref="AB342:AD342"/>
    <mergeCell ref="G349:I349"/>
    <mergeCell ref="W306:AA306"/>
    <mergeCell ref="O370:Q370"/>
    <mergeCell ref="W420:AA420"/>
    <mergeCell ref="AB344:AD344"/>
    <mergeCell ref="C393:F393"/>
    <mergeCell ref="W297:AA297"/>
    <mergeCell ref="W291:AA291"/>
    <mergeCell ref="R368:T368"/>
    <mergeCell ref="C422:F422"/>
    <mergeCell ref="U371:V371"/>
    <mergeCell ref="AB369:AD369"/>
    <mergeCell ref="C388:F388"/>
    <mergeCell ref="C424:F424"/>
    <mergeCell ref="R363:T363"/>
    <mergeCell ref="L47:M47"/>
    <mergeCell ref="W319:AA319"/>
    <mergeCell ref="M287:N287"/>
    <mergeCell ref="C325:F325"/>
    <mergeCell ref="G423:I423"/>
    <mergeCell ref="R391:T391"/>
    <mergeCell ref="C318:F318"/>
    <mergeCell ref="M282:N282"/>
    <mergeCell ref="AB388:AD388"/>
    <mergeCell ref="AB413:AD413"/>
    <mergeCell ref="G297:I297"/>
    <mergeCell ref="C320:F320"/>
    <mergeCell ref="AB415:AD415"/>
    <mergeCell ref="M313:N313"/>
    <mergeCell ref="C356:F356"/>
    <mergeCell ref="G299:I299"/>
    <mergeCell ref="AB408:AD408"/>
    <mergeCell ref="G293:I293"/>
    <mergeCell ref="K426:L426"/>
    <mergeCell ref="M342:N342"/>
    <mergeCell ref="G292:I292"/>
    <mergeCell ref="AB410:AD410"/>
    <mergeCell ref="K428:L428"/>
    <mergeCell ref="M308:N308"/>
    <mergeCell ref="W363:AA363"/>
    <mergeCell ref="AB439:AD439"/>
    <mergeCell ref="M344:N344"/>
    <mergeCell ref="R409:T409"/>
    <mergeCell ref="G294:I294"/>
    <mergeCell ref="AB441:AD441"/>
    <mergeCell ref="C338:F338"/>
    <mergeCell ref="R321:T321"/>
    <mergeCell ref="AB312:AD312"/>
    <mergeCell ref="G325:I325"/>
    <mergeCell ref="AB434:AD434"/>
    <mergeCell ref="R404:T404"/>
    <mergeCell ref="C340:F340"/>
    <mergeCell ref="R323:T323"/>
    <mergeCell ref="G318:I318"/>
    <mergeCell ref="O278:Q278"/>
    <mergeCell ref="AB314:AD314"/>
    <mergeCell ref="AB436:AD436"/>
    <mergeCell ref="W389:AA389"/>
    <mergeCell ref="C333:F333"/>
    <mergeCell ref="K297:L297"/>
    <mergeCell ref="M326:N326"/>
    <mergeCell ref="AB307:AD307"/>
    <mergeCell ref="U288:V288"/>
    <mergeCell ref="W391:AA391"/>
    <mergeCell ref="K299:L299"/>
    <mergeCell ref="K293:L293"/>
    <mergeCell ref="O449:Q449"/>
    <mergeCell ref="M355:N355"/>
    <mergeCell ref="M357:N357"/>
    <mergeCell ref="R305:T305"/>
    <mergeCell ref="O296:Q296"/>
    <mergeCell ref="C359:F359"/>
    <mergeCell ref="AB454:AD454"/>
    <mergeCell ref="C420:F420"/>
    <mergeCell ref="C395:F395"/>
    <mergeCell ref="O306:Q306"/>
    <mergeCell ref="R334:T334"/>
    <mergeCell ref="G363:I363"/>
    <mergeCell ref="G338:I338"/>
    <mergeCell ref="AB366:AD366"/>
    <mergeCell ref="O297:Q297"/>
    <mergeCell ref="R336:T336"/>
    <mergeCell ref="O335:Q335"/>
    <mergeCell ref="G340:I340"/>
    <mergeCell ref="AB351:AD351"/>
    <mergeCell ref="W321:AA321"/>
    <mergeCell ref="W315:AA315"/>
    <mergeCell ref="W404:AA404"/>
    <mergeCell ref="G366:I366"/>
    <mergeCell ref="W323:AA323"/>
    <mergeCell ref="C448:F448"/>
    <mergeCell ref="AB384:AD384"/>
    <mergeCell ref="O317:Q317"/>
    <mergeCell ref="AB378:AD378"/>
    <mergeCell ref="G391:I391"/>
    <mergeCell ref="D260:E260"/>
    <mergeCell ref="M289:N289"/>
    <mergeCell ref="C439:F439"/>
    <mergeCell ref="O325:Q325"/>
    <mergeCell ref="O319:Q319"/>
    <mergeCell ref="W333:AA333"/>
    <mergeCell ref="C405:F405"/>
    <mergeCell ref="K363:L363"/>
    <mergeCell ref="AB379:AD379"/>
    <mergeCell ref="G392:I392"/>
    <mergeCell ref="G386:I386"/>
    <mergeCell ref="K365:L365"/>
    <mergeCell ref="AB381:AD381"/>
    <mergeCell ref="G394:I394"/>
    <mergeCell ref="W334:AA334"/>
    <mergeCell ref="M315:N315"/>
    <mergeCell ref="M429:N429"/>
    <mergeCell ref="AB437:AD437"/>
    <mergeCell ref="L30:M30"/>
    <mergeCell ref="G321:I321"/>
    <mergeCell ref="M335:N335"/>
    <mergeCell ref="R400:T400"/>
    <mergeCell ref="AB397:AD397"/>
    <mergeCell ref="G404:I404"/>
    <mergeCell ref="AB432:AD432"/>
    <mergeCell ref="R408:T408"/>
    <mergeCell ref="C373:F373"/>
    <mergeCell ref="R402:T402"/>
    <mergeCell ref="AB309:AD309"/>
    <mergeCell ref="M322:N322"/>
    <mergeCell ref="G316:I316"/>
    <mergeCell ref="U284:V284"/>
    <mergeCell ref="W387:AA387"/>
    <mergeCell ref="G405:I405"/>
    <mergeCell ref="M324:N324"/>
    <mergeCell ref="M351:N351"/>
    <mergeCell ref="U286:V286"/>
    <mergeCell ref="U408:V408"/>
    <mergeCell ref="C360:F360"/>
    <mergeCell ref="U279:V279"/>
    <mergeCell ref="M353:N353"/>
    <mergeCell ref="U410:V410"/>
    <mergeCell ref="R434:T434"/>
    <mergeCell ref="R428:T428"/>
    <mergeCell ref="K290:L290"/>
    <mergeCell ref="AB450:AD450"/>
    <mergeCell ref="M319:N319"/>
    <mergeCell ref="C355:F355"/>
    <mergeCell ref="U281:V281"/>
    <mergeCell ref="C391:F391"/>
    <mergeCell ref="O302:Q302"/>
    <mergeCell ref="R436:T436"/>
    <mergeCell ref="G334:I334"/>
    <mergeCell ref="AB452:AD452"/>
    <mergeCell ref="M354:N354"/>
    <mergeCell ref="C357:F357"/>
    <mergeCell ref="K321:L321"/>
    <mergeCell ref="O418:Q418"/>
    <mergeCell ref="AB451:AD451"/>
    <mergeCell ref="AB445:AD445"/>
    <mergeCell ref="G336:I336"/>
    <mergeCell ref="O420:Q420"/>
    <mergeCell ref="C386:F386"/>
    <mergeCell ref="K323:L323"/>
    <mergeCell ref="K279:L279"/>
    <mergeCell ref="M379:N379"/>
    <mergeCell ref="U339:V339"/>
    <mergeCell ref="W400:AA400"/>
    <mergeCell ref="M381:N381"/>
    <mergeCell ref="K308:L308"/>
    <mergeCell ref="G331:I331"/>
    <mergeCell ref="K274:L274"/>
    <mergeCell ref="W402:AA402"/>
    <mergeCell ref="W401:AA401"/>
    <mergeCell ref="O349:Q349"/>
    <mergeCell ref="R447:T447"/>
    <mergeCell ref="M338:N338"/>
    <mergeCell ref="K305:L305"/>
    <mergeCell ref="O321:Q321"/>
    <mergeCell ref="O315:Q315"/>
    <mergeCell ref="W426:AA426"/>
    <mergeCell ref="K334:L334"/>
    <mergeCell ref="G357:I357"/>
    <mergeCell ref="O344:Q344"/>
    <mergeCell ref="K300:L300"/>
    <mergeCell ref="W428:AA428"/>
    <mergeCell ref="O316:Q316"/>
    <mergeCell ref="K361:L361"/>
    <mergeCell ref="K336:L336"/>
    <mergeCell ref="U352:V352"/>
    <mergeCell ref="U351:V351"/>
    <mergeCell ref="M425:N425"/>
    <mergeCell ref="E255:E256"/>
    <mergeCell ref="U353:V353"/>
    <mergeCell ref="M427:N427"/>
    <mergeCell ref="W456:AA456"/>
    <mergeCell ref="M306:N306"/>
    <mergeCell ref="R371:T371"/>
    <mergeCell ref="O326:Q326"/>
    <mergeCell ref="M420:N420"/>
    <mergeCell ref="O334:Q334"/>
    <mergeCell ref="L27:M27"/>
    <mergeCell ref="O364:Q364"/>
    <mergeCell ref="M451:N451"/>
    <mergeCell ref="G401:I401"/>
    <mergeCell ref="M295:N295"/>
    <mergeCell ref="U379:V379"/>
    <mergeCell ref="M453:N453"/>
    <mergeCell ref="AB390:AD390"/>
    <mergeCell ref="G403:I403"/>
    <mergeCell ref="M446:N446"/>
    <mergeCell ref="U406:V406"/>
    <mergeCell ref="U381:V381"/>
    <mergeCell ref="B157:B158"/>
    <mergeCell ref="G432:I432"/>
    <mergeCell ref="AB421:AD421"/>
    <mergeCell ref="G428:I428"/>
    <mergeCell ref="M448:N448"/>
    <mergeCell ref="L45:M45"/>
    <mergeCell ref="R432:T432"/>
    <mergeCell ref="AB414:AD414"/>
    <mergeCell ref="O362:Q362"/>
    <mergeCell ref="L38:M38"/>
    <mergeCell ref="C302:F302"/>
    <mergeCell ref="AB416:AD416"/>
    <mergeCell ref="G429:I429"/>
    <mergeCell ref="O385:Q385"/>
    <mergeCell ref="L40:M40"/>
    <mergeCell ref="G421:I421"/>
    <mergeCell ref="H249:I249"/>
    <mergeCell ref="U432:V432"/>
    <mergeCell ref="R427:T427"/>
    <mergeCell ref="G300:I300"/>
    <mergeCell ref="K408:L408"/>
    <mergeCell ref="K402:L402"/>
    <mergeCell ref="G431:I431"/>
    <mergeCell ref="W371:AA371"/>
    <mergeCell ref="U303:V303"/>
    <mergeCell ref="M377:N377"/>
    <mergeCell ref="U425:V425"/>
    <mergeCell ref="R443:T443"/>
    <mergeCell ref="G447:I447"/>
    <mergeCell ref="R445:T445"/>
    <mergeCell ref="O444:Q444"/>
    <mergeCell ref="K330:L330"/>
    <mergeCell ref="W424:AA424"/>
    <mergeCell ref="G442:I442"/>
    <mergeCell ref="K332:L332"/>
    <mergeCell ref="U451:V451"/>
    <mergeCell ref="H262:I262"/>
    <mergeCell ref="U445:V445"/>
    <mergeCell ref="K421:L421"/>
    <mergeCell ref="U322:V322"/>
    <mergeCell ref="K456:L456"/>
    <mergeCell ref="M396:N396"/>
    <mergeCell ref="U453:V453"/>
    <mergeCell ref="M390:N390"/>
    <mergeCell ref="W425:AA425"/>
    <mergeCell ref="K327:L327"/>
    <mergeCell ref="M389:N389"/>
    <mergeCell ref="AB305:AD305"/>
    <mergeCell ref="G371:I371"/>
    <mergeCell ref="R280:T280"/>
    <mergeCell ref="M391:N391"/>
    <mergeCell ref="O455:Q455"/>
    <mergeCell ref="C423:F423"/>
    <mergeCell ref="K343:L343"/>
    <mergeCell ref="AB359:AD359"/>
    <mergeCell ref="W443:AA443"/>
    <mergeCell ref="U375:V375"/>
    <mergeCell ref="K345:L345"/>
    <mergeCell ref="U377:V377"/>
    <mergeCell ref="M409:N409"/>
    <mergeCell ref="M444:N444"/>
    <mergeCell ref="O386:Q386"/>
    <mergeCell ref="O352:Q352"/>
    <mergeCell ref="L9:M9"/>
    <mergeCell ref="M404:N404"/>
    <mergeCell ref="W279:AA279"/>
    <mergeCell ref="K371:L371"/>
    <mergeCell ref="G425:I425"/>
    <mergeCell ref="O387:Q387"/>
    <mergeCell ref="O381:Q381"/>
    <mergeCell ref="L11:M11"/>
    <mergeCell ref="AB361:AD361"/>
    <mergeCell ref="O353:Q353"/>
    <mergeCell ref="K398:L398"/>
    <mergeCell ref="U388:V388"/>
    <mergeCell ref="G456:I456"/>
    <mergeCell ref="K399:L399"/>
    <mergeCell ref="U390:V390"/>
    <mergeCell ref="U302:V302"/>
    <mergeCell ref="C284:F284"/>
    <mergeCell ref="O371:Q371"/>
    <mergeCell ref="AB283:AD283"/>
    <mergeCell ref="G438:I438"/>
    <mergeCell ref="AB285:AD285"/>
    <mergeCell ref="O400:Q400"/>
    <mergeCell ref="H258:I258"/>
    <mergeCell ref="U416:V416"/>
    <mergeCell ref="K417:L417"/>
    <mergeCell ref="G440:I440"/>
    <mergeCell ref="K427:L427"/>
    <mergeCell ref="K298:L298"/>
    <mergeCell ref="AB301:AD301"/>
    <mergeCell ref="K412:L412"/>
    <mergeCell ref="C337:F337"/>
    <mergeCell ref="R276:T276"/>
    <mergeCell ref="O451:Q451"/>
    <mergeCell ref="AB311:AD311"/>
    <mergeCell ref="AB303:AD303"/>
    <mergeCell ref="K443:L443"/>
    <mergeCell ref="C339:F339"/>
    <mergeCell ref="C366:F366"/>
    <mergeCell ref="O453:Q453"/>
    <mergeCell ref="O428:Q428"/>
    <mergeCell ref="G309:I309"/>
    <mergeCell ref="K445:L445"/>
    <mergeCell ref="K438:L438"/>
    <mergeCell ref="U454:V454"/>
    <mergeCell ref="J192:J193"/>
    <mergeCell ref="AB322:AD322"/>
    <mergeCell ref="C350:F350"/>
    <mergeCell ref="M343:N343"/>
    <mergeCell ref="AB324:AD324"/>
    <mergeCell ref="K367:L367"/>
    <mergeCell ref="L7:M7"/>
    <mergeCell ref="O290:Q290"/>
    <mergeCell ref="K369:L369"/>
    <mergeCell ref="R322:T322"/>
    <mergeCell ref="U359:V359"/>
    <mergeCell ref="M433:N433"/>
    <mergeCell ref="W281:AA281"/>
    <mergeCell ref="K364:L364"/>
    <mergeCell ref="M426:N426"/>
    <mergeCell ref="R351:T351"/>
    <mergeCell ref="R317:T317"/>
    <mergeCell ref="M428:N428"/>
    <mergeCell ref="R353:T353"/>
    <mergeCell ref="C280:F280"/>
    <mergeCell ref="C274:F274"/>
    <mergeCell ref="C282:F282"/>
    <mergeCell ref="AB272:AD272"/>
    <mergeCell ref="R406:T406"/>
    <mergeCell ref="G279:I279"/>
    <mergeCell ref="C308:F308"/>
    <mergeCell ref="R283:T283"/>
    <mergeCell ref="R277:T277"/>
    <mergeCell ref="AB396:AD396"/>
    <mergeCell ref="F253:F254"/>
    <mergeCell ref="G281:I281"/>
    <mergeCell ref="C310:F310"/>
    <mergeCell ref="K439:L439"/>
    <mergeCell ref="G280:I280"/>
    <mergeCell ref="G274:I274"/>
    <mergeCell ref="AB398:AD398"/>
    <mergeCell ref="K441:L441"/>
    <mergeCell ref="W351:AA351"/>
    <mergeCell ref="U283:V283"/>
    <mergeCell ref="R278:T278"/>
    <mergeCell ref="M288:N288"/>
    <mergeCell ref="G282:I282"/>
    <mergeCell ref="K434:L434"/>
    <mergeCell ref="W353:AA353"/>
    <mergeCell ref="U285:V285"/>
    <mergeCell ref="AB325:AD325"/>
    <mergeCell ref="K436:L436"/>
    <mergeCell ref="R425:T425"/>
    <mergeCell ref="R419:T419"/>
    <mergeCell ref="C346:F346"/>
    <mergeCell ref="AB320:AD320"/>
    <mergeCell ref="R418:T418"/>
    <mergeCell ref="AB409:AD409"/>
    <mergeCell ref="C348:F348"/>
    <mergeCell ref="G335:I335"/>
    <mergeCell ref="W275:AA275"/>
    <mergeCell ref="W406:AA406"/>
    <mergeCell ref="K454:L454"/>
    <mergeCell ref="U296:V296"/>
    <mergeCell ref="M370:N370"/>
    <mergeCell ref="W277:AA277"/>
    <mergeCell ref="W399:AA399"/>
    <mergeCell ref="AB323:AD323"/>
    <mergeCell ref="C372:F372"/>
    <mergeCell ref="W276:AA276"/>
    <mergeCell ref="R347:T347"/>
    <mergeCell ref="K449:L449"/>
    <mergeCell ref="AB338:AD338"/>
    <mergeCell ref="G351:I351"/>
    <mergeCell ref="C374:F374"/>
    <mergeCell ref="C401:F401"/>
    <mergeCell ref="R288:T288"/>
    <mergeCell ref="R349:T349"/>
    <mergeCell ref="R324:T324"/>
    <mergeCell ref="O279:Q279"/>
    <mergeCell ref="AB340:AD340"/>
    <mergeCell ref="C403:F403"/>
    <mergeCell ref="G346:I346"/>
    <mergeCell ref="AB333:AD333"/>
    <mergeCell ref="O281:Q281"/>
    <mergeCell ref="W417:AA417"/>
    <mergeCell ref="G348:I348"/>
    <mergeCell ref="W419:AA419"/>
    <mergeCell ref="R375:T375"/>
    <mergeCell ref="W418:AA418"/>
    <mergeCell ref="E157:E158"/>
    <mergeCell ref="R377:T377"/>
    <mergeCell ref="C421:F421"/>
    <mergeCell ref="O332:Q332"/>
    <mergeCell ref="R370:T370"/>
    <mergeCell ref="AB392:AD392"/>
    <mergeCell ref="AB367:AD367"/>
    <mergeCell ref="C306:F306"/>
    <mergeCell ref="R362:T362"/>
    <mergeCell ref="O361:Q361"/>
    <mergeCell ref="G276:I276"/>
    <mergeCell ref="C416:F416"/>
    <mergeCell ref="AB394:AD394"/>
    <mergeCell ref="C335:F335"/>
    <mergeCell ref="W322:AA322"/>
    <mergeCell ref="W347:AA347"/>
    <mergeCell ref="G278:I278"/>
    <mergeCell ref="U368:V368"/>
    <mergeCell ref="W288:AA288"/>
    <mergeCell ref="C447:F447"/>
    <mergeCell ref="W349:AA349"/>
    <mergeCell ref="M321:N321"/>
    <mergeCell ref="W342:AA342"/>
    <mergeCell ref="M323:N323"/>
    <mergeCell ref="R388:T388"/>
    <mergeCell ref="M279:N279"/>
    <mergeCell ref="W344:AA344"/>
    <mergeCell ref="O351:Q351"/>
    <mergeCell ref="R390:T390"/>
    <mergeCell ref="C317:F317"/>
    <mergeCell ref="M281:N281"/>
    <mergeCell ref="O345:Q345"/>
    <mergeCell ref="G419:I419"/>
    <mergeCell ref="AB405:AD405"/>
    <mergeCell ref="W375:AA375"/>
    <mergeCell ref="G418:I418"/>
    <mergeCell ref="C319:F319"/>
    <mergeCell ref="O380:Q380"/>
    <mergeCell ref="K277:L277"/>
    <mergeCell ref="AB293:AD293"/>
    <mergeCell ref="G306:I306"/>
    <mergeCell ref="W368:AA368"/>
    <mergeCell ref="O346:Q346"/>
    <mergeCell ref="AB407:AD407"/>
    <mergeCell ref="G420:I420"/>
    <mergeCell ref="M305:N305"/>
    <mergeCell ref="M341:N341"/>
    <mergeCell ref="G291:I291"/>
    <mergeCell ref="W370:AA370"/>
    <mergeCell ref="M307:N307"/>
    <mergeCell ref="W362:AA362"/>
    <mergeCell ref="U294:V294"/>
    <mergeCell ref="R289:T289"/>
    <mergeCell ref="R318:T318"/>
    <mergeCell ref="R320:T320"/>
    <mergeCell ref="O275:Q275"/>
    <mergeCell ref="R314:T314"/>
    <mergeCell ref="AB433:AD433"/>
    <mergeCell ref="C399:F399"/>
    <mergeCell ref="R286:T286"/>
    <mergeCell ref="R444:T444"/>
    <mergeCell ref="G342:I342"/>
    <mergeCell ref="G317:I317"/>
    <mergeCell ref="O277:Q277"/>
    <mergeCell ref="K419:L419"/>
    <mergeCell ref="AB435:AD435"/>
    <mergeCell ref="W388:AA388"/>
    <mergeCell ref="O276:Q276"/>
    <mergeCell ref="R315:T315"/>
    <mergeCell ref="G344:I344"/>
    <mergeCell ref="G319:I319"/>
    <mergeCell ref="W390:AA390"/>
    <mergeCell ref="W383:AA383"/>
    <mergeCell ref="R373:T373"/>
    <mergeCell ref="O303:Q303"/>
    <mergeCell ref="W410:AA410"/>
    <mergeCell ref="C389:F389"/>
    <mergeCell ref="K347:L347"/>
    <mergeCell ref="AB357:AD357"/>
    <mergeCell ref="G370:I370"/>
    <mergeCell ref="R333:T333"/>
    <mergeCell ref="R455:T455"/>
    <mergeCell ref="O288:Q288"/>
    <mergeCell ref="W441:AA441"/>
    <mergeCell ref="D157:D158"/>
    <mergeCell ref="C418:F418"/>
    <mergeCell ref="O304:Q304"/>
    <mergeCell ref="C412:F412"/>
    <mergeCell ref="AB365:AD365"/>
    <mergeCell ref="O298:Q298"/>
    <mergeCell ref="W318:AA318"/>
    <mergeCell ref="G355:I355"/>
    <mergeCell ref="W312:AA312"/>
    <mergeCell ref="K342:L342"/>
    <mergeCell ref="U333:V333"/>
    <mergeCell ref="C443:F443"/>
    <mergeCell ref="M407:N407"/>
    <mergeCell ref="W314:AA314"/>
    <mergeCell ref="W436:AA436"/>
    <mergeCell ref="K344:L344"/>
    <mergeCell ref="AB360:AD360"/>
    <mergeCell ref="U366:V366"/>
    <mergeCell ref="U341:V341"/>
    <mergeCell ref="W313:AA313"/>
    <mergeCell ref="W444:AA444"/>
    <mergeCell ref="R384:T384"/>
    <mergeCell ref="L13:M13"/>
    <mergeCell ref="G388:I388"/>
    <mergeCell ref="M408:N408"/>
    <mergeCell ref="C438:F438"/>
    <mergeCell ref="M402:N402"/>
    <mergeCell ref="R386:T386"/>
    <mergeCell ref="L15:M15"/>
    <mergeCell ref="C446:F446"/>
    <mergeCell ref="M410:N410"/>
    <mergeCell ref="C440:F440"/>
    <mergeCell ref="AB376:AD376"/>
    <mergeCell ref="G389:I389"/>
    <mergeCell ref="G383:I383"/>
    <mergeCell ref="U392:V392"/>
    <mergeCell ref="K326:L326"/>
    <mergeCell ref="R387:T387"/>
    <mergeCell ref="W454:AA454"/>
    <mergeCell ref="O342:Q342"/>
    <mergeCell ref="K362:L362"/>
    <mergeCell ref="G385:I385"/>
    <mergeCell ref="M301:N301"/>
    <mergeCell ref="M337:N337"/>
    <mergeCell ref="U394:V394"/>
    <mergeCell ref="W366:AA366"/>
    <mergeCell ref="M309:N309"/>
    <mergeCell ref="M303:N303"/>
    <mergeCell ref="M330:N330"/>
    <mergeCell ref="W455:AA455"/>
    <mergeCell ref="U387:V387"/>
    <mergeCell ref="W326:AA326"/>
    <mergeCell ref="M332:N332"/>
    <mergeCell ref="R397:T397"/>
    <mergeCell ref="C430:F430"/>
    <mergeCell ref="M304:N304"/>
    <mergeCell ref="O368:Q368"/>
    <mergeCell ref="AB429:AD429"/>
    <mergeCell ref="L53:M53"/>
    <mergeCell ref="L28:M28"/>
    <mergeCell ref="H260:K260"/>
    <mergeCell ref="G313:I313"/>
    <mergeCell ref="AB431:AD431"/>
    <mergeCell ref="W384:AA384"/>
    <mergeCell ref="K292:L292"/>
    <mergeCell ref="G315:I315"/>
    <mergeCell ref="U405:V405"/>
    <mergeCell ref="H257:I257"/>
    <mergeCell ref="W386:AA386"/>
    <mergeCell ref="M350:N350"/>
    <mergeCell ref="U407:V407"/>
    <mergeCell ref="W379:AA379"/>
    <mergeCell ref="K287:L287"/>
    <mergeCell ref="M352:N352"/>
    <mergeCell ref="W381:AA381"/>
    <mergeCell ref="O388:Q388"/>
    <mergeCell ref="K289:L289"/>
    <mergeCell ref="M345:N345"/>
    <mergeCell ref="R451:T451"/>
    <mergeCell ref="O328:Q328"/>
    <mergeCell ref="AB442:AD442"/>
    <mergeCell ref="G455:I455"/>
    <mergeCell ref="AB302:AD302"/>
    <mergeCell ref="O417:Q417"/>
    <mergeCell ref="O294:Q294"/>
    <mergeCell ref="M376:N376"/>
    <mergeCell ref="R453:T453"/>
    <mergeCell ref="G326:I326"/>
    <mergeCell ref="O383:Q383"/>
    <mergeCell ref="K313:L313"/>
    <mergeCell ref="O419:Q419"/>
    <mergeCell ref="C385:F385"/>
    <mergeCell ref="W397:AA397"/>
    <mergeCell ref="M378:N378"/>
    <mergeCell ref="K315:L315"/>
    <mergeCell ref="U337:V337"/>
    <mergeCell ref="M371:N371"/>
    <mergeCell ref="U331:V331"/>
    <mergeCell ref="C354:F354"/>
    <mergeCell ref="O318:Q318"/>
    <mergeCell ref="O312:Q312"/>
    <mergeCell ref="U332:V332"/>
    <mergeCell ref="M406:N406"/>
    <mergeCell ref="C436:F436"/>
    <mergeCell ref="G379:I379"/>
    <mergeCell ref="O314:Q314"/>
    <mergeCell ref="C444:F444"/>
    <mergeCell ref="O313:Q313"/>
    <mergeCell ref="L6:M6"/>
    <mergeCell ref="R352:T352"/>
    <mergeCell ref="G387:I387"/>
    <mergeCell ref="G381:I381"/>
    <mergeCell ref="K360:L360"/>
    <mergeCell ref="M422:N422"/>
    <mergeCell ref="W451:AA451"/>
    <mergeCell ref="M432:N432"/>
    <mergeCell ref="K353:L353"/>
    <mergeCell ref="U350:V350"/>
    <mergeCell ref="W453:AA453"/>
    <mergeCell ref="M417:N417"/>
    <mergeCell ref="O369:Q369"/>
    <mergeCell ref="L24:M24"/>
    <mergeCell ref="L18:M18"/>
    <mergeCell ref="C455:F455"/>
    <mergeCell ref="M419:N419"/>
    <mergeCell ref="C449:F449"/>
    <mergeCell ref="L26:M26"/>
    <mergeCell ref="U401:V401"/>
    <mergeCell ref="U376:V376"/>
    <mergeCell ref="G444:I444"/>
    <mergeCell ref="K387:L387"/>
    <mergeCell ref="K381:L381"/>
    <mergeCell ref="M443:N443"/>
    <mergeCell ref="U403:V403"/>
    <mergeCell ref="U378:V378"/>
    <mergeCell ref="M445:N445"/>
    <mergeCell ref="C297:F297"/>
    <mergeCell ref="W352:AA352"/>
    <mergeCell ref="R423:T423"/>
    <mergeCell ref="C299:F299"/>
    <mergeCell ref="K397:L397"/>
    <mergeCell ref="G426:I426"/>
    <mergeCell ref="AB273:AD273"/>
    <mergeCell ref="O413:Q413"/>
    <mergeCell ref="L37:M37"/>
    <mergeCell ref="C292:F292"/>
    <mergeCell ref="U429:V429"/>
    <mergeCell ref="R424:T424"/>
    <mergeCell ref="O415:Q415"/>
    <mergeCell ref="U300:V300"/>
    <mergeCell ref="U431:V431"/>
    <mergeCell ref="U414:V414"/>
    <mergeCell ref="K311:L311"/>
    <mergeCell ref="H266:I266"/>
    <mergeCell ref="M367:N367"/>
    <mergeCell ref="U424:V424"/>
    <mergeCell ref="K425:L425"/>
    <mergeCell ref="K400:L400"/>
    <mergeCell ref="O410:Q410"/>
    <mergeCell ref="U301:V301"/>
    <mergeCell ref="M375:N375"/>
    <mergeCell ref="M369:N369"/>
    <mergeCell ref="R294:T294"/>
    <mergeCell ref="O441:Q441"/>
    <mergeCell ref="AB284:AD284"/>
    <mergeCell ref="O434:Q434"/>
    <mergeCell ref="AB286:AD286"/>
    <mergeCell ref="O426:Q426"/>
    <mergeCell ref="K451:L451"/>
    <mergeCell ref="K329:L329"/>
    <mergeCell ref="G352:I352"/>
    <mergeCell ref="U442:V442"/>
    <mergeCell ref="O436:Q436"/>
    <mergeCell ref="K295:L295"/>
    <mergeCell ref="K322:L322"/>
    <mergeCell ref="K453:L453"/>
    <mergeCell ref="M359:N359"/>
    <mergeCell ref="K324:L324"/>
    <mergeCell ref="U443:V443"/>
    <mergeCell ref="C363:F363"/>
    <mergeCell ref="M388:N388"/>
    <mergeCell ref="R313:T313"/>
    <mergeCell ref="R279:T279"/>
    <mergeCell ref="AB339:AD339"/>
    <mergeCell ref="O454:Q454"/>
    <mergeCell ref="W292:AA292"/>
    <mergeCell ref="R281:T281"/>
    <mergeCell ref="U372:V372"/>
    <mergeCell ref="W294:AA294"/>
    <mergeCell ref="K377:L377"/>
    <mergeCell ref="M439:N439"/>
    <mergeCell ref="W287:AA287"/>
    <mergeCell ref="U374:V374"/>
    <mergeCell ref="M441:N441"/>
    <mergeCell ref="W289:AA289"/>
    <mergeCell ref="R366:T366"/>
    <mergeCell ref="U369:V369"/>
    <mergeCell ref="AB350:AD350"/>
    <mergeCell ref="O384:Q384"/>
    <mergeCell ref="R361:T361"/>
    <mergeCell ref="AB358:AD358"/>
    <mergeCell ref="O350:Q350"/>
    <mergeCell ref="G424:I424"/>
    <mergeCell ref="C290:F290"/>
    <mergeCell ref="M283:N283"/>
    <mergeCell ref="O379:Q379"/>
    <mergeCell ref="G453:I453"/>
    <mergeCell ref="K396:L396"/>
    <mergeCell ref="U456:V456"/>
    <mergeCell ref="K390:L390"/>
    <mergeCell ref="C321:F321"/>
    <mergeCell ref="C404:F404"/>
    <mergeCell ref="M454:N454"/>
    <mergeCell ref="AB280:AD280"/>
    <mergeCell ref="C316:F316"/>
    <mergeCell ref="AB411:AD411"/>
    <mergeCell ref="K423:L423"/>
    <mergeCell ref="AB282:AD282"/>
    <mergeCell ref="O432:Q432"/>
    <mergeCell ref="K414:L414"/>
    <mergeCell ref="AB406:AD406"/>
    <mergeCell ref="R405:T405"/>
    <mergeCell ref="G290:I290"/>
    <mergeCell ref="U439:V439"/>
    <mergeCell ref="H250:I250"/>
    <mergeCell ref="W361:AA361"/>
    <mergeCell ref="K409:L409"/>
    <mergeCell ref="C334:F334"/>
    <mergeCell ref="AB308:AD308"/>
    <mergeCell ref="U441:V441"/>
    <mergeCell ref="R309:T309"/>
    <mergeCell ref="M297:N297"/>
    <mergeCell ref="AB422:AD422"/>
    <mergeCell ref="C336:F336"/>
    <mergeCell ref="R275:T275"/>
    <mergeCell ref="AB335:AD335"/>
    <mergeCell ref="O450:Q450"/>
    <mergeCell ref="AB310:AD310"/>
    <mergeCell ref="C329:F329"/>
    <mergeCell ref="C365:F365"/>
    <mergeCell ref="R304:T304"/>
    <mergeCell ref="O452:Q452"/>
    <mergeCell ref="C157:C158"/>
    <mergeCell ref="C331:F331"/>
    <mergeCell ref="C362:F362"/>
    <mergeCell ref="R301:T301"/>
    <mergeCell ref="W285:AA285"/>
    <mergeCell ref="O292:Q292"/>
    <mergeCell ref="R330:T330"/>
    <mergeCell ref="R332:T332"/>
    <mergeCell ref="AB354:AD354"/>
    <mergeCell ref="O287:Q287"/>
    <mergeCell ref="AB348:AD348"/>
    <mergeCell ref="G361:I361"/>
    <mergeCell ref="O289:Q289"/>
    <mergeCell ref="K359:L359"/>
    <mergeCell ref="AB349:AD349"/>
    <mergeCell ref="C400:F400"/>
    <mergeCell ref="AB380:AD380"/>
    <mergeCell ref="W304:AA304"/>
    <mergeCell ref="M285:N285"/>
    <mergeCell ref="R350:T350"/>
    <mergeCell ref="C429:F429"/>
    <mergeCell ref="R343:T343"/>
    <mergeCell ref="W329:AA329"/>
    <mergeCell ref="C437:F437"/>
    <mergeCell ref="AB375:AD375"/>
    <mergeCell ref="R345:T345"/>
    <mergeCell ref="W331:AA331"/>
    <mergeCell ref="AB377:AD377"/>
    <mergeCell ref="W330:AA330"/>
    <mergeCell ref="W332:AA332"/>
    <mergeCell ref="D192:D193"/>
    <mergeCell ref="R403:T403"/>
    <mergeCell ref="C305:F305"/>
    <mergeCell ref="O333:Q333"/>
    <mergeCell ref="AB393:AD393"/>
    <mergeCell ref="G400:I400"/>
    <mergeCell ref="AB306:AD306"/>
    <mergeCell ref="R398:T398"/>
    <mergeCell ref="C300:F300"/>
    <mergeCell ref="AB395:AD395"/>
    <mergeCell ref="G402:I402"/>
    <mergeCell ref="C361:F361"/>
    <mergeCell ref="U280:V280"/>
    <mergeCell ref="G304:I304"/>
    <mergeCell ref="C327:F327"/>
    <mergeCell ref="O416:Q416"/>
    <mergeCell ref="U282:V282"/>
    <mergeCell ref="K433:L433"/>
    <mergeCell ref="W343:AA343"/>
    <mergeCell ref="U275:V275"/>
    <mergeCell ref="M349:N349"/>
    <mergeCell ref="R414:T414"/>
    <mergeCell ref="AB446:AD446"/>
    <mergeCell ref="K435:L435"/>
    <mergeCell ref="W345:AA345"/>
    <mergeCell ref="U277:V277"/>
    <mergeCell ref="C387:F387"/>
    <mergeCell ref="R416:T416"/>
    <mergeCell ref="AB317:AD317"/>
    <mergeCell ref="G330:I330"/>
    <mergeCell ref="AB448:AD448"/>
    <mergeCell ref="C353:F353"/>
    <mergeCell ref="R328:T328"/>
    <mergeCell ref="O283:Q283"/>
    <mergeCell ref="AB319:AD319"/>
    <mergeCell ref="G332:I332"/>
    <mergeCell ref="U422:V422"/>
    <mergeCell ref="R417:T417"/>
    <mergeCell ref="C382:F382"/>
    <mergeCell ref="K275:L275"/>
    <mergeCell ref="AB318:AD318"/>
    <mergeCell ref="O285:Q285"/>
    <mergeCell ref="W396:AA396"/>
    <mergeCell ref="R442:T442"/>
    <mergeCell ref="K304:L304"/>
    <mergeCell ref="M333:N333"/>
    <mergeCell ref="G327:I327"/>
    <mergeCell ref="U295:V295"/>
    <mergeCell ref="W398:AA398"/>
    <mergeCell ref="K306:L306"/>
    <mergeCell ref="M368:N368"/>
    <mergeCell ref="C371:F371"/>
    <mergeCell ref="R346:T346"/>
    <mergeCell ref="M334:N334"/>
    <mergeCell ref="O311:Q311"/>
    <mergeCell ref="C192:C193"/>
    <mergeCell ref="G343:I343"/>
    <mergeCell ref="C402:F402"/>
    <mergeCell ref="W414:AA414"/>
    <mergeCell ref="R341:T341"/>
    <mergeCell ref="G345:I345"/>
    <mergeCell ref="AB373:AD373"/>
    <mergeCell ref="K288:L288"/>
    <mergeCell ref="W416:AA416"/>
    <mergeCell ref="W295:AA295"/>
    <mergeCell ref="U347:V347"/>
    <mergeCell ref="W409:AA409"/>
    <mergeCell ref="W328:AA328"/>
    <mergeCell ref="O329:Q329"/>
    <mergeCell ref="U349:V349"/>
    <mergeCell ref="R367:T367"/>
    <mergeCell ref="AB389:AD389"/>
    <mergeCell ref="F157:J157"/>
    <mergeCell ref="M294:N294"/>
    <mergeCell ref="R359:T359"/>
    <mergeCell ref="R394:T394"/>
    <mergeCell ref="O330:Q330"/>
    <mergeCell ref="R369:T369"/>
    <mergeCell ref="C296:F296"/>
    <mergeCell ref="O324:Q324"/>
    <mergeCell ref="AB391:AD391"/>
    <mergeCell ref="AB385:AD385"/>
    <mergeCell ref="G398:I398"/>
    <mergeCell ref="O360:Q360"/>
    <mergeCell ref="G275:I275"/>
    <mergeCell ref="C298:F298"/>
    <mergeCell ref="G427:I427"/>
    <mergeCell ref="C456:F456"/>
    <mergeCell ref="AB386:AD386"/>
    <mergeCell ref="G399:I399"/>
    <mergeCell ref="U367:V367"/>
    <mergeCell ref="M293:N293"/>
    <mergeCell ref="M320:N320"/>
    <mergeCell ref="M286:N286"/>
    <mergeCell ref="W341:AA341"/>
    <mergeCell ref="U273:V273"/>
    <mergeCell ref="L41:M41"/>
    <mergeCell ref="R293:T293"/>
    <mergeCell ref="AB412:AD412"/>
    <mergeCell ref="R413:T413"/>
    <mergeCell ref="R407:T407"/>
    <mergeCell ref="O343:Q343"/>
    <mergeCell ref="L36:M36"/>
    <mergeCell ref="G417:I417"/>
  </mergeCells>
  <conditionalFormatting sqref="K4:K31 N4:N31 N37:N57">
    <cfRule type="cellIs" priority="7" operator="lessThan" dxfId="8">
      <formula>0</formula>
    </cfRule>
  </conditionalFormatting>
  <conditionalFormatting sqref="B159:I190">
    <cfRule type="expression" priority="6" dxfId="12">
      <formula>MOD(ROW(),2)=0</formula>
    </cfRule>
  </conditionalFormatting>
  <conditionalFormatting sqref="B194:I216">
    <cfRule type="expression" priority="5" dxfId="12">
      <formula>MOD(ROW(),2)=0</formula>
    </cfRule>
  </conditionalFormatting>
  <conditionalFormatting sqref="D4:N5 D6:L6 D7:N7 D8:L8 D9:K31 D37:N51 D52:L52 D53:N57 L9:M11 L12 L13:M13 L14 L15:M16 L17:L18 L19:M19 L20 L21:M22 L23 L24:M26 L27 L28:M29 L30 L31:M31 N6 N8:N31 N52">
    <cfRule type="expression" priority="4" dxfId="11">
      <formula>MOD(ROW(),2)=0</formula>
    </cfRule>
  </conditionalFormatting>
  <conditionalFormatting sqref="K37:K57">
    <cfRule type="cellIs" priority="1" operator="lessThan" dxfId="8">
      <formula>0</formula>
    </cfRule>
    <cfRule type="cellIs" priority="3" operator="lessThan" dxfId="8">
      <formula>0</formula>
    </cfRule>
  </conditionalFormatting>
  <conditionalFormatting sqref="K4:K30">
    <cfRule type="cellIs" priority="2" operator="lessThan" dxfId="8">
      <formula>0</formula>
    </cfRule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E977"/>
  <sheetViews>
    <sheetView showGridLines="0" zoomScale="85" zoomScaleNormal="85" workbookViewId="0">
      <selection activeCell="B26" sqref="B26"/>
    </sheetView>
  </sheetViews>
  <sheetFormatPr baseColWidth="10" defaultRowHeight="12.75"/>
  <cols>
    <col width="11.42578125" customWidth="1" style="232" min="1" max="2"/>
    <col width="12.140625" bestFit="1" customWidth="1" style="232" min="3" max="3"/>
    <col width="36.42578125" bestFit="1" customWidth="1" style="232" min="4" max="4"/>
    <col width="11.42578125" customWidth="1" style="232" min="5" max="5"/>
    <col width="26.85546875" customWidth="1" style="232" min="6" max="6"/>
    <col width="11.85546875" customWidth="1" style="232" min="7" max="7"/>
    <col width="11.42578125" customWidth="1" style="232" min="8" max="9"/>
    <col width="13.7109375" bestFit="1" customWidth="1" style="232" min="10" max="10"/>
    <col width="12" bestFit="1" customWidth="1" style="232" min="11" max="11"/>
    <col width="23.140625" customWidth="1" style="232" min="12" max="12"/>
    <col width="11.42578125" customWidth="1" style="232" min="13" max="16384"/>
  </cols>
  <sheetData>
    <row r="1" ht="13.5" customHeight="1" s="95" thickBot="1"/>
    <row r="2" ht="13.5" customHeight="1" s="95" thickBot="1">
      <c r="B2" s="4" t="n"/>
      <c r="C2" s="9" t="n"/>
      <c r="D2" s="126" t="inlineStr">
        <is>
          <t>PRODUCTOS</t>
        </is>
      </c>
      <c r="E2" s="128" t="inlineStr">
        <is>
          <t>+</t>
        </is>
      </c>
      <c r="F2" s="128" t="inlineStr">
        <is>
          <t>+</t>
        </is>
      </c>
      <c r="G2" s="128" t="inlineStr">
        <is>
          <t>(-)</t>
        </is>
      </c>
      <c r="H2" s="128" t="inlineStr">
        <is>
          <t>(-)</t>
        </is>
      </c>
      <c r="I2" s="128" t="inlineStr">
        <is>
          <t>=</t>
        </is>
      </c>
      <c r="J2" s="128" t="inlineStr">
        <is>
          <t>=</t>
        </is>
      </c>
      <c r="K2" s="128" t="inlineStr">
        <is>
          <t>=</t>
        </is>
      </c>
      <c r="L2" s="296" t="inlineStr">
        <is>
          <t>$</t>
        </is>
      </c>
      <c r="M2" s="297" t="n"/>
      <c r="N2" s="34" t="inlineStr">
        <is>
          <t>$</t>
        </is>
      </c>
      <c r="O2" s="4" t="n"/>
      <c r="P2" s="4" t="n"/>
      <c r="Q2" s="4" t="n"/>
    </row>
    <row r="3" ht="13.5" customHeight="1" s="95" thickBot="1">
      <c r="B3" s="4" t="n"/>
      <c r="C3" s="33" t="n"/>
      <c r="D3" s="298" t="n"/>
      <c r="E3" s="129" t="inlineStr">
        <is>
          <t>Stock Inicial</t>
        </is>
      </c>
      <c r="F3" s="129" t="inlineStr">
        <is>
          <t>Entregas</t>
        </is>
      </c>
      <c r="G3" s="129" t="inlineStr">
        <is>
          <t>Ventas</t>
        </is>
      </c>
      <c r="H3" s="129" t="inlineStr">
        <is>
          <t>Mermas</t>
        </is>
      </c>
      <c r="I3" s="129" t="inlineStr">
        <is>
          <t>Stock Real</t>
        </is>
      </c>
      <c r="J3" s="129" t="inlineStr">
        <is>
          <t>Stock Informado</t>
        </is>
      </c>
      <c r="K3" s="129" t="inlineStr">
        <is>
          <t>Diferencias</t>
        </is>
      </c>
      <c r="L3" s="129" t="inlineStr">
        <is>
          <t>Precio</t>
        </is>
      </c>
      <c r="M3" s="297" t="n"/>
      <c r="N3" s="109" t="inlineStr">
        <is>
          <t>Descuento</t>
        </is>
      </c>
      <c r="O3" s="4" t="n"/>
      <c r="P3" s="4" t="n"/>
      <c r="Q3" s="4" t="n"/>
    </row>
    <row r="4">
      <c r="B4" s="4" t="n"/>
      <c r="C4" s="9" t="n"/>
      <c r="D4" s="103" t="inlineStr">
        <is>
          <t>Atún Steak</t>
        </is>
      </c>
      <c r="E4" s="243" t="n"/>
      <c r="F4" s="104">
        <f>E221</f>
        <v/>
      </c>
      <c r="G4" s="104">
        <f>IFERROR(SUMPRODUCT(($F$66:$F$153="Atún Steak")*$E$66:$E$153*$G$66:$G$153),"Error")</f>
        <v/>
      </c>
      <c r="H4" s="104">
        <f>SUM(F159:J159)</f>
        <v/>
      </c>
      <c r="I4" s="104">
        <f>E4+F4-G4-H4</f>
        <v/>
      </c>
      <c r="J4" s="104">
        <f>E159</f>
        <v/>
      </c>
      <c r="K4" s="105">
        <f>J4-I4</f>
        <v/>
      </c>
      <c r="L4" s="299">
        <f>+'MERMAS S1'!D5</f>
        <v/>
      </c>
      <c r="M4" s="300" t="n"/>
      <c r="N4" s="106">
        <f>IF(K4&lt;0,K4*L4,0)</f>
        <v/>
      </c>
      <c r="O4" s="4" t="n"/>
      <c r="P4" s="4" t="n"/>
      <c r="Q4" s="4" t="n"/>
    </row>
    <row r="5">
      <c r="B5" s="4" t="n"/>
      <c r="C5" s="9" t="n"/>
      <c r="D5" s="49" t="inlineStr">
        <is>
          <t>Atún Trozos</t>
        </is>
      </c>
      <c r="E5" s="244" t="n"/>
      <c r="F5" s="86">
        <f>E222</f>
        <v/>
      </c>
      <c r="G5" s="86">
        <f>IFERROR(SUMPRODUCT(($F$66:$F$153="Atún Trozos")*$E$66:$E$153*$G$66:$G$153),"Error")</f>
        <v/>
      </c>
      <c r="H5" s="86">
        <f>SUM(F160:I160)+SUM(F190:I190)</f>
        <v/>
      </c>
      <c r="I5" s="86">
        <f>E5+F5-G5-H5</f>
        <v/>
      </c>
      <c r="J5" s="86">
        <f>E160+E190</f>
        <v/>
      </c>
      <c r="K5" s="87">
        <f>J5-I5</f>
        <v/>
      </c>
      <c r="L5" s="121">
        <f>+'MERMAS S1'!D6</f>
        <v/>
      </c>
      <c r="M5" s="301" t="n"/>
      <c r="N5" s="36">
        <f>IF(K5&lt;0,K5*L5,0)</f>
        <v/>
      </c>
      <c r="O5" s="4" t="n"/>
      <c r="P5" s="4" t="n"/>
      <c r="Q5" s="4" t="n"/>
    </row>
    <row r="6">
      <c r="B6" s="4" t="n"/>
      <c r="C6" s="9" t="n"/>
      <c r="D6" s="49" t="inlineStr">
        <is>
          <t>Almejas Julianas</t>
        </is>
      </c>
      <c r="E6" s="244" t="n"/>
      <c r="F6" s="86">
        <f>E254</f>
        <v/>
      </c>
      <c r="G6" s="86">
        <f>K254</f>
        <v/>
      </c>
      <c r="H6" s="86">
        <f>SUM(F161:I161)+J254</f>
        <v/>
      </c>
      <c r="I6" s="86">
        <f>E6+F6-G6-H6</f>
        <v/>
      </c>
      <c r="J6" s="86">
        <f>E161</f>
        <v/>
      </c>
      <c r="K6" s="87">
        <f>J6-I6</f>
        <v/>
      </c>
      <c r="L6" s="121">
        <f>+'MERMAS S1'!D7</f>
        <v/>
      </c>
      <c r="M6" s="301" t="n"/>
      <c r="N6" s="36">
        <f>IF(K6&lt;0,K6*L6,0)</f>
        <v/>
      </c>
      <c r="O6" s="4" t="n"/>
      <c r="P6" s="4" t="n"/>
      <c r="Q6" s="4" t="n"/>
    </row>
    <row r="7">
      <c r="A7" s="302" t="n"/>
      <c r="B7" s="4" t="n"/>
      <c r="C7" s="9" t="n"/>
      <c r="D7" s="50" t="inlineStr">
        <is>
          <t>Carpaccio de res</t>
        </is>
      </c>
      <c r="E7" s="244" t="n"/>
      <c r="F7" s="86">
        <f>E223</f>
        <v/>
      </c>
      <c r="G7" s="86">
        <f>IFERROR(SUMPRODUCT(($F$66:$F$153="Carpaccio de res")*$E$66:$E$153*$G$66:$G$153),"Error")</f>
        <v/>
      </c>
      <c r="H7" s="86">
        <f>SUM(F162:I162)</f>
        <v/>
      </c>
      <c r="I7" s="86">
        <f>E7+F7-G7-H7</f>
        <v/>
      </c>
      <c r="J7" s="86">
        <f>E162</f>
        <v/>
      </c>
      <c r="K7" s="87">
        <f>J7-I7</f>
        <v/>
      </c>
      <c r="L7" s="121">
        <f>+'MERMAS S1'!D8</f>
        <v/>
      </c>
      <c r="M7" s="301" t="n"/>
      <c r="N7" s="36">
        <f>IF(K7&lt;0,K7*L7,0)</f>
        <v/>
      </c>
      <c r="O7" s="4" t="n"/>
      <c r="P7" s="4" t="n"/>
      <c r="Q7" s="4" t="n"/>
    </row>
    <row r="8">
      <c r="A8" s="302" t="n"/>
      <c r="B8" s="4" t="n"/>
      <c r="C8" s="9" t="n"/>
      <c r="D8" s="50" t="inlineStr">
        <is>
          <t>Chupe</t>
        </is>
      </c>
      <c r="E8" s="244" t="n"/>
      <c r="F8" s="86">
        <f>H258</f>
        <v/>
      </c>
      <c r="G8" s="86">
        <f>E90</f>
        <v/>
      </c>
      <c r="H8" s="86">
        <f>SUM(F165:I165)</f>
        <v/>
      </c>
      <c r="I8" s="86">
        <f>E8+F8-G8-H8</f>
        <v/>
      </c>
      <c r="J8" s="86">
        <f>E165</f>
        <v/>
      </c>
      <c r="K8" s="87">
        <f>J8-I8</f>
        <v/>
      </c>
      <c r="L8" s="121">
        <f>+'MERMAS S1'!D9</f>
        <v/>
      </c>
      <c r="M8" s="301" t="n"/>
      <c r="N8" s="36">
        <f>IF(K8&lt;0,K8*L8,0)</f>
        <v/>
      </c>
      <c r="O8" s="4" t="n"/>
      <c r="P8" s="4" t="n"/>
      <c r="Q8" s="4" t="n"/>
    </row>
    <row r="9">
      <c r="A9" s="302" t="n"/>
      <c r="B9" s="4" t="n"/>
      <c r="C9" s="9" t="n"/>
      <c r="D9" s="50" t="inlineStr">
        <is>
          <t>Congrio</t>
        </is>
      </c>
      <c r="E9" s="244" t="n"/>
      <c r="F9" s="86">
        <f>E252</f>
        <v/>
      </c>
      <c r="G9" s="86">
        <f>IFERROR(SUMPRODUCT(($F$66:$F$153="Congrio")*$E$66:$E$153*$G$66:$G$153),"Error")</f>
        <v/>
      </c>
      <c r="H9" s="86">
        <f>J252+SUM(F164:I164)</f>
        <v/>
      </c>
      <c r="I9" s="86">
        <f>E9+F9-G9-H9</f>
        <v/>
      </c>
      <c r="J9" s="86">
        <f>E164</f>
        <v/>
      </c>
      <c r="K9" s="87">
        <f>J9-I9</f>
        <v/>
      </c>
      <c r="L9" s="121">
        <f>+'MERMAS S1'!D10</f>
        <v/>
      </c>
      <c r="M9" s="301" t="n"/>
      <c r="N9" s="36">
        <f>IF(K9&lt;0,K9*L9,0)</f>
        <v/>
      </c>
      <c r="O9" s="4" t="n"/>
      <c r="P9" s="4" t="n"/>
      <c r="Q9" s="4" t="n"/>
    </row>
    <row r="10">
      <c r="A10" s="302" t="n"/>
      <c r="B10" s="4" t="n"/>
      <c r="C10" s="9" t="n"/>
      <c r="D10" s="50" t="inlineStr">
        <is>
          <t>Filete despunte</t>
        </is>
      </c>
      <c r="E10" s="244" t="n"/>
      <c r="F10" s="86">
        <f>E255</f>
        <v/>
      </c>
      <c r="G10" s="86">
        <f>K255+K256</f>
        <v/>
      </c>
      <c r="H10" s="86">
        <f>SUM(J255:J256)+SUM(F167:I167)</f>
        <v/>
      </c>
      <c r="I10" s="86">
        <f>E10+F10-G10-H10</f>
        <v/>
      </c>
      <c r="J10" s="86">
        <f>E167</f>
        <v/>
      </c>
      <c r="K10" s="87">
        <f>J10-I10</f>
        <v/>
      </c>
      <c r="L10" s="121">
        <f>+'MERMAS S1'!D11</f>
        <v/>
      </c>
      <c r="M10" s="301" t="n"/>
      <c r="N10" s="36">
        <f>IF(K10&lt;0,K10*L10,0)</f>
        <v/>
      </c>
      <c r="O10" s="4" t="n"/>
      <c r="P10" s="4" t="n"/>
      <c r="Q10" s="4" t="n"/>
    </row>
    <row r="11">
      <c r="A11" s="302" t="n"/>
      <c r="B11" s="4" t="n"/>
      <c r="C11" s="9" t="n"/>
      <c r="D11" s="50" t="inlineStr">
        <is>
          <t>Filete para churrasco</t>
        </is>
      </c>
      <c r="E11" s="244" t="n"/>
      <c r="F11" s="86">
        <f>E226</f>
        <v/>
      </c>
      <c r="G11" s="86">
        <f>IFERROR(SUMPRODUCT(($F$66:$F$153="Filete para churrasco")*$E$66:$E$153*$G$66:$G$153),"Error")</f>
        <v/>
      </c>
      <c r="H11" s="86">
        <f>SUM(F168:I168)</f>
        <v/>
      </c>
      <c r="I11" s="86">
        <f>E11+F11-G11-H11</f>
        <v/>
      </c>
      <c r="J11" s="86">
        <f>E168</f>
        <v/>
      </c>
      <c r="K11" s="87">
        <f>J11-I11</f>
        <v/>
      </c>
      <c r="L11" s="121">
        <f>+'MERMAS S1'!D12</f>
        <v/>
      </c>
      <c r="M11" s="301" t="n"/>
      <c r="N11" s="36">
        <f>IF(K11&lt;0,K11*L11,0)</f>
        <v/>
      </c>
      <c r="O11" s="4" t="n"/>
      <c r="P11" s="4" t="n"/>
      <c r="Q11" s="4" t="n"/>
    </row>
    <row r="12">
      <c r="B12" s="4" t="n"/>
      <c r="C12" s="9" t="n"/>
      <c r="D12" s="50" t="inlineStr">
        <is>
          <t>Filete para crudo</t>
        </is>
      </c>
      <c r="E12" s="244" t="n"/>
      <c r="F12" s="86">
        <f>E227</f>
        <v/>
      </c>
      <c r="G12" s="86">
        <f>IFERROR(SUMPRODUCT(($F$66:$F$153="Filete para crudo")*$E$66:$E$153*$G$66:$G$153),"Error")</f>
        <v/>
      </c>
      <c r="H12" s="86">
        <f>SUM(F169:I169)+SUM(F189:I189)</f>
        <v/>
      </c>
      <c r="I12" s="86">
        <f>E12+F12-G12-H12</f>
        <v/>
      </c>
      <c r="J12" s="86">
        <f>E169
+IFERROR(INDEX($E$159:$E$215,MATCH("Tartar de Res",$D$159:$D$215,0)),0)</f>
        <v/>
      </c>
      <c r="K12" s="87">
        <f>J12-I12</f>
        <v/>
      </c>
      <c r="L12" s="121">
        <f>+'MERMAS S1'!D13</f>
        <v/>
      </c>
      <c r="M12" s="301" t="n"/>
      <c r="N12" s="36">
        <f>IF(K12&lt;0,K12*L12,0)</f>
        <v/>
      </c>
      <c r="O12" s="4" t="n"/>
      <c r="P12" s="4" t="n"/>
      <c r="Q12" s="4" t="n"/>
    </row>
    <row r="13" ht="14.25" customHeight="1" s="95">
      <c r="B13" s="4" t="n"/>
      <c r="C13" s="9" t="n"/>
      <c r="D13" s="50" t="inlineStr">
        <is>
          <t>Filete Salteado</t>
        </is>
      </c>
      <c r="E13" s="244" t="n"/>
      <c r="F13" s="86">
        <f>E228</f>
        <v/>
      </c>
      <c r="G13" s="86">
        <f>IFERROR(SUMPRODUCT(($F$66:$F$153=D13)*$E$66:$E$153*$G$66:$G$153),"Error")</f>
        <v/>
      </c>
      <c r="H13" s="86">
        <f>SUM(F170:I170)</f>
        <v/>
      </c>
      <c r="I13" s="86">
        <f>E13+F13-G13-H13</f>
        <v/>
      </c>
      <c r="J13" s="86">
        <f>E170</f>
        <v/>
      </c>
      <c r="K13" s="87">
        <f>J13-I13</f>
        <v/>
      </c>
      <c r="L13" s="121">
        <f>+'MERMAS S1'!D14</f>
        <v/>
      </c>
      <c r="M13" s="301" t="n"/>
      <c r="N13" s="36">
        <f>IF(K13&lt;0,K13*L13,0)</f>
        <v/>
      </c>
      <c r="O13" s="4" t="n"/>
      <c r="P13" s="4" t="n"/>
      <c r="Q13" s="4" t="n"/>
    </row>
    <row r="14">
      <c r="B14" s="4" t="n"/>
      <c r="C14" s="9" t="n"/>
      <c r="D14" s="50" t="inlineStr">
        <is>
          <t>Ganso</t>
        </is>
      </c>
      <c r="E14" s="244" t="n"/>
      <c r="F14" s="86">
        <f>E229</f>
        <v/>
      </c>
      <c r="G14" s="86">
        <f>IFERROR(SUMPRODUCT(($F$66:$F$153=D14)*$E$66:$E$153*$G$66:$G$153),"Error")</f>
        <v/>
      </c>
      <c r="H14" s="86">
        <f>SUM(F171:I171)+SUM(F180:I180)</f>
        <v/>
      </c>
      <c r="I14" s="86">
        <f>E14+F14-G14-H14</f>
        <v/>
      </c>
      <c r="J14" s="86">
        <f>E171
+IFERROR(INDEX($E$159:$E$215,MATCH("Paila de Carne",$D$159:$D$215,0)),0)</f>
        <v/>
      </c>
      <c r="K14" s="87">
        <f>J14-I14</f>
        <v/>
      </c>
      <c r="L14" s="121">
        <f>+'MERMAS S1'!D15</f>
        <v/>
      </c>
      <c r="M14" s="301" t="n"/>
      <c r="N14" s="36">
        <f>IF(K14&lt;0,K14*L14,0)</f>
        <v/>
      </c>
      <c r="O14" s="4" t="n"/>
      <c r="P14" s="4" t="n"/>
      <c r="Q14" s="4" t="n"/>
    </row>
    <row r="15">
      <c r="B15" s="4" t="n"/>
      <c r="C15" s="9" t="n"/>
      <c r="D15" s="50" t="inlineStr">
        <is>
          <t>Hamburguesas</t>
        </is>
      </c>
      <c r="E15" s="244" t="n"/>
      <c r="F15" s="86">
        <f>E231</f>
        <v/>
      </c>
      <c r="G15" s="86">
        <f>IFERROR(SUMPRODUCT(($F$66:$F$153=D15)*$E$66:$E$153*$G$66:$G$153),"Error")</f>
        <v/>
      </c>
      <c r="H15" s="86">
        <f>SUM(F172:I172)</f>
        <v/>
      </c>
      <c r="I15" s="86">
        <f>E15+F15-G15-H15</f>
        <v/>
      </c>
      <c r="J15" s="86">
        <f>E172</f>
        <v/>
      </c>
      <c r="K15" s="87">
        <f>J15-I15</f>
        <v/>
      </c>
      <c r="L15" s="121">
        <f>+'MERMAS S1'!D16</f>
        <v/>
      </c>
      <c r="M15" s="301" t="n"/>
      <c r="N15" s="36">
        <f>IF(K15&lt;0,K15*L15,0)</f>
        <v/>
      </c>
      <c r="O15" s="4" t="n"/>
      <c r="P15" s="4" t="n"/>
      <c r="Q15" s="4" t="n"/>
    </row>
    <row r="16">
      <c r="B16" s="4" t="n"/>
      <c r="C16" s="9" t="n"/>
      <c r="D16" s="50" t="inlineStr">
        <is>
          <t>Jamón serrano</t>
        </is>
      </c>
      <c r="E16" s="244" t="n"/>
      <c r="F16" s="86">
        <f>E232</f>
        <v/>
      </c>
      <c r="G16" s="86">
        <f>IFERROR(SUMPRODUCT(($F$66:$F$153=D16)*$E$66:$E$153*$G$66:$G$153),"Error")</f>
        <v/>
      </c>
      <c r="H16" s="86">
        <f>SUM(F174:I174)</f>
        <v/>
      </c>
      <c r="I16" s="86">
        <f>E16+F16-G16-H16</f>
        <v/>
      </c>
      <c r="J16" s="86">
        <f>E174</f>
        <v/>
      </c>
      <c r="K16" s="87">
        <f>J16-I16</f>
        <v/>
      </c>
      <c r="L16" s="121">
        <f>+'MERMAS S1'!D17</f>
        <v/>
      </c>
      <c r="M16" s="301" t="n"/>
      <c r="N16" s="36">
        <f>IF(K16&lt;0,K16*L16,0)</f>
        <v/>
      </c>
      <c r="O16" s="4" t="n"/>
      <c r="P16" s="4" t="n"/>
      <c r="Q16" s="4" t="n"/>
    </row>
    <row r="17">
      <c r="B17" s="4" t="n"/>
      <c r="C17" s="9" t="n"/>
      <c r="D17" s="50" t="inlineStr">
        <is>
          <t>Langostinos</t>
        </is>
      </c>
      <c r="E17" s="244" t="n"/>
      <c r="F17" s="86">
        <f>H248</f>
        <v/>
      </c>
      <c r="G17" s="86">
        <f>IFERROR(SUMPRODUCT(($F$66:$F$153=D17)*$E$66:$E$153*$G$66:$G$153),"Error")</f>
        <v/>
      </c>
      <c r="H17" s="86">
        <f>SUM(F173:I173)</f>
        <v/>
      </c>
      <c r="I17" s="86">
        <f>E17+F17-G17-H17</f>
        <v/>
      </c>
      <c r="J17" s="86">
        <f>E173</f>
        <v/>
      </c>
      <c r="K17" s="87">
        <f>J17-I17</f>
        <v/>
      </c>
      <c r="L17" s="121">
        <f>+'MERMAS S1'!D18</f>
        <v/>
      </c>
      <c r="M17" s="301" t="n"/>
      <c r="N17" s="36">
        <f>IF(K17&lt;0,K17*L17,0)</f>
        <v/>
      </c>
      <c r="O17" s="4" t="n"/>
      <c r="P17" s="4" t="n"/>
      <c r="Q17" s="4" t="n"/>
    </row>
    <row r="18">
      <c r="B18" s="4" t="n"/>
      <c r="C18" s="9" t="n"/>
      <c r="D18" s="50" t="inlineStr">
        <is>
          <t>Lasagna de Berenjenas</t>
        </is>
      </c>
      <c r="E18" s="244" t="n"/>
      <c r="F18" s="86">
        <f>H257</f>
        <v/>
      </c>
      <c r="G18" s="86">
        <f>E120</f>
        <v/>
      </c>
      <c r="H18" s="86">
        <f>SUM(F175:I175)</f>
        <v/>
      </c>
      <c r="I18" s="86">
        <f>E18+F18-G18-H18</f>
        <v/>
      </c>
      <c r="J18" s="86">
        <f>E175</f>
        <v/>
      </c>
      <c r="K18" s="87">
        <f>J18-I18</f>
        <v/>
      </c>
      <c r="L18" s="121">
        <f>+'MERMAS S1'!D19</f>
        <v/>
      </c>
      <c r="M18" s="301" t="n"/>
      <c r="N18" s="36">
        <f>IF(K18&lt;0,K18*L18,0)</f>
        <v/>
      </c>
      <c r="O18" s="4" t="n"/>
      <c r="P18" s="4" t="n"/>
      <c r="Q18" s="4" t="n"/>
    </row>
    <row r="19">
      <c r="B19" s="4" t="n"/>
      <c r="C19" s="9" t="n"/>
      <c r="D19" s="50" t="inlineStr">
        <is>
          <t>Locos</t>
        </is>
      </c>
      <c r="E19" s="244" t="n"/>
      <c r="F19" s="86">
        <f>E249</f>
        <v/>
      </c>
      <c r="G19" s="86">
        <f>IFERROR(SUMPRODUCT(($F$66:$F$153=D19)*$E$66:$E$153*$G$66:$G$153),"Error")</f>
        <v/>
      </c>
      <c r="H19" s="86">
        <f>SUM(F177:I177)+J249</f>
        <v/>
      </c>
      <c r="I19" s="86">
        <f>E19+F19-G19-H19</f>
        <v/>
      </c>
      <c r="J19" s="86">
        <f>E177</f>
        <v/>
      </c>
      <c r="K19" s="87">
        <f>J19-I19</f>
        <v/>
      </c>
      <c r="L19" s="121">
        <f>+'MERMAS S1'!D20</f>
        <v/>
      </c>
      <c r="M19" s="301" t="n"/>
      <c r="N19" s="36">
        <f>IF(K19&lt;0,K19*L19,0)</f>
        <v/>
      </c>
      <c r="O19" s="4" t="n"/>
      <c r="P19" s="4" t="n"/>
      <c r="Q19" s="4" t="n"/>
    </row>
    <row r="20">
      <c r="B20" s="4" t="n"/>
      <c r="C20" s="9" t="n"/>
      <c r="D20" s="50" t="inlineStr">
        <is>
          <t>Lomo liso</t>
        </is>
      </c>
      <c r="E20" s="244" t="n"/>
      <c r="F20" s="86">
        <f>E233</f>
        <v/>
      </c>
      <c r="G20" s="86">
        <f>IFERROR(SUMPRODUCT(($F$66:$F$153=D20)*$E$66:$E$153*$G$66:$G$153),"Error")</f>
        <v/>
      </c>
      <c r="H20" s="86">
        <f>SUM(F176:I176)</f>
        <v/>
      </c>
      <c r="I20" s="86">
        <f>E20+F20-G20-H20</f>
        <v/>
      </c>
      <c r="J20" s="86">
        <f>E176</f>
        <v/>
      </c>
      <c r="K20" s="87">
        <f>J20-I20</f>
        <v/>
      </c>
      <c r="L20" s="121">
        <f>+'MERMAS S1'!D21</f>
        <v/>
      </c>
      <c r="M20" s="301" t="n"/>
      <c r="N20" s="36">
        <f>IF(K20&lt;0,K20*L20,0)</f>
        <v/>
      </c>
      <c r="O20" s="4" t="n"/>
      <c r="P20" s="4" t="n"/>
      <c r="Q20" s="4" t="n"/>
    </row>
    <row r="21">
      <c r="B21" s="4" t="n"/>
      <c r="C21" s="9" t="n"/>
      <c r="D21" s="50" t="inlineStr">
        <is>
          <t>Mejillones</t>
        </is>
      </c>
      <c r="E21" s="244" t="n"/>
      <c r="F21" s="86">
        <f>E253</f>
        <v/>
      </c>
      <c r="G21" s="86">
        <f>K253</f>
        <v/>
      </c>
      <c r="H21" s="86">
        <f>J253+SUM(F178:I178)</f>
        <v/>
      </c>
      <c r="I21" s="86">
        <f>E21+F21-G21-H21</f>
        <v/>
      </c>
      <c r="J21" s="86">
        <f>E178</f>
        <v/>
      </c>
      <c r="K21" s="87">
        <f>J21-I21</f>
        <v/>
      </c>
      <c r="L21" s="121">
        <f>+'MERMAS S1'!D22</f>
        <v/>
      </c>
      <c r="M21" s="301" t="n"/>
      <c r="N21" s="36">
        <f>IF(K21&lt;0,K21*L21,0)</f>
        <v/>
      </c>
      <c r="O21" s="4" t="n"/>
      <c r="P21" s="4" t="n"/>
      <c r="Q21" s="4" t="n"/>
    </row>
    <row r="22">
      <c r="B22" s="4" t="n"/>
      <c r="C22" s="9" t="n"/>
      <c r="D22" s="50" t="inlineStr">
        <is>
          <t>Merluza</t>
        </is>
      </c>
      <c r="E22" s="244" t="n"/>
      <c r="F22" s="86">
        <f>E250</f>
        <v/>
      </c>
      <c r="G22" s="86">
        <f>IFERROR(SUMPRODUCT(($F$66:$F$153=D22)*$E$66:$E$153*$G$66:$G$153),"Error")</f>
        <v/>
      </c>
      <c r="H22" s="86">
        <f>SUM(F179:I179)+J250</f>
        <v/>
      </c>
      <c r="I22" s="86">
        <f>E22+F22-G22-H22</f>
        <v/>
      </c>
      <c r="J22" s="86">
        <f>E179</f>
        <v/>
      </c>
      <c r="K22" s="87">
        <f>J22-I22</f>
        <v/>
      </c>
      <c r="L22" s="121">
        <f>+'MERMAS S1'!D23</f>
        <v/>
      </c>
      <c r="M22" s="301" t="n"/>
      <c r="N22" s="36">
        <f>IF(K22&lt;0,K22*L22,0)</f>
        <v/>
      </c>
      <c r="O22" s="4" t="n"/>
      <c r="P22" s="4" t="n"/>
      <c r="Q22" s="4" t="n"/>
    </row>
    <row r="23">
      <c r="B23" s="4" t="n"/>
      <c r="C23" s="30" t="n"/>
      <c r="D23" s="50" t="inlineStr">
        <is>
          <t>Plateada</t>
        </is>
      </c>
      <c r="E23" s="244" t="n"/>
      <c r="F23" s="86">
        <f>E234</f>
        <v/>
      </c>
      <c r="G23" s="86">
        <f>IFERROR(SUMPRODUCT(($F$66:$F$153=D23)*$E$66:$E$153*$G$66:$G$153),"Error")</f>
        <v/>
      </c>
      <c r="H23" s="86">
        <f>SUM(F181:I181)</f>
        <v/>
      </c>
      <c r="I23" s="86">
        <f>E23+F23-G23-H23</f>
        <v/>
      </c>
      <c r="J23" s="86">
        <f>E181</f>
        <v/>
      </c>
      <c r="K23" s="87">
        <f>J23-I23</f>
        <v/>
      </c>
      <c r="L23" s="121">
        <f>+'MERMAS S1'!D24</f>
        <v/>
      </c>
      <c r="M23" s="301" t="n"/>
      <c r="N23" s="36">
        <f>IF(K23&lt;0,K23*L23,0)</f>
        <v/>
      </c>
      <c r="O23" s="4" t="n"/>
      <c r="P23" s="4" t="n"/>
      <c r="Q23" s="4" t="n"/>
    </row>
    <row r="24">
      <c r="B24" s="4" t="n"/>
      <c r="C24" s="30" t="n"/>
      <c r="D24" s="50" t="inlineStr">
        <is>
          <t>Pulpo</t>
        </is>
      </c>
      <c r="E24" s="244" t="n"/>
      <c r="F24" s="86">
        <f>E235</f>
        <v/>
      </c>
      <c r="G24" s="86">
        <f>IFERROR(SUMPRODUCT(($F$66:$F$153=D24)*$E$66:$E$153*$G$66:$G$153),"Error")</f>
        <v/>
      </c>
      <c r="H24" s="86">
        <f>SUM(F182:I182)</f>
        <v/>
      </c>
      <c r="I24" s="86">
        <f>E24+F24-G24-H24</f>
        <v/>
      </c>
      <c r="J24" s="86">
        <f>E182</f>
        <v/>
      </c>
      <c r="K24" s="87">
        <f>J24-I24</f>
        <v/>
      </c>
      <c r="L24" s="121">
        <f>+'MERMAS S1'!D25</f>
        <v/>
      </c>
      <c r="M24" s="301" t="n"/>
      <c r="N24" s="36">
        <f>IF(K24&lt;0,K24*L24,0)</f>
        <v/>
      </c>
      <c r="O24" s="4" t="n"/>
      <c r="P24" s="4" t="n"/>
      <c r="Q24" s="4" t="n"/>
    </row>
    <row r="25">
      <c r="B25" s="4" t="n"/>
      <c r="C25" s="30" t="n"/>
      <c r="D25" s="50" t="inlineStr">
        <is>
          <t>Ragout Lasagna</t>
        </is>
      </c>
      <c r="E25" s="244" t="n"/>
      <c r="F25" s="86">
        <f>H255</f>
        <v/>
      </c>
      <c r="G25" s="86">
        <f>E257</f>
        <v/>
      </c>
      <c r="H25" s="86">
        <f>SUM(F183:I183)+J257</f>
        <v/>
      </c>
      <c r="I25" s="86">
        <f>E25+F25-G25-H25</f>
        <v/>
      </c>
      <c r="J25" s="86">
        <f>E183</f>
        <v/>
      </c>
      <c r="K25" s="87">
        <f>J25-I25</f>
        <v/>
      </c>
      <c r="L25" s="121">
        <f>+'MERMAS S1'!D26</f>
        <v/>
      </c>
      <c r="M25" s="301" t="n"/>
      <c r="N25" s="36">
        <f>IF(K25&lt;0,K25*L25,0)</f>
        <v/>
      </c>
      <c r="O25" s="4" t="n"/>
      <c r="P25" s="4" t="n"/>
      <c r="Q25" s="4" t="n"/>
    </row>
    <row r="26">
      <c r="B26" s="4" t="n"/>
      <c r="C26" s="30" t="n"/>
      <c r="D26" s="50" t="inlineStr">
        <is>
          <t>Ragout Rigatoni</t>
        </is>
      </c>
      <c r="E26" s="244" t="n"/>
      <c r="F26" s="86">
        <f>H256</f>
        <v/>
      </c>
      <c r="G26" s="86">
        <f>E133</f>
        <v/>
      </c>
      <c r="H26" s="86">
        <f>SUM(F184:I184)</f>
        <v/>
      </c>
      <c r="I26" s="86">
        <f>E26+F26-G26-H26</f>
        <v/>
      </c>
      <c r="J26" s="86">
        <f>E184</f>
        <v/>
      </c>
      <c r="K26" s="87">
        <f>J26-I26</f>
        <v/>
      </c>
      <c r="L26" s="121">
        <f>+'MERMAS S1'!D27</f>
        <v/>
      </c>
      <c r="M26" s="301" t="n"/>
      <c r="N26" s="36">
        <f>IF(K26&lt;0,K26*L26,0)</f>
        <v/>
      </c>
      <c r="O26" s="4" t="n"/>
      <c r="P26" s="4" t="n"/>
      <c r="Q26" s="4" t="n"/>
    </row>
    <row r="27">
      <c r="B27" s="4" t="n"/>
      <c r="C27" s="30" t="n"/>
      <c r="D27" s="50" t="inlineStr">
        <is>
          <t>Reineta</t>
        </is>
      </c>
      <c r="E27" s="244" t="n"/>
      <c r="F27" s="86">
        <f>E251</f>
        <v/>
      </c>
      <c r="G27" s="86">
        <f>IFERROR(SUMPRODUCT(($F$66:$F$153=D27)*$E$66:$E$153*$G$66:$G$153),"Error")</f>
        <v/>
      </c>
      <c r="H27" s="86">
        <f>SUM(F163:I163)+J251</f>
        <v/>
      </c>
      <c r="I27" s="86">
        <f>E27+F27-G27-H27</f>
        <v/>
      </c>
      <c r="J27" s="86">
        <f>E163</f>
        <v/>
      </c>
      <c r="K27" s="87">
        <f>J27-I27</f>
        <v/>
      </c>
      <c r="L27" s="121">
        <f>+'MERMAS S1'!D28</f>
        <v/>
      </c>
      <c r="M27" s="301" t="n"/>
      <c r="N27" s="36">
        <f>IF(K27&lt;0,K27*L27,0)</f>
        <v/>
      </c>
      <c r="O27" s="4" t="n"/>
      <c r="P27" s="4" t="n"/>
      <c r="Q27" s="4" t="n"/>
    </row>
    <row r="28">
      <c r="B28" s="4" t="n"/>
      <c r="C28" s="30" t="n"/>
      <c r="D28" s="50" t="inlineStr">
        <is>
          <t>Salmón ahumado en frío</t>
        </is>
      </c>
      <c r="E28" s="244" t="n"/>
      <c r="F28" s="86">
        <f>E258</f>
        <v/>
      </c>
      <c r="G28" s="86">
        <f>K258</f>
        <v/>
      </c>
      <c r="H28" s="86">
        <f>J258</f>
        <v/>
      </c>
      <c r="I28" s="86">
        <f>E28+F28-G28-H28</f>
        <v/>
      </c>
      <c r="J28" s="86">
        <f>E185</f>
        <v/>
      </c>
      <c r="K28" s="87">
        <f>J28-I28</f>
        <v/>
      </c>
      <c r="L28" s="121">
        <f>+'MERMAS S1'!D29</f>
        <v/>
      </c>
      <c r="M28" s="301" t="n"/>
      <c r="N28" s="36">
        <f>IF(K28&lt;0,K28*L28,0)</f>
        <v/>
      </c>
      <c r="O28" s="4" t="n"/>
      <c r="P28" s="4" t="n"/>
      <c r="Q28" s="4" t="n"/>
    </row>
    <row r="29">
      <c r="B29" s="4" t="n"/>
      <c r="C29" s="30" t="n"/>
      <c r="D29" s="50" t="inlineStr">
        <is>
          <t>Salmón ahumado en Caliente</t>
        </is>
      </c>
      <c r="E29" s="244" t="n"/>
      <c r="F29" s="86">
        <f>E237</f>
        <v/>
      </c>
      <c r="G29" s="86">
        <f>IFERROR(SUMPRODUCT(($F$66:$F$153=D29)*$E$66:$E$153*$G$66:$G$153),"Error")</f>
        <v/>
      </c>
      <c r="H29" s="86">
        <f>SUM(F186:I186)</f>
        <v/>
      </c>
      <c r="I29" s="86">
        <f>E29+F29-G29-H29</f>
        <v/>
      </c>
      <c r="J29" s="86">
        <f>E186</f>
        <v/>
      </c>
      <c r="K29" s="87">
        <f>J29-I29</f>
        <v/>
      </c>
      <c r="L29" s="121">
        <f>+'MERMAS S1'!D30</f>
        <v/>
      </c>
      <c r="M29" s="301" t="n"/>
      <c r="N29" s="36">
        <f>IF(K29&lt;0,K29*L29,0)</f>
        <v/>
      </c>
      <c r="O29" s="4" t="n"/>
      <c r="P29" s="4" t="n"/>
      <c r="Q29" s="4" t="n"/>
    </row>
    <row r="30">
      <c r="B30" s="4" t="n"/>
      <c r="C30" s="30" t="n"/>
      <c r="D30" s="50" t="inlineStr">
        <is>
          <t>Salmón cancato</t>
        </is>
      </c>
      <c r="E30" s="244" t="n"/>
      <c r="F30" s="86">
        <f>E238</f>
        <v/>
      </c>
      <c r="G30" s="86">
        <f>IFERROR(SUMPRODUCT(($F$66:$F$153=D30)*$E$66:$E$153*$G$66:$G$153),"Error")</f>
        <v/>
      </c>
      <c r="H30" s="86">
        <f>SUM(F187:I187)</f>
        <v/>
      </c>
      <c r="I30" s="86">
        <f>E30+F30-G30-H30</f>
        <v/>
      </c>
      <c r="J30" s="86">
        <f>E187</f>
        <v/>
      </c>
      <c r="K30" s="87">
        <f>J30-I30</f>
        <v/>
      </c>
      <c r="L30" s="121">
        <f>+'MERMAS S1'!D31</f>
        <v/>
      </c>
      <c r="M30" s="301" t="n"/>
      <c r="N30" s="36">
        <f>IF(K30&lt;0,K30*L30,0)</f>
        <v/>
      </c>
      <c r="O30" s="4" t="n"/>
      <c r="P30" s="4" t="n"/>
      <c r="Q30" s="4" t="n"/>
    </row>
    <row r="31" ht="13.5" customHeight="1" s="95" thickBot="1">
      <c r="B31" s="4" t="n"/>
      <c r="C31" s="30" t="n"/>
      <c r="D31" s="51" t="inlineStr">
        <is>
          <t>Salmón fresco premium</t>
        </is>
      </c>
      <c r="E31" s="245" t="n"/>
      <c r="F31" s="107">
        <f>E239</f>
        <v/>
      </c>
      <c r="G31" s="107">
        <f>IFERROR(SUMPRODUCT(($F$66:$F$153=D31)*$E$66:$E$153*$G$66:$G$153),"Error")</f>
        <v/>
      </c>
      <c r="H31" s="107">
        <f>SUM(F188:I188)</f>
        <v/>
      </c>
      <c r="I31" s="107">
        <f>E31+F31-G31-H31</f>
        <v/>
      </c>
      <c r="J31" s="107">
        <f>E188</f>
        <v/>
      </c>
      <c r="K31" s="108">
        <f>J31-I31</f>
        <v/>
      </c>
      <c r="L31" s="131">
        <f>+'MERMAS S1'!D32</f>
        <v/>
      </c>
      <c r="M31" s="303" t="n"/>
      <c r="N31" s="110">
        <f>IF(K31&lt;0,K31*L31,0)</f>
        <v/>
      </c>
      <c r="O31" s="4" t="n"/>
      <c r="P31" s="4" t="n"/>
      <c r="Q31" s="4" t="n"/>
    </row>
    <row r="32" ht="13.5" customHeight="1" s="95" thickBot="1">
      <c r="B32" s="5" t="n"/>
      <c r="C32" s="6" t="n"/>
      <c r="D32" s="7" t="n"/>
      <c r="E32" s="6" t="n"/>
      <c r="F32" s="6" t="n"/>
      <c r="G32" s="6" t="n"/>
      <c r="H32" s="6" t="n"/>
      <c r="I32" s="8" t="n"/>
      <c r="J32" s="8" t="n"/>
      <c r="K32" s="8" t="n"/>
      <c r="L32" s="9" t="n"/>
      <c r="M32" s="4" t="n"/>
      <c r="N32" s="4" t="n"/>
      <c r="O32" s="4" t="n"/>
      <c r="P32" s="4" t="n"/>
      <c r="Q32" s="4" t="n"/>
    </row>
    <row r="33" ht="13.5" customHeight="1" s="95" thickBot="1">
      <c r="B33" s="5" t="n"/>
      <c r="C33" s="6" t="n"/>
      <c r="D33" s="7" t="n"/>
      <c r="E33" s="6" t="n"/>
      <c r="F33" s="6" t="n"/>
      <c r="G33" s="6" t="n"/>
      <c r="H33" s="10" t="n"/>
      <c r="I33" s="304" t="inlineStr">
        <is>
          <t>DIFERENCIAS PROMEDIO</t>
        </is>
      </c>
      <c r="J33" s="305" t="n"/>
      <c r="K33" s="11">
        <f>SUM(K7:K31)</f>
        <v/>
      </c>
      <c r="L33" s="4" t="n"/>
      <c r="M33" s="12" t="inlineStr">
        <is>
          <t>DCTO. TOTAL</t>
        </is>
      </c>
      <c r="N33" s="13">
        <f>SUM(N7:N31)</f>
        <v/>
      </c>
      <c r="O33" s="4" t="n"/>
      <c r="P33" s="4" t="n"/>
      <c r="Q33" s="4" t="n"/>
    </row>
    <row r="34" ht="13.5" customHeight="1" s="95" thickBot="1">
      <c r="B34" s="5" t="n"/>
      <c r="C34" s="6" t="n"/>
      <c r="D34" s="5" t="n"/>
      <c r="E34" s="6" t="n"/>
      <c r="F34" s="6" t="n"/>
      <c r="G34" s="6" t="n"/>
      <c r="H34" s="6" t="n"/>
      <c r="I34" s="14" t="n"/>
      <c r="J34" s="14" t="n"/>
      <c r="K34" s="14" t="n"/>
      <c r="L34" s="4" t="n"/>
      <c r="M34" s="4" t="n"/>
      <c r="N34" s="4" t="n"/>
      <c r="O34" s="4" t="n"/>
      <c r="P34" s="4" t="n"/>
      <c r="Q34" s="4" t="n"/>
    </row>
    <row r="35" ht="13.5" customHeight="1" s="95" thickBot="1">
      <c r="B35" s="4" t="n"/>
      <c r="C35" s="6" t="n"/>
      <c r="D35" s="37" t="n"/>
      <c r="E35" s="128" t="n"/>
      <c r="F35" s="128" t="inlineStr">
        <is>
          <t>+</t>
        </is>
      </c>
      <c r="G35" s="128" t="inlineStr">
        <is>
          <t>(-)</t>
        </is>
      </c>
      <c r="H35" s="128" t="inlineStr">
        <is>
          <t>(-)</t>
        </is>
      </c>
      <c r="I35" s="128" t="inlineStr">
        <is>
          <t>=</t>
        </is>
      </c>
      <c r="J35" s="128" t="inlineStr">
        <is>
          <t>=</t>
        </is>
      </c>
      <c r="K35" s="128" t="inlineStr">
        <is>
          <t>=</t>
        </is>
      </c>
      <c r="L35" s="296" t="inlineStr">
        <is>
          <t>$</t>
        </is>
      </c>
      <c r="M35" s="297" t="n"/>
      <c r="N35" s="34" t="inlineStr">
        <is>
          <t>$</t>
        </is>
      </c>
      <c r="O35" s="4" t="n"/>
      <c r="P35" s="4" t="n"/>
      <c r="Q35" s="4" t="n"/>
    </row>
    <row r="36" ht="13.5" customHeight="1" s="95" thickBot="1">
      <c r="B36" s="4" t="n"/>
      <c r="C36" s="33" t="n"/>
      <c r="D36" s="162" t="inlineStr">
        <is>
          <t>PRODUCTOS</t>
        </is>
      </c>
      <c r="E36" s="164" t="n"/>
      <c r="F36" s="164" t="inlineStr">
        <is>
          <t>Entregas</t>
        </is>
      </c>
      <c r="G36" s="164" t="inlineStr">
        <is>
          <t>Ventas</t>
        </is>
      </c>
      <c r="H36" s="164" t="inlineStr">
        <is>
          <t>Mermas</t>
        </is>
      </c>
      <c r="I36" s="164" t="inlineStr">
        <is>
          <t>Stock Real</t>
        </is>
      </c>
      <c r="J36" s="164" t="inlineStr">
        <is>
          <t>Stock Informado</t>
        </is>
      </c>
      <c r="K36" s="164" t="inlineStr">
        <is>
          <t>Diferencias</t>
        </is>
      </c>
      <c r="L36" s="164" t="inlineStr">
        <is>
          <t>Precio</t>
        </is>
      </c>
      <c r="M36" s="306" t="n"/>
      <c r="N36" s="165" t="inlineStr">
        <is>
          <t>Descuento</t>
        </is>
      </c>
      <c r="O36" s="4" t="n"/>
      <c r="P36" s="4" t="n"/>
      <c r="Q36" s="4" t="n"/>
    </row>
    <row r="37">
      <c r="B37" s="4" t="n"/>
      <c r="C37" s="30" t="n"/>
      <c r="D37" s="113" t="inlineStr">
        <is>
          <t>Brownie Nutella</t>
        </is>
      </c>
      <c r="E37" s="244" t="n"/>
      <c r="F37" s="86">
        <f>E264</f>
        <v/>
      </c>
      <c r="G37" s="86">
        <f>IFERROR(SUMPRODUCT(($F$66:$F$153=D37)*$E$66:$E$153*$G$66:$G$153),"Error")</f>
        <v/>
      </c>
      <c r="H37" s="86">
        <f>SUM(F194:I194)</f>
        <v/>
      </c>
      <c r="I37" s="86">
        <f>E37+F37-G37-H37</f>
        <v/>
      </c>
      <c r="J37" s="204">
        <f>E194</f>
        <v/>
      </c>
      <c r="K37" s="114">
        <f>J37-I37</f>
        <v/>
      </c>
      <c r="L37" s="125">
        <f>+'MERMAS S1'!D33</f>
        <v/>
      </c>
      <c r="M37" s="307" t="n"/>
      <c r="N37" s="115">
        <f>IF(K37&lt;0,K37*L37,0)</f>
        <v/>
      </c>
      <c r="O37" s="4" t="n"/>
      <c r="P37" s="4" t="n"/>
      <c r="Q37" s="4" t="n"/>
    </row>
    <row r="38">
      <c r="B38" s="4" t="n"/>
      <c r="C38" s="30" t="n"/>
      <c r="D38" s="69" t="inlineStr">
        <is>
          <t>Brownie Vegano</t>
        </is>
      </c>
      <c r="E38" s="244" t="n"/>
      <c r="F38" s="77">
        <f>E265</f>
        <v/>
      </c>
      <c r="G38" s="77">
        <f>IFERROR(SUMPRODUCT(($F$66:$F$153=D38)*$E$66:$E$153*$G$66:$G$153),"Error")</f>
        <v/>
      </c>
      <c r="H38" s="77">
        <f>SUM(F195:I195)</f>
        <v/>
      </c>
      <c r="I38" s="77">
        <f>E38+F38-G38-H38</f>
        <v/>
      </c>
      <c r="J38" s="205">
        <f>E195</f>
        <v/>
      </c>
      <c r="K38" s="88">
        <f>J38-I38</f>
        <v/>
      </c>
      <c r="L38" s="121">
        <f>+'MERMAS S1'!D34</f>
        <v/>
      </c>
      <c r="M38" s="301" t="n"/>
      <c r="N38" s="36">
        <f>IF(K38&lt;0,K38*L38,0)</f>
        <v/>
      </c>
      <c r="O38" s="4" t="n"/>
      <c r="P38" s="4" t="n"/>
      <c r="Q38" s="4" t="n"/>
    </row>
    <row r="39">
      <c r="B39" s="4" t="n"/>
      <c r="C39" s="9" t="n"/>
      <c r="D39" s="69" t="inlineStr">
        <is>
          <t>Cheesecake de Berries</t>
        </is>
      </c>
      <c r="E39" s="244" t="n"/>
      <c r="F39" s="77">
        <f>E262</f>
        <v/>
      </c>
      <c r="G39" s="77">
        <f>IFERROR(SUMPRODUCT(($F$66:$F$153="Cheesecake Berries")*$E$66:$E$153*$G$66:$G$153),"Error")</f>
        <v/>
      </c>
      <c r="H39" s="77">
        <f>SUM(F196:I196)</f>
        <v/>
      </c>
      <c r="I39" s="77">
        <f>E39+F39-G39-H39</f>
        <v/>
      </c>
      <c r="J39" s="205">
        <f>E196</f>
        <v/>
      </c>
      <c r="K39" s="88">
        <f>J39-I39</f>
        <v/>
      </c>
      <c r="L39" s="121">
        <f>+'MERMAS S1'!D35</f>
        <v/>
      </c>
      <c r="M39" s="301" t="n"/>
      <c r="N39" s="36">
        <f>IF(K39&lt;0,K39*L39,0)</f>
        <v/>
      </c>
      <c r="O39" s="4" t="n"/>
      <c r="P39" s="4" t="n"/>
      <c r="Q39" s="4" t="n"/>
    </row>
    <row r="40">
      <c r="B40" s="4" t="n"/>
      <c r="C40" s="30" t="n"/>
      <c r="D40" s="50" t="inlineStr">
        <is>
          <t>Cheesecake de Limón</t>
        </is>
      </c>
      <c r="E40" s="244" t="n"/>
      <c r="F40" s="77">
        <f>E263</f>
        <v/>
      </c>
      <c r="G40" s="77">
        <f>IFERROR(SUMPRODUCT(($F$66:$F$153=D40)*$E$66:$E$153*$G$66:$G$153),"Error")</f>
        <v/>
      </c>
      <c r="H40" s="77">
        <f>SUM(F197:H197)</f>
        <v/>
      </c>
      <c r="I40" s="77">
        <f>E40+F40-G40-H40</f>
        <v/>
      </c>
      <c r="J40" s="205">
        <f>E197</f>
        <v/>
      </c>
      <c r="K40" s="88">
        <f>J40-I40</f>
        <v/>
      </c>
      <c r="L40" s="121">
        <f>+'MERMAS S1'!D36</f>
        <v/>
      </c>
      <c r="M40" s="301" t="n"/>
      <c r="N40" s="36">
        <f>IF(K40&lt;0,K40*L40,0)</f>
        <v/>
      </c>
      <c r="O40" s="4" t="n"/>
      <c r="P40" s="4" t="n"/>
      <c r="Q40" s="4" t="n"/>
    </row>
    <row r="41">
      <c r="B41" s="4" t="n"/>
      <c r="C41" s="30" t="n"/>
      <c r="D41" s="50" t="inlineStr">
        <is>
          <t>Chocolate Blanco</t>
        </is>
      </c>
      <c r="E41" s="244" t="n"/>
      <c r="F41" s="77">
        <f>H262</f>
        <v/>
      </c>
      <c r="G41" s="77">
        <f>J262</f>
        <v/>
      </c>
      <c r="H41" s="77">
        <f>SUM(F198:I198)</f>
        <v/>
      </c>
      <c r="I41" s="77">
        <f>E41+F41-G41-H41</f>
        <v/>
      </c>
      <c r="J41" s="205">
        <f>E198</f>
        <v/>
      </c>
      <c r="K41" s="88">
        <f>J41-I41</f>
        <v/>
      </c>
      <c r="L41" s="121">
        <f>+'MERMAS S1'!D37</f>
        <v/>
      </c>
      <c r="M41" s="301" t="n"/>
      <c r="N41" s="36">
        <f>IF(K41&lt;0,K41*L41,0)</f>
        <v/>
      </c>
      <c r="O41" s="4" t="n"/>
      <c r="P41" s="4" t="n"/>
      <c r="Q41" s="4" t="n"/>
    </row>
    <row r="42">
      <c r="B42" s="4" t="n"/>
      <c r="C42" s="30" t="n"/>
      <c r="D42" s="50" t="inlineStr">
        <is>
          <t>Chocolate Leche</t>
        </is>
      </c>
      <c r="E42" s="244" t="n"/>
      <c r="F42" s="77">
        <f>H263</f>
        <v/>
      </c>
      <c r="G42" s="77">
        <f>J263</f>
        <v/>
      </c>
      <c r="H42" s="77">
        <f>SUM(F199:I199)</f>
        <v/>
      </c>
      <c r="I42" s="77">
        <f>E42+F42-G42-H42</f>
        <v/>
      </c>
      <c r="J42" s="205">
        <f>E199</f>
        <v/>
      </c>
      <c r="K42" s="88">
        <f>J42-I42</f>
        <v/>
      </c>
      <c r="L42" s="121">
        <f>+'MERMAS S1'!D38</f>
        <v/>
      </c>
      <c r="M42" s="301" t="n"/>
      <c r="N42" s="36">
        <f>IF(K42&lt;0,K42*L42,0)</f>
        <v/>
      </c>
      <c r="O42" s="4" t="n"/>
      <c r="P42" s="4" t="n"/>
      <c r="Q42" s="4" t="n"/>
    </row>
    <row r="43">
      <c r="B43" s="4" t="n"/>
      <c r="C43" s="30" t="n"/>
      <c r="D43" s="50" t="inlineStr">
        <is>
          <t>Chocolate Negro</t>
        </is>
      </c>
      <c r="E43" s="244" t="n"/>
      <c r="F43" s="77">
        <f>H264</f>
        <v/>
      </c>
      <c r="G43" s="77">
        <f>J264</f>
        <v/>
      </c>
      <c r="H43" s="77">
        <f>SUM(F200:I200)</f>
        <v/>
      </c>
      <c r="I43" s="77">
        <f>E43+F43-G43-H43</f>
        <v/>
      </c>
      <c r="J43" s="205">
        <f>E200</f>
        <v/>
      </c>
      <c r="K43" s="88">
        <f>J43-I43</f>
        <v/>
      </c>
      <c r="L43" s="121">
        <f>+'MERMAS S1'!D39</f>
        <v/>
      </c>
      <c r="M43" s="301" t="n"/>
      <c r="N43" s="36">
        <f>IF(K43&lt;0,K43*L43,0)</f>
        <v/>
      </c>
      <c r="O43" s="4" t="n"/>
      <c r="P43" s="4" t="n"/>
      <c r="Q43" s="4" t="n"/>
    </row>
    <row r="44">
      <c r="B44" s="4" t="n"/>
      <c r="C44" s="30" t="n"/>
      <c r="D44" s="50" t="inlineStr">
        <is>
          <t>Chocolate Neucober Cobertura</t>
        </is>
      </c>
      <c r="E44" s="244" t="n"/>
      <c r="F44" s="77">
        <f>H265</f>
        <v/>
      </c>
      <c r="G44" s="77">
        <f>J265</f>
        <v/>
      </c>
      <c r="H44" s="77">
        <f>SUM(F201:I201)</f>
        <v/>
      </c>
      <c r="I44" s="77">
        <f>E44+F44-G44-H44</f>
        <v/>
      </c>
      <c r="J44" s="205">
        <f>E201</f>
        <v/>
      </c>
      <c r="K44" s="88">
        <f>J44-I44</f>
        <v/>
      </c>
      <c r="L44" s="121">
        <f>+'MERMAS S1'!D40</f>
        <v/>
      </c>
      <c r="M44" s="301" t="n"/>
      <c r="N44" s="36">
        <f>IF(K44&lt;0,K44*L44,0)</f>
        <v/>
      </c>
      <c r="O44" s="4" t="n"/>
      <c r="P44" s="4" t="n"/>
      <c r="Q44" s="4" t="n"/>
    </row>
    <row r="45">
      <c r="B45" s="4" t="n"/>
      <c r="C45" s="30" t="n"/>
      <c r="D45" s="50" t="inlineStr">
        <is>
          <t>Chocolate Sicao Cobertura</t>
        </is>
      </c>
      <c r="E45" s="244" t="n"/>
      <c r="F45" s="77">
        <f>H266</f>
        <v/>
      </c>
      <c r="G45" s="77">
        <f>J266</f>
        <v/>
      </c>
      <c r="H45" s="77">
        <f>SUM(F202:I202)</f>
        <v/>
      </c>
      <c r="I45" s="77">
        <f>E45+F45-G45-H45</f>
        <v/>
      </c>
      <c r="J45" s="205">
        <f>E202</f>
        <v/>
      </c>
      <c r="K45" s="88">
        <f>J45-I45</f>
        <v/>
      </c>
      <c r="L45" s="121">
        <f>+'MERMAS S1'!D41</f>
        <v/>
      </c>
      <c r="M45" s="301" t="n"/>
      <c r="N45" s="36">
        <f>IF(K45&lt;0,K45*L45,0)</f>
        <v/>
      </c>
      <c r="O45" s="4" t="n"/>
      <c r="P45" s="4" t="n"/>
      <c r="Q45" s="4" t="n"/>
    </row>
    <row r="46">
      <c r="B46" s="4" t="n"/>
      <c r="C46" s="30" t="n"/>
      <c r="D46" s="50" t="inlineStr">
        <is>
          <t>Discos de Chocolate</t>
        </is>
      </c>
      <c r="E46" s="244" t="n"/>
      <c r="F46" s="77">
        <f>E268</f>
        <v/>
      </c>
      <c r="G46" s="77">
        <f>E91</f>
        <v/>
      </c>
      <c r="H46" s="77">
        <f>SUM(F203:I203)</f>
        <v/>
      </c>
      <c r="I46" s="77">
        <f>E46+F46-G46-H46</f>
        <v/>
      </c>
      <c r="J46" s="205">
        <f>E203</f>
        <v/>
      </c>
      <c r="K46" s="88">
        <f>J46-I46</f>
        <v/>
      </c>
      <c r="L46" s="121">
        <f>+'MERMAS S1'!D42</f>
        <v/>
      </c>
      <c r="M46" s="301" t="n"/>
      <c r="N46" s="36">
        <f>IF(K46&lt;0,K46*L46,0)</f>
        <v/>
      </c>
      <c r="O46" s="4" t="n"/>
      <c r="P46" s="4" t="n"/>
      <c r="Q46" s="4" t="n"/>
    </row>
    <row r="47">
      <c r="B47" s="4" t="n"/>
      <c r="C47" s="30" t="n"/>
      <c r="D47" s="50" t="inlineStr">
        <is>
          <t>Empanada Mechada</t>
        </is>
      </c>
      <c r="E47" s="244" t="n"/>
      <c r="F47" s="77">
        <f>E225</f>
        <v/>
      </c>
      <c r="G47" s="77">
        <f>IFERROR(SUMPRODUCT(($F$66:$F$153=D47)*$E$66:$E$153*$G$66:$G$153),"Error")</f>
        <v/>
      </c>
      <c r="H47" s="77">
        <f>(SUM(F204:I204)*4)+SUM(F205:I205)</f>
        <v/>
      </c>
      <c r="I47" s="77">
        <f>E47+F47-G47-H47</f>
        <v/>
      </c>
      <c r="J47" s="205">
        <f>(E204*4)+E205</f>
        <v/>
      </c>
      <c r="K47" s="88">
        <f>J47-I47</f>
        <v/>
      </c>
      <c r="L47" s="121">
        <f>+'MERMAS S1'!D43</f>
        <v/>
      </c>
      <c r="M47" s="301" t="n"/>
      <c r="N47" s="36">
        <f>IF(K47&lt;0,K47*L47,0)</f>
        <v/>
      </c>
      <c r="O47" s="4" t="n"/>
      <c r="P47" s="4" t="n"/>
      <c r="Q47" s="4" t="n"/>
    </row>
    <row r="48">
      <c r="B48" s="4" t="n"/>
      <c r="C48" s="30" t="n"/>
      <c r="D48" s="50" t="inlineStr">
        <is>
          <t>Empanada Pulpo</t>
        </is>
      </c>
      <c r="E48" s="244" t="n"/>
      <c r="F48" s="77">
        <f>H247</f>
        <v/>
      </c>
      <c r="G48" s="77">
        <f>IFERROR(SUMPRODUCT(($F$66:$F$153=D48)*$E$66:$E$153*$G$66:$G$153),"Error")</f>
        <v/>
      </c>
      <c r="H48" s="77">
        <f>(SUM(F206:I206)*4)+SUM(F207:I207)</f>
        <v/>
      </c>
      <c r="I48" s="77">
        <f>E48+F48-G48-H48</f>
        <v/>
      </c>
      <c r="J48" s="205">
        <f>(E206*4)+E207</f>
        <v/>
      </c>
      <c r="K48" s="88">
        <f>J48-I48</f>
        <v/>
      </c>
      <c r="L48" s="121">
        <f>+'MERMAS S1'!D44</f>
        <v/>
      </c>
      <c r="M48" s="301" t="n"/>
      <c r="N48" s="36">
        <f>IF(K48&lt;0,K48*L48,0)</f>
        <v/>
      </c>
      <c r="O48" s="4" t="n"/>
      <c r="P48" s="4" t="n"/>
      <c r="Q48" s="4" t="n"/>
    </row>
    <row r="49">
      <c r="B49" s="4" t="n"/>
      <c r="C49" s="30" t="n"/>
      <c r="D49" s="50" t="inlineStr">
        <is>
          <t>Flan de Caluga</t>
        </is>
      </c>
      <c r="E49" s="244" t="n"/>
      <c r="F49" s="77">
        <f>E266</f>
        <v/>
      </c>
      <c r="G49" s="77">
        <f>IFERROR(SUMPRODUCT(($F$66:$F$153=D49)*$E$66:$E$153*$G$66:$G$153),"Error")</f>
        <v/>
      </c>
      <c r="H49" s="77">
        <f>SUM(F208:I208)</f>
        <v/>
      </c>
      <c r="I49" s="77">
        <f>E49+F49-G49-H49</f>
        <v/>
      </c>
      <c r="J49" s="205">
        <f>E208</f>
        <v/>
      </c>
      <c r="K49" s="88">
        <f>J49-I49</f>
        <v/>
      </c>
      <c r="L49" s="121">
        <f>+'MERMAS S1'!D45</f>
        <v/>
      </c>
      <c r="M49" s="301" t="n"/>
      <c r="N49" s="36">
        <f>IF(K49&lt;0,K49*L49,0)</f>
        <v/>
      </c>
      <c r="O49" s="4" t="n"/>
      <c r="P49" s="4" t="n"/>
      <c r="Q49" s="4" t="n"/>
    </row>
    <row r="50">
      <c r="B50" s="4" t="n"/>
      <c r="C50" s="30" t="n"/>
      <c r="D50" s="69" t="inlineStr">
        <is>
          <t>Granola salada</t>
        </is>
      </c>
      <c r="E50" s="244" t="n"/>
      <c r="F50" s="77">
        <f>IF(
SUMPRODUCT(--ISNUMBER(SEARCH(D50,$D$221:$D$242)))
+
SUMPRODUCT(--ISNUMBER(SEARCH(D50,$D$262:$D$267)))=0,
"Error",
SUMPRODUCT((ISNUMBER(SEARCH(D50,$D$221:$D$242)))*$E$221:$E$242)
+
SUMPRODUCT((ISNUMBER(SEARCH(D50,$D$262:$D$267)))*$E$262:$E$267)
)</f>
        <v/>
      </c>
      <c r="G50" s="77">
        <f>IFERROR(SUMPRODUCT(($F$66:$F$153=D50)*$E$66:$E$153*$G$66:$G$153),"Error")</f>
        <v/>
      </c>
      <c r="H50" s="77">
        <f>SUM(F209:I209)</f>
        <v/>
      </c>
      <c r="I50" s="77">
        <f>E50+F50-G50-H50</f>
        <v/>
      </c>
      <c r="J50" s="205">
        <f>E209</f>
        <v/>
      </c>
      <c r="K50" s="88">
        <f>J50-I50</f>
        <v/>
      </c>
      <c r="L50" s="121">
        <f>+'MERMAS S1'!D46</f>
        <v/>
      </c>
      <c r="M50" s="301" t="n"/>
      <c r="N50" s="36">
        <f>IF(K50&lt;0,K50*L50,0)</f>
        <v/>
      </c>
      <c r="O50" s="4" t="n"/>
      <c r="P50" s="4" t="n"/>
      <c r="Q50" s="4" t="n"/>
    </row>
    <row r="51">
      <c r="B51" s="4" t="n"/>
      <c r="C51" s="30" t="n"/>
      <c r="D51" s="69" t="inlineStr">
        <is>
          <t>Mix Conchas</t>
        </is>
      </c>
      <c r="E51" s="244" t="n"/>
      <c r="F51" s="77">
        <f>H253</f>
        <v/>
      </c>
      <c r="G51" s="77">
        <f>IFERROR(SUMPRODUCT(($F$66:$F$153=D51)*$E$66:$E$153*$G$66:$G$153),"Error")</f>
        <v/>
      </c>
      <c r="H51" s="77">
        <f>SUM(F210:I210)</f>
        <v/>
      </c>
      <c r="I51" s="77">
        <f>E51+F51-G51-H51</f>
        <v/>
      </c>
      <c r="J51" s="205">
        <f>E210</f>
        <v/>
      </c>
      <c r="K51" s="88">
        <f>J51-I51</f>
        <v/>
      </c>
      <c r="L51" s="121">
        <f>+'MERMAS S1'!D47</f>
        <v/>
      </c>
      <c r="M51" s="301" t="n"/>
      <c r="N51" s="36">
        <f>IF(K51&lt;0,K51*L51,0)</f>
        <v/>
      </c>
      <c r="O51" s="4" t="n"/>
      <c r="P51" s="4" t="n"/>
      <c r="Q51" s="4" t="n"/>
    </row>
    <row r="52">
      <c r="B52" s="4" t="n"/>
      <c r="C52" s="30" t="n"/>
      <c r="D52" s="69" t="inlineStr">
        <is>
          <t>Nutella</t>
        </is>
      </c>
      <c r="E52" s="244" t="n"/>
      <c r="F52" s="77">
        <f>H267</f>
        <v/>
      </c>
      <c r="G52" s="77">
        <f>J267</f>
        <v/>
      </c>
      <c r="H52" s="77">
        <f>SUM(F211:I211)</f>
        <v/>
      </c>
      <c r="I52" s="77">
        <f>E52+F52-G52-H52</f>
        <v/>
      </c>
      <c r="J52" s="205">
        <f>E211</f>
        <v/>
      </c>
      <c r="K52" s="88">
        <f>J52-I52</f>
        <v/>
      </c>
      <c r="L52" s="121">
        <f>+'MERMAS S1'!D48</f>
        <v/>
      </c>
      <c r="M52" s="301" t="n"/>
      <c r="N52" s="36">
        <f>IF(K52&lt;0,K52*L52,0)</f>
        <v/>
      </c>
      <c r="O52" s="4" t="n"/>
      <c r="P52" s="4" t="n"/>
      <c r="Q52" s="4" t="n"/>
    </row>
    <row r="53">
      <c r="B53" s="4" t="n"/>
      <c r="C53" s="30" t="n"/>
      <c r="D53" s="50" t="inlineStr">
        <is>
          <t>Queso Mozzarella</t>
        </is>
      </c>
      <c r="E53" s="244" t="n"/>
      <c r="F53" s="77">
        <f>E236</f>
        <v/>
      </c>
      <c r="G53" s="77">
        <f>IFERROR(SUMPRODUCT(($F$66:$F$153=D53)*$E$66:$E$153*$G$66:$G$153),"Error")</f>
        <v/>
      </c>
      <c r="H53" s="77">
        <f>SUM(F212:I212)</f>
        <v/>
      </c>
      <c r="I53" s="77">
        <f>E53+F53-G53-H53</f>
        <v/>
      </c>
      <c r="J53" s="205">
        <f>E212</f>
        <v/>
      </c>
      <c r="K53" s="88">
        <f>J53-I53</f>
        <v/>
      </c>
      <c r="L53" s="121">
        <f>+'MERMAS S1'!D49</f>
        <v/>
      </c>
      <c r="M53" s="301" t="n"/>
      <c r="N53" s="36">
        <f>IF(K53&lt;0,K53*L53,0)</f>
        <v/>
      </c>
      <c r="O53" s="4" t="n"/>
      <c r="P53" s="4" t="n"/>
      <c r="Q53" s="4" t="n"/>
    </row>
    <row r="54">
      <c r="B54" s="4" t="n"/>
      <c r="C54" s="30" t="n"/>
      <c r="D54" s="50" t="inlineStr">
        <is>
          <t>Sorrentinos carne mechada</t>
        </is>
      </c>
      <c r="E54" s="244" t="n"/>
      <c r="F54" s="77">
        <f>E240</f>
        <v/>
      </c>
      <c r="G54" s="77">
        <f>IFERROR(SUMPRODUCT(($F$66:$F$153=D54)*$E$66:$E$153*$G$66:$G$153),"Error")</f>
        <v/>
      </c>
      <c r="H54" s="77">
        <f>SUM(F213:I213)</f>
        <v/>
      </c>
      <c r="I54" s="77">
        <f>E54+F54-G54-H54</f>
        <v/>
      </c>
      <c r="J54" s="205">
        <f>E213</f>
        <v/>
      </c>
      <c r="K54" s="88">
        <f>J54-I54</f>
        <v/>
      </c>
      <c r="L54" s="121">
        <f>+'MERMAS S1'!D50</f>
        <v/>
      </c>
      <c r="M54" s="301" t="n"/>
      <c r="N54" s="36">
        <f>IF(K54&lt;0,K54*L54,0)</f>
        <v/>
      </c>
      <c r="O54" s="4" t="n"/>
      <c r="P54" s="4" t="n"/>
      <c r="Q54" s="4" t="n"/>
    </row>
    <row r="55">
      <c r="B55" s="4" t="n"/>
      <c r="C55" s="30" t="n"/>
      <c r="D55" s="50" t="inlineStr">
        <is>
          <t>Sorrentinos pulpo y salmón</t>
        </is>
      </c>
      <c r="E55" s="244" t="n"/>
      <c r="F55" s="77">
        <f>E241</f>
        <v/>
      </c>
      <c r="G55" s="77">
        <f>IFERROR(SUMPRODUCT(($F$66:$F$153=D55)*$E$66:$E$153*$G$66:$G$153),"Error")</f>
        <v/>
      </c>
      <c r="H55" s="77">
        <f>SUM(F214:I214)</f>
        <v/>
      </c>
      <c r="I55" s="77">
        <f>E55+F55-G55-H55</f>
        <v/>
      </c>
      <c r="J55" s="205">
        <f>E214</f>
        <v/>
      </c>
      <c r="K55" s="88">
        <f>J55-I55</f>
        <v/>
      </c>
      <c r="L55" s="121">
        <f>+'MERMAS S1'!D51</f>
        <v/>
      </c>
      <c r="M55" s="301" t="n"/>
      <c r="N55" s="36">
        <f>IF(K55&lt;0,K55*L55,0)</f>
        <v/>
      </c>
      <c r="O55" s="4" t="n"/>
      <c r="P55" s="4" t="n"/>
      <c r="Q55" s="4" t="n"/>
    </row>
    <row r="56">
      <c r="B56" s="4" t="n"/>
      <c r="C56" s="30" t="n"/>
      <c r="D56" s="50" t="inlineStr">
        <is>
          <t>Sorrentinos zapallo</t>
        </is>
      </c>
      <c r="E56" s="244" t="n"/>
      <c r="F56" s="77">
        <f>E242</f>
        <v/>
      </c>
      <c r="G56" s="77">
        <f>IFERROR(SUMPRODUCT(($F$66:$F$153=D56)*$E$66:$E$153*$G$66:$G$153),"Error")</f>
        <v/>
      </c>
      <c r="H56" s="77">
        <f>SUM(F215:I215)</f>
        <v/>
      </c>
      <c r="I56" s="77">
        <f>E56+F56-G56-H56</f>
        <v/>
      </c>
      <c r="J56" s="205">
        <f>E215</f>
        <v/>
      </c>
      <c r="K56" s="88">
        <f>J56-I56</f>
        <v/>
      </c>
      <c r="L56" s="121">
        <f>+'MERMAS S1'!D52</f>
        <v/>
      </c>
      <c r="M56" s="301" t="n"/>
      <c r="N56" s="36">
        <f>IF(K56&lt;0,K56*L56,0)</f>
        <v/>
      </c>
      <c r="O56" s="4" t="n"/>
      <c r="P56" s="4" t="n"/>
      <c r="Q56" s="4" t="n"/>
    </row>
    <row r="57" ht="13.5" customHeight="1" s="95" thickBot="1">
      <c r="B57" s="4" t="n"/>
      <c r="C57" s="30" t="n"/>
      <c r="D57" s="89" t="inlineStr">
        <is>
          <t>Volcán de Chocolate</t>
        </is>
      </c>
      <c r="E57" s="245" t="n"/>
      <c r="F57" s="166">
        <f>E267</f>
        <v/>
      </c>
      <c r="G57" s="166">
        <f>IFERROR(SUMPRODUCT(($F$66:$F$153=D57)*$E$66:$E$153*$G$66:$G$153),"Error")</f>
        <v/>
      </c>
      <c r="H57" s="166">
        <f>SUM(F216:I216)</f>
        <v/>
      </c>
      <c r="I57" s="166">
        <f>E57+F57-G57-H57</f>
        <v/>
      </c>
      <c r="J57" s="206">
        <f>E216</f>
        <v/>
      </c>
      <c r="K57" s="167">
        <f>J57-I57</f>
        <v/>
      </c>
      <c r="L57" s="131">
        <f>+'MERMAS S1'!D53</f>
        <v/>
      </c>
      <c r="M57" s="303" t="n"/>
      <c r="N57" s="110">
        <f>IF(K57&lt;0,K57*L57,0)</f>
        <v/>
      </c>
      <c r="O57" s="4" t="n"/>
      <c r="P57" s="4" t="n"/>
      <c r="Q57" s="4" t="n"/>
    </row>
    <row r="58" ht="13.5" customHeight="1" s="95" thickBot="1">
      <c r="B58" s="4" t="n"/>
      <c r="C58" s="4" t="n"/>
      <c r="D58" s="16" t="n"/>
      <c r="E58" s="9" t="n"/>
      <c r="F58" s="9" t="n"/>
      <c r="G58" s="9" t="n"/>
      <c r="H58" s="9" t="n"/>
      <c r="I58" s="8" t="n"/>
      <c r="J58" s="8" t="n"/>
      <c r="K58" s="8" t="n"/>
      <c r="L58" s="9" t="n"/>
      <c r="M58" s="4" t="n"/>
      <c r="N58" s="4" t="n"/>
      <c r="O58" s="4" t="n"/>
      <c r="P58" s="4" t="n"/>
      <c r="Q58" s="4" t="n"/>
    </row>
    <row r="59" ht="13.5" customHeight="1" s="95" thickBot="1">
      <c r="B59" s="4" t="n"/>
      <c r="C59" s="4" t="n"/>
      <c r="D59" s="16" t="n"/>
      <c r="E59" s="9" t="n"/>
      <c r="F59" s="9" t="n"/>
      <c r="G59" s="9" t="n"/>
      <c r="H59" s="17" t="n"/>
      <c r="I59" s="304" t="inlineStr">
        <is>
          <t>DIFERENCIAS PROMEDIO</t>
        </is>
      </c>
      <c r="J59" s="305" t="n"/>
      <c r="K59" s="11">
        <f>SUM(K37:K57)</f>
        <v/>
      </c>
      <c r="L59" s="4" t="n"/>
      <c r="M59" s="12" t="inlineStr">
        <is>
          <t>DCTO. TOTAL</t>
        </is>
      </c>
      <c r="N59" s="13">
        <f>SUM(N37:N57)</f>
        <v/>
      </c>
      <c r="O59" s="4" t="n"/>
      <c r="P59" s="4" t="n"/>
      <c r="Q59" s="4" t="n"/>
    </row>
    <row r="60"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</row>
    <row r="61"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</row>
    <row r="62"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</row>
    <row r="63" ht="13.5" customHeight="1" s="95" thickBot="1"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</row>
    <row r="64">
      <c r="B64" s="4" t="n"/>
      <c r="C64" s="197" t="inlineStr">
        <is>
          <t>VENTAS</t>
        </is>
      </c>
      <c r="D64" s="308" t="n"/>
      <c r="E64" s="308" t="n"/>
      <c r="F64" s="308" t="n"/>
      <c r="G64" s="308" t="n"/>
      <c r="H64" s="300" t="n"/>
      <c r="I64" s="55" t="n"/>
      <c r="J64" s="55" t="n"/>
      <c r="K64" s="55" t="n"/>
      <c r="L64" s="55" t="n"/>
      <c r="M64" s="55" t="n"/>
      <c r="N64" s="55" t="n"/>
      <c r="O64" s="4" t="n"/>
      <c r="P64" s="4" t="n"/>
      <c r="Q64" s="4" t="n"/>
    </row>
    <row r="65">
      <c r="B65" s="4" t="n"/>
      <c r="C65" s="200" t="inlineStr">
        <is>
          <t>Código</t>
        </is>
      </c>
      <c r="D65" s="196" t="inlineStr">
        <is>
          <t>Ítem</t>
        </is>
      </c>
      <c r="E65" s="196" t="inlineStr">
        <is>
          <t xml:space="preserve">Vendido </t>
        </is>
      </c>
      <c r="F65" s="196" t="inlineStr">
        <is>
          <t>Producto</t>
        </is>
      </c>
      <c r="G65" s="196" t="inlineStr">
        <is>
          <t>Cantidad</t>
        </is>
      </c>
      <c r="H65" s="201" t="inlineStr">
        <is>
          <t>Medida</t>
        </is>
      </c>
      <c r="I65" s="56" t="n"/>
      <c r="J65" s="56" t="n"/>
      <c r="K65" s="56" t="n"/>
      <c r="L65" s="56" t="n"/>
      <c r="M65" s="56" t="n"/>
      <c r="N65" s="56" t="n"/>
      <c r="O65" s="4" t="n"/>
      <c r="P65" s="4" t="n"/>
      <c r="Q65" s="4" t="n"/>
    </row>
    <row r="66">
      <c r="B66" s="4" t="n"/>
      <c r="C66" s="96" t="inlineStr">
        <is>
          <t>VECARAGR013</t>
        </is>
      </c>
      <c r="D66" s="18" t="inlineStr">
        <is>
          <t>Age Salmon Ahumado</t>
        </is>
      </c>
      <c r="E66" s="207">
        <f>IFERROR(
IF(
INDEX($K$272:$K$977,MATCH(C66,$B$272:$B$977,0))&lt;&gt;0,
INDEX($K$272:$K$977,MATCH(C66,$B$272:$B$977,0)),
INDEX($L$272:$L$977,MATCH(C66,$B$272:$B$977,0))
),
0)</f>
        <v/>
      </c>
      <c r="F66" s="1" t="inlineStr">
        <is>
          <t>Salmón ahumado en Caliente</t>
        </is>
      </c>
      <c r="G66" s="52" t="n">
        <v>0.12</v>
      </c>
      <c r="H66" s="81" t="inlineStr">
        <is>
          <t>Kg</t>
        </is>
      </c>
      <c r="I66" s="79" t="n"/>
      <c r="J66" s="78" t="n"/>
      <c r="K66" s="79" t="n"/>
      <c r="L66" s="80" t="n"/>
      <c r="M66" s="80" t="n"/>
      <c r="N66" s="80" t="n"/>
      <c r="O66" s="4" t="n"/>
      <c r="P66" s="4" t="n"/>
      <c r="Q66" s="4" t="n"/>
    </row>
    <row r="67">
      <c r="B67" s="4" t="n"/>
      <c r="C67" s="96" t="inlineStr">
        <is>
          <t>VECARAGR007</t>
        </is>
      </c>
      <c r="D67" s="18" t="inlineStr">
        <is>
          <t>Agr. Jamon Crudo</t>
        </is>
      </c>
      <c r="E67" s="207">
        <f>IFERROR(
IF(
INDEX($K$272:$K$977,MATCH(C67,$B$272:$B$977,0))&lt;&gt;0,
INDEX($K$272:$K$977,MATCH(C67,$B$272:$B$977,0)),
INDEX($L$272:$L$977,MATCH(C67,$B$272:$B$977,0))
),
0)</f>
        <v/>
      </c>
      <c r="F67" s="1" t="inlineStr">
        <is>
          <t>Jamón serrano</t>
        </is>
      </c>
      <c r="G67" s="52" t="n">
        <v>0.03</v>
      </c>
      <c r="H67" s="81" t="inlineStr">
        <is>
          <t>Kg</t>
        </is>
      </c>
      <c r="I67" s="79" t="n"/>
      <c r="J67" s="78" t="n"/>
      <c r="K67" s="79" t="n"/>
      <c r="L67" s="80" t="n"/>
      <c r="M67" s="80" t="n"/>
      <c r="N67" s="80" t="n"/>
      <c r="O67" s="4" t="n"/>
      <c r="P67" s="4" t="n"/>
      <c r="Q67" s="4" t="n"/>
    </row>
    <row r="68">
      <c r="B68" s="4" t="n"/>
      <c r="C68" s="96" t="inlineStr">
        <is>
          <t>VECARENT001</t>
        </is>
      </c>
      <c r="D68" s="18" t="inlineStr">
        <is>
          <t>Atún Apanado</t>
        </is>
      </c>
      <c r="E68" s="207">
        <f>IFERROR(
IF(
INDEX($K$272:$K$977,MATCH(C68,$B$272:$B$977,0))&lt;&gt;0,
INDEX($K$272:$K$977,MATCH(C68,$B$272:$B$977,0)),
INDEX($L$272:$L$977,MATCH(C68,$B$272:$B$977,0))
),
0)</f>
        <v/>
      </c>
      <c r="F68" s="1" t="inlineStr">
        <is>
          <t>Atún Steak</t>
        </is>
      </c>
      <c r="G68" s="52" t="n">
        <v>0.18</v>
      </c>
      <c r="H68" s="81" t="inlineStr">
        <is>
          <t>Kg</t>
        </is>
      </c>
      <c r="I68" s="79" t="n"/>
      <c r="J68" s="78" t="n"/>
      <c r="K68" s="79" t="n"/>
      <c r="L68" s="80" t="n"/>
      <c r="M68" s="80" t="n"/>
      <c r="N68" s="80" t="n"/>
      <c r="O68" s="20" t="n"/>
      <c r="P68" s="4" t="n"/>
      <c r="Q68" s="4" t="n"/>
    </row>
    <row r="69">
      <c r="B69" s="4" t="n"/>
      <c r="C69" s="96" t="inlineStr">
        <is>
          <t>VECARFJT001</t>
        </is>
      </c>
      <c r="D69" s="18" t="inlineStr">
        <is>
          <t>Atún Sellado JT</t>
        </is>
      </c>
      <c r="E69" s="207">
        <f>IFERROR(
IF(
INDEX($K$272:$K$977,MATCH(C69,$B$272:$B$977,0))&lt;&gt;0,
INDEX($K$272:$K$977,MATCH(C69,$B$272:$B$977,0)),
INDEX($L$272:$L$977,MATCH(C69,$B$272:$B$977,0))
),
0)</f>
        <v/>
      </c>
      <c r="F69" s="1" t="inlineStr">
        <is>
          <t>Atún Steak</t>
        </is>
      </c>
      <c r="G69" s="52" t="n">
        <v>0.18</v>
      </c>
      <c r="H69" s="81" t="inlineStr">
        <is>
          <t>Kg</t>
        </is>
      </c>
      <c r="I69" s="79" t="n"/>
      <c r="J69" s="78" t="n"/>
      <c r="K69" s="79" t="n"/>
      <c r="L69" s="80" t="n"/>
      <c r="M69" s="80" t="n"/>
      <c r="N69" s="80" t="n"/>
      <c r="O69" s="20" t="n"/>
      <c r="P69" s="4" t="n"/>
      <c r="Q69" s="4" t="n"/>
    </row>
    <row r="70">
      <c r="B70" s="4" t="n"/>
      <c r="C70" s="96" t="inlineStr">
        <is>
          <t>VECARFON002</t>
        </is>
      </c>
      <c r="D70" s="18" t="inlineStr">
        <is>
          <t>Atún Risotto</t>
        </is>
      </c>
      <c r="E70" s="207">
        <f>IFERROR(
IF(
INDEX($K$272:$K$977,MATCH(C70,$B$272:$B$977,0))&lt;&gt;0,
INDEX($K$272:$K$977,MATCH(C70,$B$272:$B$977,0)),
INDEX($L$272:$L$977,MATCH(C70,$B$272:$B$977,0))
),
0)</f>
        <v/>
      </c>
      <c r="F70" s="1" t="inlineStr">
        <is>
          <t>Atún Steak</t>
        </is>
      </c>
      <c r="G70" s="52" t="n">
        <v>0.18</v>
      </c>
      <c r="H70" s="81" t="inlineStr">
        <is>
          <t>Kg</t>
        </is>
      </c>
      <c r="I70" s="79" t="n"/>
      <c r="J70" s="78" t="n"/>
      <c r="K70" s="79" t="n"/>
      <c r="L70" s="80" t="n"/>
      <c r="M70" s="80" t="n"/>
      <c r="N70" s="80" t="n"/>
      <c r="O70" s="20" t="n"/>
      <c r="P70" s="4" t="n"/>
      <c r="Q70" s="4" t="n"/>
    </row>
    <row r="71">
      <c r="B71" s="4" t="n"/>
      <c r="C71" s="96" t="inlineStr">
        <is>
          <t>VECARFUB001</t>
        </is>
      </c>
      <c r="D71" s="18" t="inlineStr">
        <is>
          <t>Atún Risotto PY</t>
        </is>
      </c>
      <c r="E71" s="207">
        <f>IFERROR(
IF(
INDEX($K$272:$K$977,MATCH(C71,$B$272:$B$977,0))&lt;&gt;0,
INDEX($K$272:$K$977,MATCH(C71,$B$272:$B$977,0)),
INDEX($L$272:$L$977,MATCH(C71,$B$272:$B$977,0))
),
0)</f>
        <v/>
      </c>
      <c r="F71" s="1" t="inlineStr">
        <is>
          <t>Atún Steak</t>
        </is>
      </c>
      <c r="G71" s="52" t="n">
        <v>0.18</v>
      </c>
      <c r="H71" s="81" t="inlineStr">
        <is>
          <t>Kg</t>
        </is>
      </c>
      <c r="I71" s="79" t="n"/>
      <c r="J71" s="78" t="n"/>
      <c r="K71" s="79" t="n"/>
      <c r="L71" s="80" t="n"/>
      <c r="M71" s="80" t="n"/>
      <c r="N71" s="80" t="n"/>
      <c r="O71" s="20" t="n"/>
      <c r="P71" s="4" t="n"/>
      <c r="Q71" s="4" t="n"/>
    </row>
    <row r="72">
      <c r="B72" s="4" t="n"/>
      <c r="C72" s="96" t="inlineStr">
        <is>
          <t>VECARENT034</t>
        </is>
      </c>
      <c r="D72" s="18" t="inlineStr">
        <is>
          <t>Brocheta Langostino</t>
        </is>
      </c>
      <c r="E72" s="207">
        <f>IFERROR(
IF(
INDEX($K$272:$K$977,MATCH(C72,$B$272:$B$977,0))&lt;&gt;0,
INDEX($K$272:$K$977,MATCH(C72,$B$272:$B$977,0)),
INDEX($L$272:$L$977,MATCH(C72,$B$272:$B$977,0))
),
0)</f>
        <v/>
      </c>
      <c r="F72" s="1" t="inlineStr">
        <is>
          <t>Langostinos</t>
        </is>
      </c>
      <c r="G72" s="52" t="n">
        <v>1</v>
      </c>
      <c r="H72" s="81" t="inlineStr">
        <is>
          <t>Und</t>
        </is>
      </c>
      <c r="I72" s="79" t="n"/>
      <c r="J72" s="78" t="n"/>
      <c r="K72" s="79" t="n"/>
      <c r="L72" s="80" t="n"/>
      <c r="M72" s="80" t="n"/>
      <c r="N72" s="80" t="n"/>
      <c r="O72" s="20" t="n"/>
      <c r="P72" s="4" t="n"/>
      <c r="Q72" s="4" t="n"/>
    </row>
    <row r="73">
      <c r="B73" s="4" t="n"/>
      <c r="C73" s="96" t="inlineStr">
        <is>
          <t>VECARPOS013</t>
        </is>
      </c>
      <c r="D73" s="18" t="inlineStr">
        <is>
          <t>Brownie Choc Vegano</t>
        </is>
      </c>
      <c r="E73" s="207">
        <f>IFERROR(
IF(
INDEX($K$272:$K$977,MATCH(C73,$B$272:$B$977,0))&lt;&gt;0,
INDEX($K$272:$K$977,MATCH(C73,$B$272:$B$977,0)),
INDEX($L$272:$L$977,MATCH(C73,$B$272:$B$977,0))
),
0)</f>
        <v/>
      </c>
      <c r="F73" s="18" t="inlineStr">
        <is>
          <t>Brownie Vegano</t>
        </is>
      </c>
      <c r="G73" s="52" t="n">
        <v>1</v>
      </c>
      <c r="H73" s="81" t="inlineStr">
        <is>
          <t>Kg</t>
        </is>
      </c>
      <c r="I73" s="79" t="n"/>
      <c r="J73" s="78" t="n"/>
      <c r="K73" s="79" t="n"/>
      <c r="L73" s="80" t="n"/>
      <c r="M73" s="80" t="n"/>
      <c r="N73" s="80" t="n"/>
      <c r="O73" s="20" t="n"/>
      <c r="P73" s="4" t="n"/>
      <c r="Q73" s="4" t="n"/>
    </row>
    <row r="74">
      <c r="B74" s="4" t="n"/>
      <c r="C74" s="96" t="inlineStr">
        <is>
          <t>VECARPOS024</t>
        </is>
      </c>
      <c r="D74" s="18" t="inlineStr">
        <is>
          <t>Brownie Nutella</t>
        </is>
      </c>
      <c r="E74" s="207">
        <f>IFERROR(
IF(
INDEX($K$272:$K$977,MATCH(C74,$B$272:$B$977,0))&lt;&gt;0,
INDEX($K$272:$K$977,MATCH(C74,$B$272:$B$977,0)),
INDEX($L$272:$L$977,MATCH(C74,$B$272:$B$977,0))
),
0)</f>
        <v/>
      </c>
      <c r="F74" s="18" t="inlineStr">
        <is>
          <t>Brownie Nutella</t>
        </is>
      </c>
      <c r="G74" s="52" t="n">
        <v>1</v>
      </c>
      <c r="H74" s="81" t="inlineStr">
        <is>
          <t>Kg</t>
        </is>
      </c>
      <c r="I74" s="79" t="n"/>
      <c r="J74" s="78" t="n"/>
      <c r="K74" s="79" t="n"/>
      <c r="L74" s="80" t="n"/>
      <c r="M74" s="80" t="n"/>
      <c r="N74" s="80" t="n"/>
      <c r="O74" s="4" t="n"/>
      <c r="P74" s="4" t="n"/>
      <c r="Q74" s="4" t="n"/>
    </row>
    <row r="75">
      <c r="B75" s="4" t="n"/>
      <c r="C75" s="96" t="inlineStr">
        <is>
          <t>VECARPUB012</t>
        </is>
      </c>
      <c r="D75" s="18" t="inlineStr">
        <is>
          <t>Brownie Nutella  PY</t>
        </is>
      </c>
      <c r="E75" s="207">
        <f>IFERROR(
IF(
INDEX($K$272:$K$977,MATCH(C75,$B$272:$B$977,0))&lt;&gt;0,
INDEX($K$272:$K$977,MATCH(C75,$B$272:$B$977,0)),
INDEX($L$272:$L$977,MATCH(C75,$B$272:$B$977,0))
),
0)</f>
        <v/>
      </c>
      <c r="F75" s="18" t="inlineStr">
        <is>
          <t>Brownie Nutella</t>
        </is>
      </c>
      <c r="G75" s="52" t="n">
        <v>1</v>
      </c>
      <c r="H75" s="81" t="inlineStr">
        <is>
          <t>Kg</t>
        </is>
      </c>
      <c r="I75" s="79" t="n"/>
      <c r="J75" s="78" t="n"/>
      <c r="K75" s="79" t="n"/>
      <c r="L75" s="80" t="n"/>
      <c r="M75" s="80" t="n"/>
      <c r="N75" s="80" t="n"/>
      <c r="O75" s="4" t="n"/>
      <c r="P75" s="4" t="n"/>
      <c r="Q75" s="4" t="n"/>
    </row>
    <row r="76">
      <c r="B76" s="4" t="n"/>
      <c r="C76" s="96" t="inlineStr">
        <is>
          <t>VECARPJT005</t>
        </is>
      </c>
      <c r="D76" s="18" t="inlineStr">
        <is>
          <t>Brownie Vegano JT</t>
        </is>
      </c>
      <c r="E76" s="207">
        <f>IFERROR(
IF(
INDEX($K$272:$K$977,MATCH(C76,$B$272:$B$977,0))&lt;&gt;0,
INDEX($K$272:$K$977,MATCH(C76,$B$272:$B$977,0)),
INDEX($L$272:$L$977,MATCH(C76,$B$272:$B$977,0))
),
0)</f>
        <v/>
      </c>
      <c r="F76" s="18" t="inlineStr">
        <is>
          <t>Brownie Vegano</t>
        </is>
      </c>
      <c r="G76" s="52" t="n">
        <v>1</v>
      </c>
      <c r="H76" s="81" t="inlineStr">
        <is>
          <t>Kg</t>
        </is>
      </c>
      <c r="I76" s="79" t="n"/>
      <c r="J76" s="78" t="n"/>
      <c r="K76" s="79" t="n"/>
      <c r="L76" s="80" t="n"/>
      <c r="M76" s="80" t="n"/>
      <c r="N76" s="80" t="n"/>
      <c r="O76" s="4" t="n"/>
      <c r="P76" s="4" t="n"/>
      <c r="Q76" s="4" t="n"/>
    </row>
    <row r="77">
      <c r="B77" s="4" t="n"/>
      <c r="C77" s="96" t="inlineStr">
        <is>
          <t>VECARPUB005</t>
        </is>
      </c>
      <c r="D77" s="18" t="inlineStr">
        <is>
          <t>Brownie Vegano PY</t>
        </is>
      </c>
      <c r="E77" s="207">
        <f>IFERROR(
IF(
INDEX($K$272:$K$977,MATCH(C77,$B$272:$B$977,0))&lt;&gt;0,
INDEX($K$272:$K$977,MATCH(C77,$B$272:$B$977,0)),
INDEX($L$272:$L$977,MATCH(C77,$B$272:$B$977,0))
),
0)</f>
        <v/>
      </c>
      <c r="F77" s="18" t="inlineStr">
        <is>
          <t>Brownie Vegano</t>
        </is>
      </c>
      <c r="G77" s="52" t="n">
        <v>1</v>
      </c>
      <c r="H77" s="81" t="inlineStr">
        <is>
          <t>Kg</t>
        </is>
      </c>
      <c r="I77" s="79" t="n"/>
      <c r="J77" s="78" t="n"/>
      <c r="K77" s="79" t="n"/>
      <c r="L77" s="80" t="n"/>
      <c r="M77" s="80" t="n"/>
      <c r="N77" s="80" t="n"/>
      <c r="O77" s="20" t="n"/>
      <c r="P77" s="4" t="n"/>
      <c r="Q77" s="4" t="n"/>
    </row>
    <row r="78">
      <c r="B78" s="4" t="n"/>
      <c r="C78" s="96" t="inlineStr">
        <is>
          <t>VECARFON067</t>
        </is>
      </c>
      <c r="D78" s="18" t="inlineStr">
        <is>
          <t>Carne Desmechada con Ñoquis</t>
        </is>
      </c>
      <c r="E78" s="207">
        <f>IFERROR(
IF(
INDEX($K$272:$K$977,MATCH(C78,$B$272:$B$977,0))&lt;&gt;0,
INDEX($K$272:$K$977,MATCH(C78,$B$272:$B$977,0)),
INDEX($L$272:$L$977,MATCH(C78,$B$272:$B$977,0))
),
0)</f>
        <v/>
      </c>
      <c r="F78" s="18" t="inlineStr">
        <is>
          <t>Ganso</t>
        </is>
      </c>
      <c r="G78" s="52" t="n">
        <v>0.12</v>
      </c>
      <c r="H78" s="81" t="inlineStr">
        <is>
          <t>Kg</t>
        </is>
      </c>
      <c r="I78" s="79" t="n"/>
      <c r="J78" s="78" t="n"/>
      <c r="K78" s="79" t="n"/>
      <c r="L78" s="80" t="n"/>
      <c r="M78" s="80" t="n"/>
      <c r="N78" s="80" t="n"/>
      <c r="O78" s="20" t="n"/>
      <c r="P78" s="4" t="n"/>
      <c r="Q78" s="4" t="n"/>
    </row>
    <row r="79">
      <c r="B79" s="4" t="n"/>
      <c r="C79" s="96" t="inlineStr">
        <is>
          <t>VECARAUB013</t>
        </is>
      </c>
      <c r="D79" s="18" t="inlineStr">
        <is>
          <t>Carpaccio de Res Margó PY</t>
        </is>
      </c>
      <c r="E79" s="207">
        <f>IFERROR(
IF(
INDEX($K$272:$K$977,MATCH(C79,$B$272:$B$977,0))&lt;&gt;0,
INDEX($K$272:$K$977,MATCH(C79,$B$272:$B$977,0)),
INDEX($L$272:$L$977,MATCH(C79,$B$272:$B$977,0))
),
0)</f>
        <v/>
      </c>
      <c r="F79" s="1" t="inlineStr">
        <is>
          <t>Carpaccio de res</t>
        </is>
      </c>
      <c r="G79" s="52" t="n">
        <v>0.12</v>
      </c>
      <c r="H79" s="81" t="inlineStr">
        <is>
          <t>Kg</t>
        </is>
      </c>
      <c r="I79" s="79" t="n"/>
      <c r="J79" s="78" t="n"/>
      <c r="K79" s="79" t="n"/>
      <c r="L79" s="80" t="n"/>
      <c r="M79" s="80" t="n"/>
      <c r="N79" s="80" t="n"/>
      <c r="O79" s="20" t="n"/>
      <c r="P79" s="4" t="n"/>
      <c r="Q79" s="4" t="n"/>
    </row>
    <row r="80">
      <c r="B80" s="4" t="n"/>
      <c r="C80" s="96" t="inlineStr">
        <is>
          <t>VECARENT002</t>
        </is>
      </c>
      <c r="D80" s="18" t="inlineStr">
        <is>
          <t>Carpaccio Filete Res</t>
        </is>
      </c>
      <c r="E80" s="207">
        <f>IFERROR(
IF(
INDEX($K$272:$K$977,MATCH(C80,$B$272:$B$977,0))&lt;&gt;0,
INDEX($K$272:$K$977,MATCH(C80,$B$272:$B$977,0)),
INDEX($L$272:$L$977,MATCH(C80,$B$272:$B$977,0))
),
0)</f>
        <v/>
      </c>
      <c r="F80" s="1" t="inlineStr">
        <is>
          <t>Carpaccio de res</t>
        </is>
      </c>
      <c r="G80" s="52" t="n">
        <v>0.12</v>
      </c>
      <c r="H80" s="81" t="inlineStr">
        <is>
          <t>Kg</t>
        </is>
      </c>
      <c r="I80" s="79" t="n"/>
      <c r="J80" s="78" t="n"/>
      <c r="K80" s="79" t="n"/>
      <c r="L80" s="80" t="n"/>
      <c r="M80" s="80" t="n"/>
      <c r="N80" s="80" t="n"/>
      <c r="O80" s="20" t="n"/>
      <c r="P80" s="4" t="n"/>
      <c r="Q80" s="4" t="n"/>
    </row>
    <row r="81">
      <c r="B81" s="4" t="n"/>
      <c r="C81" s="96" t="inlineStr">
        <is>
          <t>VECARFON004</t>
        </is>
      </c>
      <c r="D81" s="18" t="inlineStr">
        <is>
          <t>Caldillo de Congrio</t>
        </is>
      </c>
      <c r="E81" s="207">
        <f>IFERROR(
IF(
INDEX($K$272:$K$977,MATCH(C81,$B$272:$B$977,0))&lt;&gt;0,
INDEX($K$272:$K$977,MATCH(C81,$B$272:$B$977,0)),
INDEX($L$272:$L$977,MATCH(C81,$B$272:$B$977,0))
),
0)</f>
        <v/>
      </c>
      <c r="F81" s="1" t="inlineStr">
        <is>
          <t>Congrio</t>
        </is>
      </c>
      <c r="G81" s="52" t="n">
        <v>0.15</v>
      </c>
      <c r="H81" s="81" t="inlineStr">
        <is>
          <t>Kg</t>
        </is>
      </c>
      <c r="I81" s="79" t="n"/>
      <c r="J81" s="78" t="n"/>
      <c r="K81" s="79" t="n"/>
      <c r="L81" s="80" t="n"/>
      <c r="M81" s="80" t="n"/>
      <c r="N81" s="80" t="n"/>
      <c r="O81" s="20" t="n"/>
      <c r="P81" s="4" t="n"/>
      <c r="Q81" s="4" t="n"/>
    </row>
    <row r="82">
      <c r="B82" s="4" t="n"/>
      <c r="C82" s="96" t="inlineStr">
        <is>
          <t>VECARFON004</t>
        </is>
      </c>
      <c r="D82" s="18" t="inlineStr">
        <is>
          <t>Caldillo de Congrio</t>
        </is>
      </c>
      <c r="E82" s="207">
        <f>IFERROR(
IF(
INDEX($K$272:$K$977,MATCH(C82,$B$272:$B$977,0))&lt;&gt;0,
INDEX($K$272:$K$977,MATCH(C82,$B$272:$B$977,0)),
INDEX($L$272:$L$977,MATCH(C82,$B$272:$B$977,0))
),
0)</f>
        <v/>
      </c>
      <c r="F82" s="1" t="inlineStr">
        <is>
          <t>Mix Conchas</t>
        </is>
      </c>
      <c r="G82" s="52" t="n">
        <v>1</v>
      </c>
      <c r="H82" s="81" t="inlineStr">
        <is>
          <t>Porción</t>
        </is>
      </c>
      <c r="I82" s="79" t="n"/>
      <c r="J82" s="78" t="n"/>
      <c r="K82" s="79" t="n"/>
      <c r="L82" s="80" t="n"/>
      <c r="M82" s="80" t="n"/>
      <c r="N82" s="80" t="n"/>
      <c r="O82" s="20" t="n"/>
      <c r="P82" s="4" t="n"/>
      <c r="Q82" s="4" t="n"/>
    </row>
    <row r="83">
      <c r="B83" s="4" t="n"/>
      <c r="C83" s="97" t="inlineStr">
        <is>
          <t>VECARENT003</t>
        </is>
      </c>
      <c r="D83" s="18" t="inlineStr">
        <is>
          <t>Ceviche Margo</t>
        </is>
      </c>
      <c r="E83" s="207">
        <f>IFERROR(
IF(
INDEX($K$272:$K$977,MATCH(C83,$B$272:$B$977,0))&lt;&gt;0,
INDEX($K$272:$K$977,MATCH(C83,$B$272:$B$977,0)),
INDEX($L$272:$L$977,MATCH(C83,$B$272:$B$977,0))
),
0)</f>
        <v/>
      </c>
      <c r="F83" s="1" t="inlineStr">
        <is>
          <t>Reineta</t>
        </is>
      </c>
      <c r="G83" s="52" t="n">
        <v>0.1</v>
      </c>
      <c r="H83" s="81" t="inlineStr">
        <is>
          <t>Kg</t>
        </is>
      </c>
      <c r="I83" s="79" t="n"/>
      <c r="J83" s="78" t="n"/>
      <c r="K83" s="79" t="n"/>
      <c r="L83" s="80" t="n"/>
      <c r="M83" s="80" t="n"/>
      <c r="N83" s="80" t="n"/>
      <c r="O83" s="20" t="n"/>
      <c r="P83" s="4" t="n"/>
      <c r="Q83" s="4" t="n"/>
    </row>
    <row r="84">
      <c r="B84" s="4" t="n"/>
      <c r="C84" s="96" t="inlineStr">
        <is>
          <t>VECARPOS015</t>
        </is>
      </c>
      <c r="D84" s="122" t="inlineStr">
        <is>
          <t>Cheesecake Berries</t>
        </is>
      </c>
      <c r="E84" s="207">
        <f>IFERROR(
IF(
INDEX($K$272:$K$977,MATCH(C84,$B$272:$B$977,0))&lt;&gt;0,
INDEX($K$272:$K$977,MATCH(C84,$B$272:$B$977,0)),
INDEX($L$272:$L$977,MATCH(C84,$B$272:$B$977,0))
),
0)</f>
        <v/>
      </c>
      <c r="F84" s="1" t="inlineStr">
        <is>
          <t>Cheesecake Berries</t>
        </is>
      </c>
      <c r="G84" s="52" t="n">
        <v>1</v>
      </c>
      <c r="H84" s="81" t="inlineStr">
        <is>
          <t>Kg</t>
        </is>
      </c>
      <c r="I84" s="79" t="n"/>
      <c r="J84" s="78" t="n"/>
      <c r="K84" s="79" t="n"/>
      <c r="L84" s="80" t="n"/>
      <c r="M84" s="80" t="n"/>
      <c r="N84" s="80" t="n"/>
      <c r="O84" s="20" t="n"/>
      <c r="P84" s="4" t="n"/>
      <c r="Q84" s="4" t="n"/>
    </row>
    <row r="85">
      <c r="B85" s="4" t="n"/>
      <c r="C85" s="96" t="inlineStr">
        <is>
          <t>VECARPUB006</t>
        </is>
      </c>
      <c r="D85" s="122" t="inlineStr">
        <is>
          <t>Cheesecake Berries PY</t>
        </is>
      </c>
      <c r="E85" s="207">
        <f>IFERROR(
IF(
INDEX($K$272:$K$977,MATCH(C85,$B$272:$B$977,0))&lt;&gt;0,
INDEX($K$272:$K$977,MATCH(C85,$B$272:$B$977,0)),
INDEX($L$272:$L$977,MATCH(C85,$B$272:$B$977,0))
),
0)</f>
        <v/>
      </c>
      <c r="F85" s="1" t="inlineStr">
        <is>
          <t>Cheesecake Berries</t>
        </is>
      </c>
      <c r="G85" s="52" t="n">
        <v>1</v>
      </c>
      <c r="H85" s="81" t="inlineStr">
        <is>
          <t>Kg</t>
        </is>
      </c>
      <c r="I85" s="79" t="n"/>
      <c r="J85" s="78" t="n"/>
      <c r="K85" s="79" t="n"/>
      <c r="L85" s="80" t="n"/>
      <c r="M85" s="80" t="n"/>
      <c r="N85" s="80" t="n"/>
      <c r="O85" s="20" t="n"/>
      <c r="P85" s="4" t="n"/>
      <c r="Q85" s="4" t="n"/>
    </row>
    <row r="86">
      <c r="B86" s="4" t="n"/>
      <c r="C86" s="96" t="inlineStr">
        <is>
          <t>VECARPJT006</t>
        </is>
      </c>
      <c r="D86" s="122" t="inlineStr">
        <is>
          <t>Cheesecake Berries JT</t>
        </is>
      </c>
      <c r="E86" s="207">
        <f>IFERROR(
IF(
INDEX($K$272:$K$977,MATCH(C86,$B$272:$B$977,0))&lt;&gt;0,
INDEX($K$272:$K$977,MATCH(C86,$B$272:$B$977,0)),
INDEX($L$272:$L$977,MATCH(C86,$B$272:$B$977,0))
),
0)</f>
        <v/>
      </c>
      <c r="F86" s="1" t="inlineStr">
        <is>
          <t>Cheesecake Berries</t>
        </is>
      </c>
      <c r="G86" s="52" t="n">
        <v>1</v>
      </c>
      <c r="H86" s="81" t="inlineStr">
        <is>
          <t>Kg</t>
        </is>
      </c>
      <c r="I86" s="79" t="n"/>
      <c r="J86" s="78" t="n"/>
      <c r="K86" s="79" t="n"/>
      <c r="L86" s="80" t="n"/>
      <c r="M86" s="80" t="n"/>
      <c r="N86" s="80" t="n"/>
      <c r="O86" s="20" t="n"/>
      <c r="P86" s="4" t="n"/>
      <c r="Q86" s="4" t="n"/>
    </row>
    <row r="87" ht="15" customHeight="1" s="95">
      <c r="B87" s="4" t="n"/>
      <c r="C87" s="96" t="inlineStr">
        <is>
          <t>VECARPOS003</t>
        </is>
      </c>
      <c r="D87" s="18" t="inlineStr">
        <is>
          <t>Cheesecake Limón</t>
        </is>
      </c>
      <c r="E87" s="207">
        <f>IFERROR(
IF(
INDEX($K$272:$K$977,MATCH(C87,$B$272:$B$977,0))&lt;&gt;0,
INDEX($K$272:$K$977,MATCH(C87,$B$272:$B$977,0)),
INDEX($L$272:$L$977,MATCH(C87,$B$272:$B$977,0))
),
0)</f>
        <v/>
      </c>
      <c r="F87" s="1" t="inlineStr">
        <is>
          <t>Cheesecake de Limón</t>
        </is>
      </c>
      <c r="G87" s="52" t="n">
        <v>1</v>
      </c>
      <c r="H87" s="81" t="inlineStr">
        <is>
          <t>Kg</t>
        </is>
      </c>
      <c r="I87" s="79" t="n"/>
      <c r="J87" s="78" t="n"/>
      <c r="K87" s="79" t="n"/>
      <c r="L87" s="80" t="n"/>
      <c r="M87" s="80" t="n"/>
      <c r="N87" s="80" t="n"/>
      <c r="O87" s="20" t="n"/>
      <c r="P87" s="4" t="n"/>
      <c r="Q87" s="4" t="n"/>
    </row>
    <row r="88" ht="15" customHeight="1" s="95">
      <c r="B88" s="4" t="n"/>
      <c r="C88" s="96" t="inlineStr">
        <is>
          <t>VECARPJT011</t>
        </is>
      </c>
      <c r="D88" s="18" t="inlineStr">
        <is>
          <t>Cheesecake Limón JT</t>
        </is>
      </c>
      <c r="E88" s="207">
        <f>IFERROR(
IF(
INDEX($K$272:$K$977,MATCH(C88,$B$272:$B$977,0))&lt;&gt;0,
INDEX($K$272:$K$977,MATCH(C88,$B$272:$B$977,0)),
INDEX($L$272:$L$977,MATCH(C88,$B$272:$B$977,0))
),
0)</f>
        <v/>
      </c>
      <c r="F88" s="1" t="inlineStr">
        <is>
          <t>Cheesecake de Limón</t>
        </is>
      </c>
      <c r="G88" s="52" t="n">
        <v>1</v>
      </c>
      <c r="H88" s="81" t="inlineStr">
        <is>
          <t>Kg</t>
        </is>
      </c>
      <c r="I88" s="79" t="n"/>
      <c r="J88" s="78" t="n"/>
      <c r="K88" s="79" t="n"/>
      <c r="L88" s="80" t="n"/>
      <c r="M88" s="80" t="n"/>
      <c r="N88" s="80" t="n"/>
      <c r="O88" s="20" t="n"/>
      <c r="P88" s="4" t="n"/>
      <c r="Q88" s="4" t="n"/>
    </row>
    <row r="89">
      <c r="B89" s="4" t="n"/>
      <c r="C89" s="96" t="inlineStr">
        <is>
          <t>VECARPUB011</t>
        </is>
      </c>
      <c r="D89" s="18" t="inlineStr">
        <is>
          <t>Cheesecake Limón PY</t>
        </is>
      </c>
      <c r="E89" s="207">
        <f>IFERROR(
IF(
INDEX($K$272:$K$977,MATCH(C89,$B$272:$B$977,0))&lt;&gt;0,
INDEX($K$272:$K$977,MATCH(C89,$B$272:$B$977,0)),
INDEX($L$272:$L$977,MATCH(C89,$B$272:$B$977,0))
),
0)</f>
        <v/>
      </c>
      <c r="F89" s="1" t="inlineStr">
        <is>
          <t>Cheesecake de Limón</t>
        </is>
      </c>
      <c r="G89" s="52" t="n">
        <v>1</v>
      </c>
      <c r="H89" s="81" t="inlineStr">
        <is>
          <t>Kg</t>
        </is>
      </c>
      <c r="I89" s="79" t="n"/>
      <c r="J89" s="78" t="n"/>
      <c r="K89" s="79" t="n"/>
      <c r="L89" s="80" t="n"/>
      <c r="M89" s="80" t="n"/>
      <c r="N89" s="80" t="n"/>
      <c r="O89" s="20" t="n"/>
      <c r="P89" s="4" t="n"/>
      <c r="Q89" s="4" t="n"/>
    </row>
    <row r="90">
      <c r="B90" s="4" t="n"/>
      <c r="C90" s="96" t="inlineStr">
        <is>
          <t>VECARFON061</t>
        </is>
      </c>
      <c r="D90" s="18" t="inlineStr">
        <is>
          <t>Chupe de salmón ahumado</t>
        </is>
      </c>
      <c r="E90" s="207">
        <f>IFERROR(
IF(
INDEX($K$272:$K$977,MATCH(C90,$B$272:$B$977,0))&lt;&gt;0,
INDEX($K$272:$K$977,MATCH(C90,$B$272:$B$977,0)),
INDEX($L$272:$L$977,MATCH(C90,$B$272:$B$977,0))
),
0)</f>
        <v/>
      </c>
      <c r="F90" s="1" t="inlineStr">
        <is>
          <t>Chupe</t>
        </is>
      </c>
      <c r="G90" s="52" t="n">
        <v>1</v>
      </c>
      <c r="H90" s="81" t="inlineStr">
        <is>
          <t>Porción</t>
        </is>
      </c>
      <c r="I90" s="79" t="n"/>
      <c r="J90" s="78" t="n"/>
      <c r="K90" s="79" t="n"/>
      <c r="L90" s="80" t="n"/>
      <c r="M90" s="80" t="n"/>
      <c r="N90" s="80" t="n"/>
      <c r="O90" s="20" t="n"/>
      <c r="P90" s="4" t="n"/>
      <c r="Q90" s="4" t="n"/>
    </row>
    <row r="91">
      <c r="B91" s="4" t="n"/>
      <c r="C91" s="96" t="inlineStr">
        <is>
          <t>VECARPOS006</t>
        </is>
      </c>
      <c r="D91" s="18" t="inlineStr">
        <is>
          <t>Discos de Chocolate</t>
        </is>
      </c>
      <c r="E91" s="207">
        <f>IFERROR(
IF(
INDEX($K$272:$K$977,MATCH(C91,$B$272:$B$977,0))&lt;&gt;0,
INDEX($K$272:$K$977,MATCH(C91,$B$272:$B$977,0)),
INDEX($L$272:$L$977,MATCH(C91,$B$272:$B$977,0))
),
0)</f>
        <v/>
      </c>
      <c r="F91" s="18" t="inlineStr">
        <is>
          <t>Discos de Chocolate</t>
        </is>
      </c>
      <c r="G91" s="52" t="n">
        <v>3</v>
      </c>
      <c r="H91" s="81" t="inlineStr">
        <is>
          <t>Und</t>
        </is>
      </c>
      <c r="I91" s="79" t="n"/>
      <c r="J91" s="78" t="n"/>
      <c r="K91" s="79" t="n"/>
      <c r="L91" s="80" t="n"/>
      <c r="M91" s="80" t="n"/>
      <c r="N91" s="80" t="n"/>
      <c r="O91" s="20" t="n"/>
      <c r="P91" s="4" t="n"/>
      <c r="Q91" s="4" t="n"/>
    </row>
    <row r="92">
      <c r="B92" s="4" t="n"/>
      <c r="C92" s="96" t="inlineStr">
        <is>
          <t>VECARENT004</t>
        </is>
      </c>
      <c r="D92" s="18" t="inlineStr">
        <is>
          <t>Emp Frita Mechada</t>
        </is>
      </c>
      <c r="E92" s="207">
        <f>IFERROR(
IF(
INDEX($K$272:$K$977,MATCH(C92,$B$272:$B$977,0))&lt;&gt;0,
INDEX($K$272:$K$977,MATCH(C92,$B$272:$B$977,0)),
INDEX($L$272:$L$977,MATCH(C92,$B$272:$B$977,0))
),
0)</f>
        <v/>
      </c>
      <c r="F92" s="1" t="inlineStr">
        <is>
          <t>Empanada Mechada</t>
        </is>
      </c>
      <c r="G92" s="52" t="n">
        <v>4</v>
      </c>
      <c r="H92" s="81" t="inlineStr">
        <is>
          <t>Und</t>
        </is>
      </c>
      <c r="I92" s="79" t="n"/>
      <c r="J92" s="78" t="n"/>
      <c r="K92" s="79" t="n"/>
      <c r="L92" s="80" t="n"/>
      <c r="M92" s="80" t="n"/>
      <c r="N92" s="80" t="n"/>
      <c r="O92" s="20" t="n"/>
      <c r="P92" s="4" t="n"/>
      <c r="Q92" s="4" t="n"/>
    </row>
    <row r="93">
      <c r="B93" s="4" t="n"/>
      <c r="C93" s="96" t="inlineStr">
        <is>
          <t>VECARAJT001</t>
        </is>
      </c>
      <c r="D93" s="18" t="inlineStr">
        <is>
          <t>Emp Mechada JT</t>
        </is>
      </c>
      <c r="E93" s="207">
        <f>IFERROR(
IF(
INDEX($K$272:$K$977,MATCH(C93,$B$272:$B$977,0))&lt;&gt;0,
INDEX($K$272:$K$977,MATCH(C93,$B$272:$B$977,0)),
INDEX($L$272:$L$977,MATCH(C93,$B$272:$B$977,0))
),
0)</f>
        <v/>
      </c>
      <c r="F93" s="1" t="inlineStr">
        <is>
          <t>Empanada Mechada</t>
        </is>
      </c>
      <c r="G93" s="52" t="n">
        <v>4</v>
      </c>
      <c r="H93" s="81" t="inlineStr">
        <is>
          <t>Und</t>
        </is>
      </c>
      <c r="I93" s="79" t="n"/>
      <c r="J93" s="78" t="n"/>
      <c r="K93" s="79" t="n"/>
      <c r="L93" s="80" t="n"/>
      <c r="M93" s="80" t="n"/>
      <c r="N93" s="80" t="n"/>
      <c r="O93" s="20" t="n"/>
      <c r="P93" s="4" t="n"/>
      <c r="Q93" s="4" t="n"/>
    </row>
    <row r="94">
      <c r="B94" s="4" t="n"/>
      <c r="C94" s="96" t="inlineStr">
        <is>
          <t>VECARAUB001</t>
        </is>
      </c>
      <c r="D94" s="18" t="inlineStr">
        <is>
          <t>Emp Mechada PY</t>
        </is>
      </c>
      <c r="E94" s="207">
        <f>IFERROR(
IF(
INDEX($K$272:$K$977,MATCH(C94,$B$272:$B$977,0))&lt;&gt;0,
INDEX($K$272:$K$977,MATCH(C94,$B$272:$B$977,0)),
INDEX($L$272:$L$977,MATCH(C94,$B$272:$B$977,0))
),
0)</f>
        <v/>
      </c>
      <c r="F94" s="1" t="inlineStr">
        <is>
          <t>Empanada Mechada</t>
        </is>
      </c>
      <c r="G94" s="52" t="n">
        <v>4</v>
      </c>
      <c r="H94" s="81" t="inlineStr">
        <is>
          <t>Und</t>
        </is>
      </c>
      <c r="I94" s="79" t="n"/>
      <c r="J94" s="78" t="n"/>
      <c r="K94" s="79" t="n"/>
      <c r="L94" s="80" t="n"/>
      <c r="M94" s="80" t="n"/>
      <c r="N94" s="80" t="n"/>
      <c r="O94" s="20" t="n"/>
      <c r="P94" s="4" t="n"/>
      <c r="Q94" s="4" t="n"/>
    </row>
    <row r="95">
      <c r="B95" s="4" t="n"/>
      <c r="C95" s="96" t="inlineStr">
        <is>
          <t>VECARENT035</t>
        </is>
      </c>
      <c r="D95" s="18" t="inlineStr">
        <is>
          <t>Emp Pulpo Camarón</t>
        </is>
      </c>
      <c r="E95" s="207">
        <f>IFERROR(
IF(
INDEX($K$272:$K$977,MATCH(C95,$B$272:$B$977,0))&lt;&gt;0,
INDEX($K$272:$K$977,MATCH(C95,$B$272:$B$977,0)),
INDEX($L$272:$L$977,MATCH(C95,$B$272:$B$977,0))
),
0)</f>
        <v/>
      </c>
      <c r="F95" s="1" t="inlineStr">
        <is>
          <t>Empanada Pulpo</t>
        </is>
      </c>
      <c r="G95" s="52" t="n">
        <v>4</v>
      </c>
      <c r="H95" s="81" t="inlineStr">
        <is>
          <t>Und</t>
        </is>
      </c>
      <c r="I95" s="79" t="n"/>
      <c r="J95" s="78" t="n"/>
      <c r="K95" s="79" t="n"/>
      <c r="L95" s="80" t="n"/>
      <c r="M95" s="80" t="n"/>
      <c r="N95" s="80" t="n"/>
      <c r="O95" s="20" t="n"/>
      <c r="P95" s="4" t="n"/>
      <c r="Q95" s="4" t="n"/>
    </row>
    <row r="96">
      <c r="B96" s="4" t="n"/>
      <c r="C96" s="96" t="inlineStr">
        <is>
          <t>VECARENS003</t>
        </is>
      </c>
      <c r="D96" s="18" t="inlineStr">
        <is>
          <t>Ens Atún Mango</t>
        </is>
      </c>
      <c r="E96" s="207">
        <f>IFERROR(
IF(
INDEX($K$272:$K$977,MATCH(C96,$B$272:$B$977,0))&lt;&gt;0,
INDEX($K$272:$K$977,MATCH(C96,$B$272:$B$977,0)),
INDEX($L$272:$L$977,MATCH(C96,$B$272:$B$977,0))
),
0)</f>
        <v/>
      </c>
      <c r="F96" s="1" t="inlineStr">
        <is>
          <t>Atún Steak</t>
        </is>
      </c>
      <c r="G96" s="52" t="n">
        <v>0.18</v>
      </c>
      <c r="H96" s="81" t="inlineStr">
        <is>
          <t>Kg</t>
        </is>
      </c>
      <c r="I96" s="79" t="n"/>
      <c r="J96" s="78" t="n"/>
      <c r="K96" s="79" t="n"/>
      <c r="L96" s="80" t="n"/>
      <c r="M96" s="80" t="n"/>
      <c r="N96" s="80" t="n"/>
      <c r="O96" s="20" t="n"/>
      <c r="P96" s="4" t="n"/>
      <c r="Q96" s="4" t="n"/>
    </row>
    <row r="97">
      <c r="B97" s="4" t="n"/>
      <c r="C97" s="96" t="inlineStr">
        <is>
          <t>VECAREJT001</t>
        </is>
      </c>
      <c r="D97" s="18" t="inlineStr">
        <is>
          <t>Ens Atún Mango JT</t>
        </is>
      </c>
      <c r="E97" s="207">
        <f>IFERROR(
IF(
INDEX($K$272:$K$977,MATCH(C97,$B$272:$B$977,0))&lt;&gt;0,
INDEX($K$272:$K$977,MATCH(C97,$B$272:$B$977,0)),
INDEX($L$272:$L$977,MATCH(C97,$B$272:$B$977,0))
),
0)</f>
        <v/>
      </c>
      <c r="F97" s="1" t="inlineStr">
        <is>
          <t>Atún Steak</t>
        </is>
      </c>
      <c r="G97" s="52" t="n">
        <v>0.18</v>
      </c>
      <c r="H97" s="81" t="inlineStr">
        <is>
          <t>Kg</t>
        </is>
      </c>
      <c r="I97" s="79" t="n"/>
      <c r="J97" s="78" t="n"/>
      <c r="K97" s="79" t="n"/>
      <c r="L97" s="80" t="n"/>
      <c r="M97" s="80" t="n"/>
      <c r="N97" s="80" t="n"/>
      <c r="O97" s="20" t="n"/>
      <c r="P97" s="4" t="n"/>
      <c r="Q97" s="4" t="n"/>
    </row>
    <row r="98">
      <c r="B98" s="4" t="n"/>
      <c r="C98" s="96" t="inlineStr">
        <is>
          <t>VECAREUB001</t>
        </is>
      </c>
      <c r="D98" s="18" t="inlineStr">
        <is>
          <t>Ens Atún Mango PY</t>
        </is>
      </c>
      <c r="E98" s="207">
        <f>IFERROR(
IF(
INDEX($K$272:$K$977,MATCH(C98,$B$272:$B$977,0))&lt;&gt;0,
INDEX($K$272:$K$977,MATCH(C98,$B$272:$B$977,0)),
INDEX($L$272:$L$977,MATCH(C98,$B$272:$B$977,0))
),
0)</f>
        <v/>
      </c>
      <c r="F98" s="1" t="inlineStr">
        <is>
          <t>Atún Steak</t>
        </is>
      </c>
      <c r="G98" s="52" t="n">
        <v>0.18</v>
      </c>
      <c r="H98" s="81" t="inlineStr">
        <is>
          <t>Kg</t>
        </is>
      </c>
      <c r="I98" s="79" t="n"/>
      <c r="J98" s="78" t="n"/>
      <c r="K98" s="79" t="n"/>
      <c r="L98" s="80" t="n"/>
      <c r="M98" s="80" t="n"/>
      <c r="N98" s="80" t="n"/>
      <c r="O98" s="20" t="n"/>
      <c r="P98" s="4" t="n"/>
      <c r="Q98" s="4" t="n"/>
    </row>
    <row r="99">
      <c r="B99" s="4" t="n"/>
      <c r="C99" s="96" t="inlineStr">
        <is>
          <t>VECAREJT004</t>
        </is>
      </c>
      <c r="D99" s="18" t="inlineStr">
        <is>
          <t>Ens Caprese JT</t>
        </is>
      </c>
      <c r="E99" s="207">
        <f>IFERROR(
IF(
INDEX($K$272:$K$977,MATCH(C99,$B$272:$B$977,0))&lt;&gt;0,
INDEX($K$272:$K$977,MATCH(C99,$B$272:$B$977,0)),
INDEX($L$272:$L$977,MATCH(C99,$B$272:$B$977,0))
),
0)</f>
        <v/>
      </c>
      <c r="F99" s="1" t="inlineStr">
        <is>
          <t>Queso Mozzarella</t>
        </is>
      </c>
      <c r="G99" s="52" t="n">
        <v>1</v>
      </c>
      <c r="H99" s="81" t="inlineStr">
        <is>
          <t>Und</t>
        </is>
      </c>
      <c r="I99" s="79" t="n"/>
      <c r="J99" s="78" t="n"/>
      <c r="K99" s="79" t="n"/>
      <c r="L99" s="80" t="n"/>
      <c r="M99" s="80" t="n"/>
      <c r="N99" s="80" t="n"/>
      <c r="O99" s="20" t="n"/>
      <c r="P99" s="4" t="n"/>
      <c r="Q99" s="4" t="n"/>
    </row>
    <row r="100" ht="15" customHeight="1" s="95">
      <c r="B100" s="4" t="n"/>
      <c r="C100" s="96" t="inlineStr">
        <is>
          <t>VECARENS002</t>
        </is>
      </c>
      <c r="D100" s="18" t="inlineStr">
        <is>
          <t>Ens Capresse</t>
        </is>
      </c>
      <c r="E100" s="207">
        <f>IFERROR(
IF(
INDEX($K$272:$K$977,MATCH(C100,$B$272:$B$977,0))&lt;&gt;0,
INDEX($K$272:$K$977,MATCH(C100,$B$272:$B$977,0)),
INDEX($L$272:$L$977,MATCH(C100,$B$272:$B$977,0))
),
0)</f>
        <v/>
      </c>
      <c r="F100" s="1" t="inlineStr">
        <is>
          <t>Queso Mozzarella</t>
        </is>
      </c>
      <c r="G100" s="52" t="n">
        <v>1</v>
      </c>
      <c r="H100" s="81" t="inlineStr">
        <is>
          <t>Und</t>
        </is>
      </c>
      <c r="I100" s="79" t="n"/>
      <c r="J100" s="78" t="n"/>
      <c r="K100" s="79" t="n"/>
      <c r="L100" s="80" t="n"/>
      <c r="M100" s="80" t="n"/>
      <c r="N100" s="80" t="n"/>
      <c r="O100" s="20" t="n"/>
      <c r="P100" s="4" t="n"/>
      <c r="Q100" s="4" t="n"/>
    </row>
    <row r="101" ht="15" customHeight="1" s="95">
      <c r="B101" s="4" t="n"/>
      <c r="C101" s="96" t="inlineStr">
        <is>
          <t>VECARENS023</t>
        </is>
      </c>
      <c r="D101" s="18" t="inlineStr">
        <is>
          <t>Ens Pera Queso Azul</t>
        </is>
      </c>
      <c r="E101" s="207">
        <f>IFERROR(
IF(
INDEX($K$272:$K$977,MATCH(C101,$B$272:$B$977,0))&lt;&gt;0,
INDEX($K$272:$K$977,MATCH(C101,$B$272:$B$977,0)),
INDEX($L$272:$L$977,MATCH(C101,$B$272:$B$977,0))
),
0)</f>
        <v/>
      </c>
      <c r="F101" s="1" t="inlineStr">
        <is>
          <t>Jamón serrano</t>
        </is>
      </c>
      <c r="G101" s="52" t="n">
        <v>0.04</v>
      </c>
      <c r="H101" s="81" t="inlineStr">
        <is>
          <t>Kg</t>
        </is>
      </c>
      <c r="I101" s="79" t="n"/>
      <c r="J101" s="78" t="n"/>
      <c r="K101" s="79" t="n"/>
      <c r="L101" s="80" t="n"/>
      <c r="M101" s="80" t="n"/>
      <c r="N101" s="80" t="n"/>
      <c r="O101" s="20" t="n"/>
      <c r="P101" s="4" t="n"/>
      <c r="Q101" s="4" t="n"/>
    </row>
    <row r="102" ht="15" customHeight="1" s="95">
      <c r="B102" s="4" t="n"/>
      <c r="C102" s="96" t="inlineStr">
        <is>
          <t>VECAREJT016</t>
        </is>
      </c>
      <c r="D102" s="18" t="inlineStr">
        <is>
          <t>Ens Pera Oporto JT</t>
        </is>
      </c>
      <c r="E102" s="207">
        <f>IFERROR(
IF(
INDEX($K$272:$K$977,MATCH(C102,$B$272:$B$977,0))&lt;&gt;0,
INDEX($K$272:$K$977,MATCH(C102,$B$272:$B$977,0)),
INDEX($L$272:$L$977,MATCH(C102,$B$272:$B$977,0))
),
0)</f>
        <v/>
      </c>
      <c r="F102" s="1" t="inlineStr">
        <is>
          <t>Jamón serrano</t>
        </is>
      </c>
      <c r="G102" s="52" t="n">
        <v>0.04</v>
      </c>
      <c r="H102" s="81" t="inlineStr">
        <is>
          <t>Kg</t>
        </is>
      </c>
      <c r="I102" s="79" t="n"/>
      <c r="J102" s="78" t="n"/>
      <c r="K102" s="79" t="n"/>
      <c r="L102" s="80" t="n"/>
      <c r="M102" s="80" t="n"/>
      <c r="N102" s="80" t="n"/>
      <c r="O102" s="20" t="n"/>
      <c r="P102" s="4" t="n"/>
      <c r="Q102" s="4" t="n"/>
    </row>
    <row r="103">
      <c r="B103" s="4" t="n"/>
      <c r="C103" s="96" t="inlineStr">
        <is>
          <t>VECAREUB016</t>
        </is>
      </c>
      <c r="D103" s="18" t="inlineStr">
        <is>
          <t>Ens Peras Oporto  PY</t>
        </is>
      </c>
      <c r="E103" s="207">
        <f>IFERROR(
IF(
INDEX($K$272:$K$977,MATCH(C103,$B$272:$B$977,0))&lt;&gt;0,
INDEX($K$272:$K$977,MATCH(C103,$B$272:$B$977,0)),
INDEX($L$272:$L$977,MATCH(C103,$B$272:$B$977,0))
),
0)</f>
        <v/>
      </c>
      <c r="F103" s="18" t="inlineStr">
        <is>
          <t>Jamón serrano</t>
        </is>
      </c>
      <c r="G103" s="52" t="n">
        <v>0.04</v>
      </c>
      <c r="H103" s="81" t="inlineStr">
        <is>
          <t>Kg</t>
        </is>
      </c>
      <c r="I103" s="79" t="n"/>
      <c r="J103" s="78" t="n"/>
      <c r="K103" s="79" t="n"/>
      <c r="L103" s="80" t="n"/>
      <c r="M103" s="80" t="n"/>
      <c r="N103" s="80" t="n"/>
      <c r="O103" s="20" t="n"/>
      <c r="P103" s="4" t="n"/>
      <c r="Q103" s="4" t="n"/>
    </row>
    <row r="104" ht="15" customHeight="1" s="95">
      <c r="B104" s="4" t="n"/>
      <c r="C104" s="96" t="inlineStr">
        <is>
          <t>VECARENS006</t>
        </is>
      </c>
      <c r="D104" s="18" t="inlineStr">
        <is>
          <t>Ens Salmon Q.Cabra</t>
        </is>
      </c>
      <c r="E104" s="207">
        <f>IFERROR(
IF(
INDEX($K$272:$K$977,MATCH(C104,$B$272:$B$977,0))&lt;&gt;0,
INDEX($K$272:$K$977,MATCH(C104,$B$272:$B$977,0)),
INDEX($L$272:$L$977,MATCH(C104,$B$272:$B$977,0))
),
0)</f>
        <v/>
      </c>
      <c r="F104" s="1" t="inlineStr">
        <is>
          <t>Salmón ahumado en Caliente</t>
        </is>
      </c>
      <c r="G104" s="52" t="n">
        <v>0.12</v>
      </c>
      <c r="H104" s="81" t="inlineStr">
        <is>
          <t>Kg</t>
        </is>
      </c>
      <c r="I104" s="79" t="n"/>
      <c r="J104" s="78" t="n"/>
      <c r="K104" s="79" t="n"/>
      <c r="L104" s="80" t="n"/>
      <c r="M104" s="80" t="n"/>
      <c r="N104" s="80" t="n"/>
      <c r="O104" s="20" t="n"/>
      <c r="P104" s="4" t="n"/>
      <c r="Q104" s="4" t="n"/>
    </row>
    <row r="105" ht="15" customHeight="1" s="95">
      <c r="B105" s="4" t="n"/>
      <c r="C105" s="96" t="inlineStr">
        <is>
          <t>VECAREJT003</t>
        </is>
      </c>
      <c r="D105" s="18" t="inlineStr">
        <is>
          <t>Ens Salmon Q.Cabra JT</t>
        </is>
      </c>
      <c r="E105" s="207">
        <f>IFERROR(
IF(
INDEX($K$272:$K$977,MATCH(C105,$B$272:$B$977,0))&lt;&gt;0,
INDEX($K$272:$K$977,MATCH(C105,$B$272:$B$977,0)),
INDEX($L$272:$L$977,MATCH(C105,$B$272:$B$977,0))
),
0)</f>
        <v/>
      </c>
      <c r="F105" s="1" t="inlineStr">
        <is>
          <t>Salmón ahumado en Caliente</t>
        </is>
      </c>
      <c r="G105" s="52" t="n">
        <v>0.12</v>
      </c>
      <c r="H105" s="81" t="inlineStr">
        <is>
          <t>Kg</t>
        </is>
      </c>
      <c r="I105" s="79" t="n"/>
      <c r="J105" s="78" t="n"/>
      <c r="K105" s="79" t="n"/>
      <c r="L105" s="80" t="n"/>
      <c r="M105" s="80" t="n"/>
      <c r="N105" s="80" t="n"/>
      <c r="O105" s="20" t="n"/>
      <c r="P105" s="4" t="n"/>
      <c r="Q105" s="4" t="n"/>
    </row>
    <row r="106" ht="15" customHeight="1" s="95">
      <c r="B106" s="4" t="n"/>
      <c r="C106" s="96" t="inlineStr">
        <is>
          <t>VECAREUB003</t>
        </is>
      </c>
      <c r="D106" s="18" t="inlineStr">
        <is>
          <t>Ens Salmon Q.Cabra PY</t>
        </is>
      </c>
      <c r="E106" s="207">
        <f>IFERROR(
IF(
INDEX($K$272:$K$977,MATCH(C106,$B$272:$B$977,0))&lt;&gt;0,
INDEX($K$272:$K$977,MATCH(C106,$B$272:$B$977,0)),
INDEX($L$272:$L$977,MATCH(C106,$B$272:$B$977,0))
),
0)</f>
        <v/>
      </c>
      <c r="F106" s="1" t="inlineStr">
        <is>
          <t>Salmón ahumado en Caliente</t>
        </is>
      </c>
      <c r="G106" s="52" t="n">
        <v>0.12</v>
      </c>
      <c r="H106" s="81" t="inlineStr">
        <is>
          <t>Kg</t>
        </is>
      </c>
      <c r="I106" s="79" t="n"/>
      <c r="J106" s="78" t="n"/>
      <c r="K106" s="79" t="n"/>
      <c r="L106" s="80" t="n"/>
      <c r="M106" s="80" t="n"/>
      <c r="N106" s="80" t="n"/>
      <c r="O106" s="20" t="n"/>
      <c r="P106" s="4" t="n"/>
      <c r="Q106" s="4" t="n"/>
    </row>
    <row r="107" ht="15" customHeight="1" s="95">
      <c r="B107" s="4" t="n"/>
      <c r="C107" s="96" t="inlineStr">
        <is>
          <t>VECARENS009</t>
        </is>
      </c>
      <c r="D107" s="18" t="inlineStr">
        <is>
          <t>Ens Verduras Asadas</t>
        </is>
      </c>
      <c r="E107" s="207">
        <f>IFERROR(
IF(
INDEX($K$272:$K$977,MATCH(C107,$B$272:$B$977,0))&lt;&gt;0,
INDEX($K$272:$K$977,MATCH(C107,$B$272:$B$977,0)),
INDEX($L$272:$L$977,MATCH(C107,$B$272:$B$977,0))
),
0)</f>
        <v/>
      </c>
      <c r="F107" s="1" t="inlineStr">
        <is>
          <t>Granola Salada</t>
        </is>
      </c>
      <c r="G107" s="52" t="n">
        <v>0.025</v>
      </c>
      <c r="H107" s="81" t="inlineStr">
        <is>
          <t>Kg</t>
        </is>
      </c>
      <c r="I107" s="79" t="n"/>
      <c r="J107" s="78" t="n"/>
      <c r="K107" s="79" t="n"/>
      <c r="L107" s="80" t="n"/>
      <c r="M107" s="80" t="n"/>
      <c r="N107" s="80" t="n"/>
      <c r="O107" s="20" t="n"/>
      <c r="P107" s="4" t="n"/>
      <c r="Q107" s="4" t="n"/>
    </row>
    <row r="108" ht="15" customHeight="1" s="95">
      <c r="B108" s="4" t="n"/>
      <c r="C108" s="96" t="inlineStr">
        <is>
          <t>VECAREJT015</t>
        </is>
      </c>
      <c r="D108" s="18" t="inlineStr">
        <is>
          <t>Ens Verduras Asadas JT</t>
        </is>
      </c>
      <c r="E108" s="207">
        <f>IFERROR(
IF(
INDEX($K$272:$K$977,MATCH(C108,$B$272:$B$977,0))&lt;&gt;0,
INDEX($K$272:$K$977,MATCH(C108,$B$272:$B$977,0)),
INDEX($L$272:$L$977,MATCH(C108,$B$272:$B$977,0))
),
0)</f>
        <v/>
      </c>
      <c r="F108" s="1" t="inlineStr">
        <is>
          <t>Granola Salada</t>
        </is>
      </c>
      <c r="G108" s="52" t="n">
        <v>0.025</v>
      </c>
      <c r="H108" s="81" t="inlineStr">
        <is>
          <t>Kg</t>
        </is>
      </c>
      <c r="I108" s="79" t="n"/>
      <c r="J108" s="78" t="n"/>
      <c r="K108" s="79" t="n"/>
      <c r="L108" s="80" t="n"/>
      <c r="M108" s="80" t="n"/>
      <c r="N108" s="80" t="n"/>
      <c r="O108" s="20" t="n"/>
      <c r="P108" s="4" t="n"/>
      <c r="Q108" s="4" t="n"/>
    </row>
    <row r="109" ht="15" customHeight="1" s="95">
      <c r="B109" s="4" t="n"/>
      <c r="C109" s="96" t="inlineStr">
        <is>
          <t>VECAREUB015</t>
        </is>
      </c>
      <c r="D109" s="18" t="inlineStr">
        <is>
          <t>Ens Verdura Asada PY</t>
        </is>
      </c>
      <c r="E109" s="207">
        <f>IFERROR(
IF(
INDEX($K$272:$K$977,MATCH(C109,$B$272:$B$977,0))&lt;&gt;0,
INDEX($K$272:$K$977,MATCH(C109,$B$272:$B$977,0)),
INDEX($L$272:$L$977,MATCH(C109,$B$272:$B$977,0))
),
0)</f>
        <v/>
      </c>
      <c r="F109" s="1" t="inlineStr">
        <is>
          <t>Granola Salada</t>
        </is>
      </c>
      <c r="G109" s="52" t="n">
        <v>0.025</v>
      </c>
      <c r="H109" s="81" t="inlineStr">
        <is>
          <t>Kg</t>
        </is>
      </c>
      <c r="I109" s="79" t="n"/>
      <c r="J109" s="78" t="n"/>
      <c r="K109" s="79" t="n"/>
      <c r="L109" s="80" t="n"/>
      <c r="M109" s="80" t="n"/>
      <c r="N109" s="80" t="n"/>
      <c r="O109" s="20" t="n"/>
      <c r="P109" s="4" t="n"/>
      <c r="Q109" s="4" t="n"/>
    </row>
    <row r="110" ht="15" customHeight="1" s="95">
      <c r="B110" s="4" t="n"/>
      <c r="C110" s="96" t="inlineStr">
        <is>
          <t>VECAREUB004</t>
        </is>
      </c>
      <c r="D110" s="18" t="inlineStr">
        <is>
          <t>Ens.Caprese PY</t>
        </is>
      </c>
      <c r="E110" s="207">
        <f>IFERROR(
IF(
INDEX($K$272:$K$977,MATCH(C110,$B$272:$B$977,0))&lt;&gt;0,
INDEX($K$272:$K$977,MATCH(C110,$B$272:$B$977,0)),
INDEX($L$272:$L$977,MATCH(C110,$B$272:$B$977,0))
),
0)</f>
        <v/>
      </c>
      <c r="F110" s="1" t="inlineStr">
        <is>
          <t>Queso Mozzarella</t>
        </is>
      </c>
      <c r="G110" s="52" t="n">
        <v>1</v>
      </c>
      <c r="H110" s="81" t="inlineStr">
        <is>
          <t>Und</t>
        </is>
      </c>
      <c r="I110" s="79" t="n"/>
      <c r="J110" s="78" t="n"/>
      <c r="K110" s="79" t="n"/>
      <c r="L110" s="80" t="n"/>
      <c r="M110" s="80" t="n"/>
      <c r="N110" s="80" t="n"/>
      <c r="O110" s="20" t="n"/>
      <c r="P110" s="4" t="n"/>
      <c r="Q110" s="4" t="n"/>
    </row>
    <row r="111" ht="15" customHeight="1" s="95">
      <c r="B111" s="4" t="n"/>
      <c r="C111" s="96" t="inlineStr">
        <is>
          <t>VECARFUB024</t>
        </is>
      </c>
      <c r="D111" s="18" t="inlineStr">
        <is>
          <t>Fettuccini Salsa Jamón Py</t>
        </is>
      </c>
      <c r="E111" s="207">
        <f>IFERROR(
IF(
INDEX($K$272:$K$977,MATCH(C111,$B$272:$B$977,0))&lt;&gt;0,
INDEX($K$272:$K$977,MATCH(C111,$B$272:$B$977,0)),
INDEX($L$272:$L$977,MATCH(C111,$B$272:$B$977,0))
),
0)</f>
        <v/>
      </c>
      <c r="F111" s="1" t="inlineStr">
        <is>
          <t>Jamón de Pavo</t>
        </is>
      </c>
      <c r="G111" s="52" t="n">
        <v>0.07000000000000001</v>
      </c>
      <c r="H111" s="81" t="inlineStr">
        <is>
          <t>Kg</t>
        </is>
      </c>
      <c r="I111" s="79" t="n"/>
      <c r="J111" s="78" t="n"/>
      <c r="K111" s="79" t="n"/>
      <c r="L111" s="80" t="n"/>
      <c r="M111" s="80" t="n"/>
      <c r="N111" s="80" t="n"/>
      <c r="O111" s="20" t="n"/>
      <c r="P111" s="4" t="n"/>
      <c r="Q111" s="4" t="n"/>
    </row>
    <row r="112" ht="15" customHeight="1" s="95">
      <c r="B112" s="4" t="n"/>
      <c r="C112" s="96" t="inlineStr">
        <is>
          <t>VECARNIN002</t>
        </is>
      </c>
      <c r="D112" s="18" t="inlineStr">
        <is>
          <t>Fetuccini Salsa Jamón</t>
        </is>
      </c>
      <c r="E112" s="207">
        <f>IFERROR(
IF(
INDEX($K$272:$K$977,MATCH(C112,$B$272:$B$977,0))&lt;&gt;0,
INDEX($K$272:$K$977,MATCH(C112,$B$272:$B$977,0)),
INDEX($L$272:$L$977,MATCH(C112,$B$272:$B$977,0))
),
0)</f>
        <v/>
      </c>
      <c r="F112" s="1" t="inlineStr">
        <is>
          <t>Jamón de Pavo</t>
        </is>
      </c>
      <c r="G112" s="52" t="n">
        <v>0.07000000000000001</v>
      </c>
      <c r="H112" s="81" t="inlineStr">
        <is>
          <t>Kg</t>
        </is>
      </c>
      <c r="I112" s="79" t="n"/>
      <c r="J112" s="78" t="n"/>
      <c r="K112" s="79" t="n"/>
      <c r="L112" s="80" t="n"/>
      <c r="M112" s="80" t="n"/>
      <c r="N112" s="80" t="n"/>
      <c r="O112" s="20" t="n"/>
      <c r="P112" s="4" t="n"/>
      <c r="Q112" s="4" t="n"/>
    </row>
    <row r="113" ht="15" customHeight="1" s="95">
      <c r="B113" s="4" t="n"/>
      <c r="C113" s="96" t="inlineStr">
        <is>
          <t>VECARFUB028</t>
        </is>
      </c>
      <c r="D113" s="18" t="inlineStr">
        <is>
          <t>Filete Saltado con Arroz y Papas PY</t>
        </is>
      </c>
      <c r="E113" s="207">
        <f>IFERROR(
IF(
INDEX($K$272:$K$977,MATCH(C113,$B$272:$B$977,0))&lt;&gt;0,
INDEX($K$272:$K$977,MATCH(C113,$B$272:$B$977,0)),
INDEX($L$272:$L$977,MATCH(C113,$B$272:$B$977,0))
),
0)</f>
        <v/>
      </c>
      <c r="F113" s="1" t="inlineStr">
        <is>
          <t>Filete Salteado</t>
        </is>
      </c>
      <c r="G113" s="52" t="n">
        <v>0.16</v>
      </c>
      <c r="H113" s="81" t="inlineStr">
        <is>
          <t>Kg</t>
        </is>
      </c>
      <c r="I113" s="79" t="n"/>
      <c r="J113" s="78" t="n"/>
      <c r="K113" s="79" t="n"/>
      <c r="L113" s="80" t="n"/>
      <c r="M113" s="80" t="n"/>
      <c r="N113" s="80" t="n"/>
      <c r="O113" s="20" t="n"/>
      <c r="P113" s="4" t="n"/>
      <c r="Q113" s="4" t="n"/>
    </row>
    <row r="114" ht="15" customHeight="1" s="95">
      <c r="B114" s="4" t="n"/>
      <c r="C114" s="96" t="inlineStr">
        <is>
          <t>VECARFON010</t>
        </is>
      </c>
      <c r="D114" s="18" t="inlineStr">
        <is>
          <t>Filete Salteado Fritas</t>
        </is>
      </c>
      <c r="E114" s="207">
        <f>IFERROR(
IF(
INDEX($K$272:$K$977,MATCH(C114,$B$272:$B$977,0))&lt;&gt;0,
INDEX($K$272:$K$977,MATCH(C114,$B$272:$B$977,0)),
INDEX($L$272:$L$977,MATCH(C114,$B$272:$B$977,0))
),
0)</f>
        <v/>
      </c>
      <c r="F114" s="1" t="inlineStr">
        <is>
          <t>Filete Salteado</t>
        </is>
      </c>
      <c r="G114" s="52" t="n">
        <v>0.16</v>
      </c>
      <c r="H114" s="81" t="inlineStr">
        <is>
          <t>Kg</t>
        </is>
      </c>
      <c r="I114" s="79" t="n"/>
      <c r="J114" s="78" t="n"/>
      <c r="K114" s="79" t="n"/>
      <c r="L114" s="80" t="n"/>
      <c r="M114" s="80" t="n"/>
      <c r="N114" s="80" t="n"/>
      <c r="O114" s="20" t="n"/>
      <c r="P114" s="4" t="n"/>
      <c r="Q114" s="4" t="n"/>
    </row>
    <row r="115" ht="15" customHeight="1" s="95">
      <c r="B115" s="4" t="n"/>
      <c r="C115" s="96" t="inlineStr">
        <is>
          <t>VECARPUB002</t>
        </is>
      </c>
      <c r="D115" s="18" t="inlineStr">
        <is>
          <t>Flan Caluga  PY</t>
        </is>
      </c>
      <c r="E115" s="207">
        <f>IFERROR(
IF(
INDEX($K$272:$K$977,MATCH(C115,$B$272:$B$977,0))&lt;&gt;0,
INDEX($K$272:$K$977,MATCH(C115,$B$272:$B$977,0)),
INDEX($L$272:$L$977,MATCH(C115,$B$272:$B$977,0))
),
0)</f>
        <v/>
      </c>
      <c r="F115" s="1" t="inlineStr">
        <is>
          <t>Flan de Caluga</t>
        </is>
      </c>
      <c r="G115" s="52" t="n">
        <v>1</v>
      </c>
      <c r="H115" s="81" t="inlineStr">
        <is>
          <t>Kg</t>
        </is>
      </c>
      <c r="I115" s="79" t="n"/>
      <c r="J115" s="78" t="n"/>
      <c r="K115" s="79" t="n"/>
      <c r="L115" s="80" t="n"/>
      <c r="M115" s="80" t="n"/>
      <c r="N115" s="80" t="n"/>
      <c r="O115" s="20" t="n"/>
      <c r="P115" s="4" t="n"/>
      <c r="Q115" s="4" t="n"/>
    </row>
    <row r="116" ht="15" customHeight="1" s="95">
      <c r="B116" s="4" t="n"/>
      <c r="C116" s="96" t="inlineStr">
        <is>
          <t>VECARPJT002</t>
        </is>
      </c>
      <c r="D116" s="18" t="inlineStr">
        <is>
          <t>Flan Caluga JT</t>
        </is>
      </c>
      <c r="E116" s="207">
        <f>IFERROR(
IF(
INDEX($K$272:$K$977,MATCH(C116,$B$272:$B$977,0))&lt;&gt;0,
INDEX($K$272:$K$977,MATCH(C116,$B$272:$B$977,0)),
INDEX($L$272:$L$977,MATCH(C116,$B$272:$B$977,0))
),
0)</f>
        <v/>
      </c>
      <c r="F116" s="1" t="inlineStr">
        <is>
          <t>Flan de Caluga</t>
        </is>
      </c>
      <c r="G116" s="52" t="n">
        <v>1</v>
      </c>
      <c r="H116" s="81" t="inlineStr">
        <is>
          <t>Kg</t>
        </is>
      </c>
      <c r="I116" s="79" t="n"/>
      <c r="J116" s="78" t="n"/>
      <c r="K116" s="79" t="n"/>
      <c r="L116" s="80" t="n"/>
      <c r="M116" s="80" t="n"/>
      <c r="N116" s="80" t="n"/>
      <c r="O116" s="20" t="n"/>
      <c r="P116" s="4" t="n"/>
      <c r="Q116" s="4" t="n"/>
    </row>
    <row r="117" ht="15" customHeight="1" s="95">
      <c r="B117" s="4" t="n"/>
      <c r="C117" s="96" t="inlineStr">
        <is>
          <t>VECARPOS007</t>
        </is>
      </c>
      <c r="D117" s="18" t="inlineStr">
        <is>
          <t>Flan de Caluga</t>
        </is>
      </c>
      <c r="E117" s="207">
        <f>IFERROR(
IF(
INDEX($K$272:$K$977,MATCH(C117,$B$272:$B$977,0))&lt;&gt;0,
INDEX($K$272:$K$977,MATCH(C117,$B$272:$B$977,0)),
INDEX($L$272:$L$977,MATCH(C117,$B$272:$B$977,0))
),
0)</f>
        <v/>
      </c>
      <c r="F117" s="1" t="inlineStr">
        <is>
          <t>Flan de Caluga</t>
        </is>
      </c>
      <c r="G117" s="52" t="n">
        <v>1</v>
      </c>
      <c r="H117" s="81" t="inlineStr">
        <is>
          <t>Kg</t>
        </is>
      </c>
      <c r="I117" s="79" t="n"/>
      <c r="J117" s="78" t="n"/>
      <c r="K117" s="79" t="n"/>
      <c r="L117" s="80" t="n"/>
      <c r="M117" s="80" t="n"/>
      <c r="N117" s="80" t="n"/>
      <c r="O117" s="20" t="n"/>
      <c r="P117" s="4" t="n"/>
      <c r="Q117" s="4" t="n"/>
    </row>
    <row r="118" ht="15" customHeight="1" s="95">
      <c r="B118" s="4" t="n"/>
      <c r="C118" s="96" t="inlineStr">
        <is>
          <t>VECARNIN004</t>
        </is>
      </c>
      <c r="D118" s="18" t="inlineStr">
        <is>
          <t>Hamburguesa Niños</t>
        </is>
      </c>
      <c r="E118" s="207">
        <f>IFERROR(
IF(
INDEX($K$272:$K$977,MATCH(C118,$B$272:$B$977,0))&lt;&gt;0,
INDEX($K$272:$K$977,MATCH(C118,$B$272:$B$977,0)),
INDEX($L$272:$L$977,MATCH(C118,$B$272:$B$977,0))
),
0)</f>
        <v/>
      </c>
      <c r="F118" s="1" t="inlineStr">
        <is>
          <t>Hamburguesas</t>
        </is>
      </c>
      <c r="G118" s="52" t="n">
        <v>0.2</v>
      </c>
      <c r="H118" s="81" t="inlineStr">
        <is>
          <t>Kg</t>
        </is>
      </c>
      <c r="I118" s="79" t="n"/>
      <c r="J118" s="78" t="n"/>
      <c r="K118" s="79" t="n"/>
      <c r="L118" s="80" t="n"/>
      <c r="M118" s="80" t="n"/>
      <c r="N118" s="80" t="n"/>
      <c r="O118" s="20" t="n"/>
      <c r="P118" s="4" t="n"/>
      <c r="Q118" s="4" t="n"/>
    </row>
    <row r="119" ht="15" customHeight="1" s="95">
      <c r="B119" s="4" t="n"/>
      <c r="C119" s="96" t="inlineStr">
        <is>
          <t>VECARFON088</t>
        </is>
      </c>
      <c r="D119" s="18" t="inlineStr">
        <is>
          <t>Hojaldre de Carne Desmechada</t>
        </is>
      </c>
      <c r="E119" s="207">
        <f>IFERROR(
IF(
INDEX($K$272:$K$977,MATCH(C119,$B$272:$B$977,0))&lt;&gt;0,
INDEX($K$272:$K$977,MATCH(C119,$B$272:$B$977,0)),
INDEX($L$272:$L$977,MATCH(C119,$B$272:$B$977,0))
),
0)</f>
        <v/>
      </c>
      <c r="F119" s="1" t="inlineStr">
        <is>
          <t>Ganso</t>
        </is>
      </c>
      <c r="G119" s="52" t="n">
        <v>0.12</v>
      </c>
      <c r="H119" s="81" t="inlineStr">
        <is>
          <t>Kg</t>
        </is>
      </c>
      <c r="I119" s="79" t="n"/>
      <c r="J119" s="78" t="n"/>
      <c r="K119" s="79" t="n"/>
      <c r="L119" s="80" t="n"/>
      <c r="M119" s="80" t="n"/>
      <c r="N119" s="80" t="n"/>
      <c r="O119" s="20" t="n"/>
      <c r="P119" s="4" t="n"/>
      <c r="Q119" s="4" t="n"/>
    </row>
    <row r="120" ht="15" customHeight="1" s="95">
      <c r="B120" s="4" t="n"/>
      <c r="C120" s="96" t="inlineStr">
        <is>
          <t>VECARFON048</t>
        </is>
      </c>
      <c r="D120" s="18" t="inlineStr">
        <is>
          <t>Lasagna Ragout</t>
        </is>
      </c>
      <c r="E120" s="207">
        <f>IFERROR(
IF(
INDEX($K$272:$K$977,MATCH(C120,$B$272:$B$977,0))&lt;&gt;0,
INDEX($K$272:$K$977,MATCH(C120,$B$272:$B$977,0)),
INDEX($L$272:$L$977,MATCH(C120,$B$272:$B$977,0))
),
0)</f>
        <v/>
      </c>
      <c r="F120" s="1" t="inlineStr">
        <is>
          <t>Lasagna de Berenjenas</t>
        </is>
      </c>
      <c r="G120" s="52" t="n">
        <v>1</v>
      </c>
      <c r="H120" s="81" t="inlineStr">
        <is>
          <t>Porción</t>
        </is>
      </c>
      <c r="I120" s="79" t="n"/>
      <c r="J120" s="78" t="n"/>
      <c r="K120" s="79" t="n"/>
      <c r="L120" s="80" t="n"/>
      <c r="M120" s="80" t="n"/>
      <c r="N120" s="80" t="n"/>
      <c r="O120" s="20" t="n"/>
      <c r="P120" s="4" t="n"/>
      <c r="Q120" s="4" t="n"/>
    </row>
    <row r="121" ht="15" customHeight="1" s="95">
      <c r="B121" s="4" t="n"/>
      <c r="C121" s="96" t="inlineStr">
        <is>
          <t>VECARFON066</t>
        </is>
      </c>
      <c r="D121" s="18" t="inlineStr">
        <is>
          <t>Lomo Liso con Risotto Funghi</t>
        </is>
      </c>
      <c r="E121" s="207">
        <f>IFERROR(
IF(
INDEX($K$272:$K$977,MATCH(C121,$B$272:$B$977,0))&lt;&gt;0,
INDEX($K$272:$K$977,MATCH(C121,$B$272:$B$977,0)),
INDEX($L$272:$L$977,MATCH(C121,$B$272:$B$977,0))
),
0)</f>
        <v/>
      </c>
      <c r="F121" s="1" t="inlineStr">
        <is>
          <t>Lomo liso</t>
        </is>
      </c>
      <c r="G121" s="52" t="n">
        <v>0.18</v>
      </c>
      <c r="H121" s="81" t="inlineStr">
        <is>
          <t>Kg</t>
        </is>
      </c>
      <c r="I121" s="79" t="n"/>
      <c r="J121" s="78" t="n"/>
      <c r="K121" s="79" t="n"/>
      <c r="L121" s="80" t="n"/>
      <c r="M121" s="80" t="n"/>
      <c r="N121" s="80" t="n"/>
      <c r="O121" s="20" t="n"/>
      <c r="P121" s="4" t="n"/>
      <c r="Q121" s="4" t="n"/>
    </row>
    <row r="122" ht="15" customHeight="1" s="95">
      <c r="B122" s="4" t="n"/>
      <c r="C122" s="96" t="inlineStr">
        <is>
          <t>VECARFUB035</t>
        </is>
      </c>
      <c r="D122" s="18" t="inlineStr">
        <is>
          <t>Lomo Liso con Risotto Funghi PY</t>
        </is>
      </c>
      <c r="E122" s="207">
        <f>IFERROR(
IF(
INDEX($K$272:$K$977,MATCH(C122,$B$272:$B$977,0))&lt;&gt;0,
INDEX($K$272:$K$977,MATCH(C122,$B$272:$B$977,0)),
INDEX($L$272:$L$977,MATCH(C122,$B$272:$B$977,0))
),
0)</f>
        <v/>
      </c>
      <c r="F122" s="1" t="inlineStr">
        <is>
          <t>Lomo liso</t>
        </is>
      </c>
      <c r="G122" s="52" t="n">
        <v>0.18</v>
      </c>
      <c r="H122" s="81" t="inlineStr">
        <is>
          <t>Kg</t>
        </is>
      </c>
      <c r="I122" s="79" t="n"/>
      <c r="J122" s="78" t="n"/>
      <c r="K122" s="79" t="n"/>
      <c r="L122" s="80" t="n"/>
      <c r="M122" s="80" t="n"/>
      <c r="N122" s="80" t="n"/>
      <c r="O122" s="20" t="n"/>
      <c r="P122" s="4" t="n"/>
      <c r="Q122" s="4" t="n"/>
    </row>
    <row r="123" ht="15" customHeight="1" s="95">
      <c r="B123" s="4" t="n"/>
      <c r="C123" s="96" t="inlineStr">
        <is>
          <t>VECARFON012</t>
        </is>
      </c>
      <c r="D123" s="18" t="inlineStr">
        <is>
          <t>Merluza Austral</t>
        </is>
      </c>
      <c r="E123" s="207">
        <f>IFERROR(
IF(
INDEX($K$272:$K$977,MATCH(C123,$B$272:$B$977,0))&lt;&gt;0,
INDEX($K$272:$K$977,MATCH(C123,$B$272:$B$977,0)),
INDEX($L$272:$L$977,MATCH(C123,$B$272:$B$977,0))
),
0)</f>
        <v/>
      </c>
      <c r="F123" s="1" t="inlineStr">
        <is>
          <t>Merluza</t>
        </is>
      </c>
      <c r="G123" s="52" t="n">
        <v>0.18</v>
      </c>
      <c r="H123" s="81" t="inlineStr">
        <is>
          <t>Kg</t>
        </is>
      </c>
      <c r="I123" s="79" t="n"/>
      <c r="J123" s="78" t="n"/>
      <c r="K123" s="79" t="n"/>
      <c r="L123" s="80" t="n"/>
      <c r="M123" s="80" t="n"/>
      <c r="N123" s="80" t="n"/>
      <c r="O123" s="20" t="n"/>
      <c r="P123" s="4" t="n"/>
      <c r="Q123" s="4" t="n"/>
    </row>
    <row r="124" ht="15" customHeight="1" s="95">
      <c r="B124" s="4" t="n"/>
      <c r="C124" s="96" t="inlineStr">
        <is>
          <t>VECARFJT027</t>
        </is>
      </c>
      <c r="D124" s="18" t="inlineStr">
        <is>
          <t>Merluza Austral JT</t>
        </is>
      </c>
      <c r="E124" s="207">
        <f>IFERROR(
IF(
INDEX($K$272:$K$977,MATCH(C124,$B$272:$B$977,0))&lt;&gt;0,
INDEX($K$272:$K$977,MATCH(C124,$B$272:$B$977,0)),
INDEX($L$272:$L$977,MATCH(C124,$B$272:$B$977,0))
),
0)</f>
        <v/>
      </c>
      <c r="F124" s="1" t="inlineStr">
        <is>
          <t>Merluza</t>
        </is>
      </c>
      <c r="G124" s="52" t="n">
        <v>0.18</v>
      </c>
      <c r="H124" s="81" t="inlineStr">
        <is>
          <t>Kg</t>
        </is>
      </c>
      <c r="I124" s="79" t="n"/>
      <c r="J124" s="78" t="n"/>
      <c r="K124" s="79" t="n"/>
      <c r="L124" s="80" t="n"/>
      <c r="M124" s="80" t="n"/>
      <c r="N124" s="80" t="n"/>
      <c r="O124" s="20" t="n"/>
      <c r="P124" s="4" t="n"/>
      <c r="Q124" s="4" t="n"/>
    </row>
    <row r="125" ht="15" customHeight="1" s="95">
      <c r="B125" s="4" t="n"/>
      <c r="C125" s="96" t="inlineStr">
        <is>
          <t>VECARFUB027</t>
        </is>
      </c>
      <c r="D125" s="18" t="inlineStr">
        <is>
          <t>Merluza Austral PY</t>
        </is>
      </c>
      <c r="E125" s="207">
        <f>IFERROR(
IF(
INDEX($K$272:$K$977,MATCH(C125,$B$272:$B$977,0))&lt;&gt;0,
INDEX($K$272:$K$977,MATCH(C125,$B$272:$B$977,0)),
INDEX($L$272:$L$977,MATCH(C125,$B$272:$B$977,0))
),
0)</f>
        <v/>
      </c>
      <c r="F125" s="1" t="inlineStr">
        <is>
          <t>Merluza</t>
        </is>
      </c>
      <c r="G125" s="52" t="n">
        <v>0.18</v>
      </c>
      <c r="H125" s="81" t="inlineStr">
        <is>
          <t>Kg</t>
        </is>
      </c>
      <c r="I125" s="79" t="n"/>
      <c r="J125" s="78" t="n"/>
      <c r="K125" s="79" t="n"/>
      <c r="L125" s="80" t="n"/>
      <c r="M125" s="80" t="n"/>
      <c r="N125" s="80" t="n"/>
      <c r="O125" s="20" t="n"/>
      <c r="P125" s="4" t="n"/>
      <c r="Q125" s="4" t="n"/>
    </row>
    <row r="126" ht="15" customHeight="1" s="95">
      <c r="B126" s="4" t="n"/>
      <c r="C126" s="96" t="inlineStr">
        <is>
          <t>VECARENT042</t>
        </is>
      </c>
      <c r="D126" s="18" t="inlineStr">
        <is>
          <t>Ostiones con Cebolla</t>
        </is>
      </c>
      <c r="E126" s="207">
        <f>IFERROR(
IF(
INDEX($K$272:$K$977,MATCH(C126,$B$272:$B$977,0))&lt;&gt;0,
INDEX($K$272:$K$977,MATCH(C126,$B$272:$B$977,0)),
INDEX($L$272:$L$977,MATCH(C126,$B$272:$B$977,0))
),
0)</f>
        <v/>
      </c>
      <c r="F126" s="1" t="inlineStr">
        <is>
          <t>Ostiones</t>
        </is>
      </c>
      <c r="G126" s="52" t="n">
        <v>1</v>
      </c>
      <c r="H126" s="81" t="inlineStr">
        <is>
          <t>Kg</t>
        </is>
      </c>
      <c r="I126" s="79" t="n"/>
      <c r="J126" s="78" t="n"/>
      <c r="K126" s="79" t="n"/>
      <c r="L126" s="80" t="n"/>
      <c r="M126" s="80" t="n"/>
      <c r="N126" s="80" t="n"/>
      <c r="O126" s="20" t="n"/>
      <c r="P126" s="4" t="n"/>
      <c r="Q126" s="4" t="n"/>
    </row>
    <row r="127" ht="15" customHeight="1" s="95">
      <c r="B127" s="4" t="n"/>
      <c r="C127" s="96" t="inlineStr">
        <is>
          <t>VECARFON068</t>
        </is>
      </c>
      <c r="D127" s="18" t="inlineStr">
        <is>
          <t>Paila de Carne Mechada</t>
        </is>
      </c>
      <c r="E127" s="207">
        <f>IFERROR(
IF(
INDEX($K$272:$K$977,MATCH(C127,$B$272:$B$977,0))&lt;&gt;0,
INDEX($K$272:$K$977,MATCH(C127,$B$272:$B$977,0)),
INDEX($L$272:$L$977,MATCH(C127,$B$272:$B$977,0))
),
0)</f>
        <v/>
      </c>
      <c r="F127" s="18" t="inlineStr">
        <is>
          <t>Ganso</t>
        </is>
      </c>
      <c r="G127" s="52" t="n">
        <v>0.12</v>
      </c>
      <c r="H127" s="81" t="inlineStr">
        <is>
          <t>Kg</t>
        </is>
      </c>
      <c r="I127" s="79" t="n"/>
      <c r="J127" s="78" t="n"/>
      <c r="K127" s="79" t="n"/>
      <c r="L127" s="80" t="n"/>
      <c r="M127" s="80" t="n"/>
      <c r="N127" s="80" t="n"/>
      <c r="O127" s="20" t="n"/>
      <c r="P127" s="4" t="n"/>
      <c r="Q127" s="4" t="n"/>
    </row>
    <row r="128" ht="15" customHeight="1" s="95">
      <c r="B128" s="4" t="n"/>
      <c r="C128" s="96" t="inlineStr">
        <is>
          <t>VECARFUB011</t>
        </is>
      </c>
      <c r="D128" s="18" t="inlineStr">
        <is>
          <t>Plateada Pastel PY</t>
        </is>
      </c>
      <c r="E128" s="207">
        <f>IFERROR(
IF(
INDEX($K$272:$K$977,MATCH(C128,$B$272:$B$977,0))&lt;&gt;0,
INDEX($K$272:$K$977,MATCH(C128,$B$272:$B$977,0)),
INDEX($L$272:$L$977,MATCH(C128,$B$272:$B$977,0))
),
0)</f>
        <v/>
      </c>
      <c r="F128" s="1" t="inlineStr">
        <is>
          <t>Plateada</t>
        </is>
      </c>
      <c r="G128" s="52" t="n">
        <v>0.18</v>
      </c>
      <c r="H128" s="81" t="inlineStr">
        <is>
          <t>Kg</t>
        </is>
      </c>
      <c r="I128" s="79" t="n"/>
      <c r="J128" s="78" t="n"/>
      <c r="K128" s="79" t="n"/>
      <c r="L128" s="80" t="n"/>
      <c r="M128" s="80" t="n"/>
      <c r="N128" s="80" t="n"/>
      <c r="O128" s="20" t="n"/>
      <c r="P128" s="4" t="n"/>
      <c r="Q128" s="4" t="n"/>
    </row>
    <row r="129" ht="15" customHeight="1" s="95">
      <c r="B129" s="4" t="n"/>
      <c r="C129" s="96" t="inlineStr">
        <is>
          <t>VECARFJT011</t>
        </is>
      </c>
      <c r="D129" s="18" t="inlineStr">
        <is>
          <t>Plateada Pastele JT</t>
        </is>
      </c>
      <c r="E129" s="207">
        <f>IFERROR(
IF(
INDEX($K$272:$K$977,MATCH(C129,$B$272:$B$977,0))&lt;&gt;0,
INDEX($K$272:$K$977,MATCH(C129,$B$272:$B$977,0)),
INDEX($L$272:$L$977,MATCH(C129,$B$272:$B$977,0))
),
0)</f>
        <v/>
      </c>
      <c r="F129" s="1" t="inlineStr">
        <is>
          <t>Plateada</t>
        </is>
      </c>
      <c r="G129" s="52" t="n">
        <v>0.18</v>
      </c>
      <c r="H129" s="81" t="inlineStr">
        <is>
          <t>Kg</t>
        </is>
      </c>
      <c r="I129" s="79" t="n"/>
      <c r="J129" s="78" t="n"/>
      <c r="K129" s="79" t="n"/>
      <c r="L129" s="80" t="n"/>
      <c r="M129" s="80" t="n"/>
      <c r="N129" s="80" t="n"/>
      <c r="O129" s="20" t="n"/>
      <c r="P129" s="4" t="n"/>
      <c r="Q129" s="4" t="n"/>
    </row>
    <row r="130" ht="15" customHeight="1" s="95">
      <c r="B130" s="4" t="n"/>
      <c r="C130" s="96" t="inlineStr">
        <is>
          <t>VECARFON017</t>
        </is>
      </c>
      <c r="D130" s="18" t="inlineStr">
        <is>
          <t>Plateada Pastelera</t>
        </is>
      </c>
      <c r="E130" s="207">
        <f>IFERROR(
IF(
INDEX($K$272:$K$977,MATCH(C130,$B$272:$B$977,0))&lt;&gt;0,
INDEX($K$272:$K$977,MATCH(C130,$B$272:$B$977,0)),
INDEX($L$272:$L$977,MATCH(C130,$B$272:$B$977,0))
),
0)</f>
        <v/>
      </c>
      <c r="F130" s="1" t="inlineStr">
        <is>
          <t>Plateada</t>
        </is>
      </c>
      <c r="G130" s="52" t="n">
        <v>0.18</v>
      </c>
      <c r="H130" s="81" t="inlineStr">
        <is>
          <t>Kg</t>
        </is>
      </c>
      <c r="I130" s="79" t="n"/>
      <c r="J130" s="78" t="n"/>
      <c r="K130" s="79" t="n"/>
      <c r="L130" s="80" t="n"/>
      <c r="M130" s="80" t="n"/>
      <c r="N130" s="80" t="n"/>
      <c r="O130" s="20" t="n"/>
      <c r="P130" s="4" t="n"/>
      <c r="Q130" s="4" t="n"/>
    </row>
    <row r="131" ht="15" customHeight="1" s="95">
      <c r="B131" s="4" t="n"/>
      <c r="C131" s="96" t="inlineStr">
        <is>
          <t>VECARPRU089</t>
        </is>
      </c>
      <c r="D131" s="18" t="inlineStr">
        <is>
          <t>Promo Ens. Jamón Serrano + Beb. PY</t>
        </is>
      </c>
      <c r="E131" s="207">
        <f>IFERROR(
IF(
INDEX($K$272:$K$977,MATCH(C131,$B$272:$B$977,0))&lt;&gt;0,
INDEX($K$272:$K$977,MATCH(C131,$B$272:$B$977,0)),
INDEX($L$272:$L$977,MATCH(C131,$B$272:$B$977,0))
),
0)</f>
        <v/>
      </c>
      <c r="F131" s="1" t="inlineStr">
        <is>
          <t>Jamón serrano</t>
        </is>
      </c>
      <c r="G131" s="52" t="n">
        <v>0.04</v>
      </c>
      <c r="H131" s="81" t="inlineStr">
        <is>
          <t>Kg</t>
        </is>
      </c>
      <c r="I131" s="79" t="n"/>
      <c r="J131" s="78" t="n"/>
      <c r="K131" s="79" t="n"/>
      <c r="L131" s="80" t="n"/>
      <c r="M131" s="80" t="n"/>
      <c r="N131" s="80" t="n"/>
      <c r="O131" s="20" t="n"/>
      <c r="P131" s="4" t="n"/>
      <c r="Q131" s="4" t="n"/>
    </row>
    <row r="132" ht="15" customHeight="1" s="95">
      <c r="B132" s="4" t="n"/>
      <c r="C132" s="96" t="inlineStr">
        <is>
          <t>VECARFON054</t>
        </is>
      </c>
      <c r="D132" s="18" t="inlineStr">
        <is>
          <t>Pulpo Mote</t>
        </is>
      </c>
      <c r="E132" s="207">
        <f>IFERROR(
IF(
INDEX($K$272:$K$977,MATCH(C132,$B$272:$B$977,0))&lt;&gt;0,
INDEX($K$272:$K$977,MATCH(C132,$B$272:$B$977,0)),
INDEX($L$272:$L$977,MATCH(C132,$B$272:$B$977,0))
),
0)</f>
        <v/>
      </c>
      <c r="F132" s="18" t="inlineStr">
        <is>
          <t>Pulpo</t>
        </is>
      </c>
      <c r="G132" s="52" t="n">
        <v>0.145</v>
      </c>
      <c r="H132" s="81" t="inlineStr">
        <is>
          <t>Kg</t>
        </is>
      </c>
      <c r="I132" s="79" t="n"/>
      <c r="J132" s="78" t="n"/>
      <c r="K132" s="79" t="n"/>
      <c r="L132" s="80" t="n"/>
      <c r="M132" s="80" t="n"/>
      <c r="N132" s="80" t="n"/>
      <c r="O132" s="20" t="n"/>
      <c r="P132" s="4" t="n"/>
      <c r="Q132" s="4" t="n"/>
    </row>
    <row r="133" ht="15" customHeight="1" s="95">
      <c r="B133" s="4" t="n"/>
      <c r="C133" s="96" t="inlineStr">
        <is>
          <t>VECARFON085</t>
        </is>
      </c>
      <c r="D133" s="18" t="inlineStr">
        <is>
          <t>Rigatoni con Ragout de Filete</t>
        </is>
      </c>
      <c r="E133" s="207">
        <f>IFERROR(
IF(
INDEX($K$272:$K$977,MATCH(C133,$B$272:$B$977,0))&lt;&gt;0,
INDEX($K$272:$K$977,MATCH(C133,$B$272:$B$977,0)),
INDEX($L$272:$L$977,MATCH(C133,$B$272:$B$977,0))
),
0)</f>
        <v/>
      </c>
      <c r="F133" s="18" t="inlineStr">
        <is>
          <t>Ragout Rigatoni</t>
        </is>
      </c>
      <c r="G133" s="52" t="n">
        <v>0.15</v>
      </c>
      <c r="H133" s="81" t="inlineStr">
        <is>
          <t>Kg</t>
        </is>
      </c>
      <c r="I133" s="79" t="n"/>
      <c r="J133" s="78" t="n"/>
      <c r="K133" s="79" t="n"/>
      <c r="L133" s="80" t="n"/>
      <c r="M133" s="80" t="n"/>
      <c r="N133" s="80" t="n"/>
      <c r="O133" s="20" t="n"/>
      <c r="P133" s="4" t="n"/>
      <c r="Q133" s="4" t="n"/>
    </row>
    <row r="134" ht="15" customHeight="1" s="95">
      <c r="B134" s="4" t="n"/>
      <c r="C134" s="96" t="inlineStr">
        <is>
          <t>VECARSND012</t>
        </is>
      </c>
      <c r="D134" s="18" t="inlineStr">
        <is>
          <t>Sándwich de Filete Italiano</t>
        </is>
      </c>
      <c r="E134" s="207">
        <f>IFERROR(
IF(
INDEX($K$272:$K$977,MATCH(C134,$B$272:$B$977,0))&lt;&gt;0,
INDEX($K$272:$K$977,MATCH(C134,$B$272:$B$977,0)),
INDEX($L$272:$L$977,MATCH(C134,$B$272:$B$977,0))
),
0)</f>
        <v/>
      </c>
      <c r="F134" s="18" t="inlineStr">
        <is>
          <t>Filete para churrasco</t>
        </is>
      </c>
      <c r="G134" s="52" t="n">
        <v>0.12</v>
      </c>
      <c r="H134" s="81" t="inlineStr">
        <is>
          <t>Kg</t>
        </is>
      </c>
      <c r="I134" s="79" t="n"/>
      <c r="J134" s="78" t="n"/>
      <c r="K134" s="79" t="n"/>
      <c r="L134" s="80" t="n"/>
      <c r="M134" s="80" t="n"/>
      <c r="N134" s="80" t="n"/>
      <c r="O134" s="20" t="n"/>
      <c r="P134" s="4" t="n"/>
      <c r="Q134" s="4" t="n"/>
    </row>
    <row r="135" ht="15" customHeight="1" s="95">
      <c r="B135" s="4" t="n"/>
      <c r="C135" s="96" t="inlineStr">
        <is>
          <t>VECARFON020</t>
        </is>
      </c>
      <c r="D135" s="18" t="inlineStr">
        <is>
          <t>Salmon Cancato</t>
        </is>
      </c>
      <c r="E135" s="207">
        <f>IFERROR(
IF(
INDEX($K$272:$K$977,MATCH(C135,$B$272:$B$977,0))&lt;&gt;0,
INDEX($K$272:$K$977,MATCH(C135,$B$272:$B$977,0)),
INDEX($L$272:$L$977,MATCH(C135,$B$272:$B$977,0))
),
0)</f>
        <v/>
      </c>
      <c r="F135" s="1" t="inlineStr">
        <is>
          <t>Salmón cancato</t>
        </is>
      </c>
      <c r="G135" s="52" t="n">
        <v>0.16</v>
      </c>
      <c r="H135" s="81" t="inlineStr">
        <is>
          <t>Kg</t>
        </is>
      </c>
      <c r="I135" s="79" t="n"/>
      <c r="J135" s="78" t="n"/>
      <c r="K135" s="79" t="n"/>
      <c r="L135" s="80" t="n"/>
      <c r="M135" s="80" t="n"/>
      <c r="N135" s="80" t="n"/>
      <c r="O135" s="20" t="n"/>
      <c r="P135" s="4" t="n"/>
      <c r="Q135" s="4" t="n"/>
    </row>
    <row r="136" ht="15" customHeight="1" s="95">
      <c r="B136" s="4" t="n"/>
      <c r="C136" s="96" t="inlineStr">
        <is>
          <t>VECARFJT006</t>
        </is>
      </c>
      <c r="D136" s="18" t="inlineStr">
        <is>
          <t>Salmon Cancato JT</t>
        </is>
      </c>
      <c r="E136" s="207">
        <f>IFERROR(
IF(
INDEX($K$272:$K$977,MATCH(C136,$B$272:$B$977,0))&lt;&gt;0,
INDEX($K$272:$K$977,MATCH(C136,$B$272:$B$977,0)),
INDEX($L$272:$L$977,MATCH(C136,$B$272:$B$977,0))
),
0)</f>
        <v/>
      </c>
      <c r="F136" s="1" t="inlineStr">
        <is>
          <t>Salmón cancato</t>
        </is>
      </c>
      <c r="G136" s="52" t="n">
        <v>0.16</v>
      </c>
      <c r="H136" s="81" t="inlineStr">
        <is>
          <t>Kg</t>
        </is>
      </c>
      <c r="I136" s="79" t="n"/>
      <c r="J136" s="78" t="n"/>
      <c r="K136" s="79" t="n"/>
      <c r="L136" s="80" t="n"/>
      <c r="M136" s="80" t="n"/>
      <c r="N136" s="80" t="n"/>
      <c r="O136" s="20" t="n"/>
      <c r="P136" s="4" t="n"/>
      <c r="Q136" s="4" t="n"/>
    </row>
    <row r="137" ht="15" customHeight="1" s="95">
      <c r="B137" s="4" t="n"/>
      <c r="C137" s="96" t="inlineStr">
        <is>
          <t>VECARFUB006</t>
        </is>
      </c>
      <c r="D137" s="18" t="inlineStr">
        <is>
          <t>Salmon Cancato PY</t>
        </is>
      </c>
      <c r="E137" s="207">
        <f>IFERROR(
IF(
INDEX($K$272:$K$977,MATCH(C137,$B$272:$B$977,0))&lt;&gt;0,
INDEX($K$272:$K$977,MATCH(C137,$B$272:$B$977,0)),
INDEX($L$272:$L$977,MATCH(C137,$B$272:$B$977,0))
),
0)</f>
        <v/>
      </c>
      <c r="F137" s="1" t="inlineStr">
        <is>
          <t>Salmón cancato</t>
        </is>
      </c>
      <c r="G137" s="52" t="n">
        <v>0.16</v>
      </c>
      <c r="H137" s="81" t="inlineStr">
        <is>
          <t>Kg</t>
        </is>
      </c>
      <c r="I137" s="79" t="n"/>
      <c r="J137" s="78" t="n"/>
      <c r="K137" s="79" t="n"/>
      <c r="L137" s="80" t="n"/>
      <c r="M137" s="80" t="n"/>
      <c r="N137" s="80" t="n"/>
      <c r="O137" s="20" t="n"/>
      <c r="P137" s="4" t="n"/>
      <c r="Q137" s="4" t="n"/>
    </row>
    <row r="138" ht="15" customHeight="1" s="95">
      <c r="B138" s="4" t="n"/>
      <c r="C138" s="96" t="inlineStr">
        <is>
          <t>VECARFON021</t>
        </is>
      </c>
      <c r="D138" s="18" t="inlineStr">
        <is>
          <t>Sorrentino Mechada</t>
        </is>
      </c>
      <c r="E138" s="207">
        <f>IFERROR(
IF(
INDEX($K$272:$K$977,MATCH(C138,$B$272:$B$977,0))&lt;&gt;0,
INDEX($K$272:$K$977,MATCH(C138,$B$272:$B$977,0)),
INDEX($L$272:$L$977,MATCH(C138,$B$272:$B$977,0))
),
0)</f>
        <v/>
      </c>
      <c r="F138" s="1" t="inlineStr">
        <is>
          <t>Sorrentinos carne mechada</t>
        </is>
      </c>
      <c r="G138" s="52" t="n">
        <v>1</v>
      </c>
      <c r="H138" s="81" t="inlineStr">
        <is>
          <t>Und</t>
        </is>
      </c>
      <c r="I138" s="79" t="n"/>
      <c r="J138" s="78" t="n"/>
      <c r="K138" s="79" t="n"/>
      <c r="L138" s="80" t="n"/>
      <c r="M138" s="80" t="n"/>
      <c r="N138" s="80" t="n"/>
      <c r="O138" s="20" t="n"/>
      <c r="P138" s="4" t="n"/>
      <c r="Q138" s="4" t="n"/>
    </row>
    <row r="139" ht="15" customHeight="1" s="95">
      <c r="B139" s="4" t="n"/>
      <c r="C139" s="96" t="inlineStr">
        <is>
          <t>VECARFON022</t>
        </is>
      </c>
      <c r="D139" s="18" t="inlineStr">
        <is>
          <t>Sorrentino Zapallo</t>
        </is>
      </c>
      <c r="E139" s="207">
        <f>IFERROR(
IF(
INDEX($K$272:$K$977,MATCH(C139,$B$272:$B$977,0))&lt;&gt;0,
INDEX($K$272:$K$977,MATCH(C139,$B$272:$B$977,0)),
INDEX($L$272:$L$977,MATCH(C139,$B$272:$B$977,0))
),
0)</f>
        <v/>
      </c>
      <c r="F139" s="1" t="inlineStr">
        <is>
          <t>Sorrentinos zapallo</t>
        </is>
      </c>
      <c r="G139" s="52" t="n">
        <v>1</v>
      </c>
      <c r="H139" s="81" t="inlineStr">
        <is>
          <t>Und</t>
        </is>
      </c>
      <c r="I139" s="79" t="n"/>
      <c r="J139" s="78" t="n"/>
      <c r="K139" s="79" t="n"/>
      <c r="L139" s="80" t="n"/>
      <c r="M139" s="80" t="n"/>
      <c r="N139" s="80" t="n"/>
      <c r="O139" s="20" t="n"/>
      <c r="P139" s="4" t="n"/>
      <c r="Q139" s="4" t="n"/>
    </row>
    <row r="140" ht="15" customHeight="1" s="95">
      <c r="B140" s="4" t="n"/>
      <c r="C140" s="96" t="inlineStr">
        <is>
          <t>VECARFUB036</t>
        </is>
      </c>
      <c r="D140" s="18" t="inlineStr">
        <is>
          <t>Sorrentinos de Carne Mechada PY</t>
        </is>
      </c>
      <c r="E140" s="207">
        <f>IFERROR(
IF(
INDEX($K$272:$K$977,MATCH(C140,$B$272:$B$977,0))&lt;&gt;0,
INDEX($K$272:$K$977,MATCH(C140,$B$272:$B$977,0)),
INDEX($L$272:$L$977,MATCH(C140,$B$272:$B$977,0))
),
0)</f>
        <v/>
      </c>
      <c r="F140" s="1" t="inlineStr">
        <is>
          <t>Sorrentinos carne mechada</t>
        </is>
      </c>
      <c r="G140" s="52" t="n">
        <v>1</v>
      </c>
      <c r="H140" s="81" t="inlineStr">
        <is>
          <t>Und</t>
        </is>
      </c>
      <c r="I140" s="79" t="n"/>
      <c r="J140" s="78" t="n"/>
      <c r="K140" s="79" t="n"/>
      <c r="L140" s="80" t="n"/>
      <c r="M140" s="80" t="n"/>
      <c r="N140" s="80" t="n"/>
      <c r="O140" s="20" t="n"/>
      <c r="P140" s="4" t="n"/>
      <c r="Q140" s="4" t="n"/>
    </row>
    <row r="141" ht="15" customHeight="1" s="95">
      <c r="B141" s="4" t="n"/>
      <c r="C141" s="96" t="inlineStr">
        <is>
          <t>VECARFON062</t>
        </is>
      </c>
      <c r="D141" s="18" t="inlineStr">
        <is>
          <t>Sorrentinos de pulpo y salmón</t>
        </is>
      </c>
      <c r="E141" s="207">
        <f>IFERROR(
IF(
INDEX($K$272:$K$977,MATCH(C141,$B$272:$B$977,0))&lt;&gt;0,
INDEX($K$272:$K$977,MATCH(C141,$B$272:$B$977,0)),
INDEX($L$272:$L$977,MATCH(C141,$B$272:$B$977,0))
),
0)</f>
        <v/>
      </c>
      <c r="F141" s="1" t="inlineStr">
        <is>
          <t>Sorrentinos pulpo y salmón</t>
        </is>
      </c>
      <c r="G141" s="52" t="n">
        <v>1</v>
      </c>
      <c r="H141" s="81" t="inlineStr">
        <is>
          <t>Und</t>
        </is>
      </c>
      <c r="I141" s="79" t="n"/>
      <c r="J141" s="78" t="n"/>
      <c r="K141" s="79" t="n"/>
      <c r="L141" s="80" t="n"/>
      <c r="M141" s="80" t="n"/>
      <c r="N141" s="80" t="n"/>
      <c r="O141" s="20" t="n"/>
      <c r="P141" s="4" t="n"/>
      <c r="Q141" s="4" t="n"/>
    </row>
    <row r="142" ht="15" customHeight="1" s="95">
      <c r="B142" s="4" t="n"/>
      <c r="C142" s="96" t="inlineStr">
        <is>
          <t>VECARFUB007</t>
        </is>
      </c>
      <c r="D142" s="18" t="inlineStr">
        <is>
          <t>Strogonof Arroz PY</t>
        </is>
      </c>
      <c r="E142" s="207">
        <f>IFERROR(
IF(
INDEX($K$272:$K$977,MATCH(C142,$B$272:$B$977,0))&lt;&gt;0,
INDEX($K$272:$K$977,MATCH(C142,$B$272:$B$977,0)),
INDEX($L$272:$L$977,MATCH(C142,$B$272:$B$977,0))
),
0)</f>
        <v/>
      </c>
      <c r="F142" s="1" t="inlineStr">
        <is>
          <t>Filete Salteado</t>
        </is>
      </c>
      <c r="G142" s="52" t="n">
        <v>0.16</v>
      </c>
      <c r="H142" s="81" t="inlineStr">
        <is>
          <t>Kg</t>
        </is>
      </c>
      <c r="I142" s="79" t="n"/>
      <c r="J142" s="78" t="n"/>
      <c r="K142" s="79" t="n"/>
      <c r="L142" s="80" t="n"/>
      <c r="M142" s="80" t="n"/>
      <c r="N142" s="80" t="n"/>
      <c r="O142" s="20" t="n"/>
      <c r="P142" s="4" t="n"/>
      <c r="Q142" s="4" t="n"/>
    </row>
    <row r="143" ht="15" customHeight="1" s="95">
      <c r="B143" s="4" t="n"/>
      <c r="C143" s="96" t="inlineStr">
        <is>
          <t>VECARFJT007</t>
        </is>
      </c>
      <c r="D143" s="18" t="inlineStr">
        <is>
          <t>Strogonof Arroz JT</t>
        </is>
      </c>
      <c r="E143" s="207">
        <f>IFERROR(
IF(
INDEX($K$272:$K$977,MATCH(C143,$B$272:$B$977,0))&lt;&gt;0,
INDEX($K$272:$K$977,MATCH(C143,$B$272:$B$977,0)),
INDEX($L$272:$L$977,MATCH(C143,$B$272:$B$977,0))
),
0)</f>
        <v/>
      </c>
      <c r="F143" s="1" t="inlineStr">
        <is>
          <t>Filete Salteado</t>
        </is>
      </c>
      <c r="G143" s="52" t="n">
        <v>0.16</v>
      </c>
      <c r="H143" s="81" t="inlineStr">
        <is>
          <t>Kg</t>
        </is>
      </c>
      <c r="I143" s="79" t="n"/>
      <c r="J143" s="78" t="n"/>
      <c r="K143" s="79" t="n"/>
      <c r="L143" s="80" t="n"/>
      <c r="M143" s="80" t="n"/>
      <c r="N143" s="80" t="n"/>
      <c r="O143" s="20" t="n"/>
      <c r="P143" s="4" t="n"/>
      <c r="Q143" s="4" t="n"/>
    </row>
    <row r="144" ht="15" customHeight="1" s="95">
      <c r="B144" s="4" t="n"/>
      <c r="C144" s="96" t="inlineStr">
        <is>
          <t>VECARFON023</t>
        </is>
      </c>
      <c r="D144" s="18" t="inlineStr">
        <is>
          <t>Strogonoff Arroz</t>
        </is>
      </c>
      <c r="E144" s="207">
        <f>IFERROR(
IF(
INDEX($K$272:$K$977,MATCH(C144,$B$272:$B$977,0))&lt;&gt;0,
INDEX($K$272:$K$977,MATCH(C144,$B$272:$B$977,0)),
INDEX($L$272:$L$977,MATCH(C144,$B$272:$B$977,0))
),
0)</f>
        <v/>
      </c>
      <c r="F144" s="1" t="inlineStr">
        <is>
          <t>Filete Salteado</t>
        </is>
      </c>
      <c r="G144" s="52" t="n">
        <v>0.16</v>
      </c>
      <c r="H144" s="81" t="inlineStr">
        <is>
          <t>Kg</t>
        </is>
      </c>
      <c r="I144" s="79" t="n"/>
      <c r="J144" s="78" t="n"/>
      <c r="K144" s="79" t="n"/>
      <c r="L144" s="80" t="n"/>
      <c r="M144" s="80" t="n"/>
      <c r="N144" s="80" t="n"/>
      <c r="O144" s="20" t="n"/>
      <c r="P144" s="4" t="n"/>
      <c r="Q144" s="4" t="n"/>
    </row>
    <row r="145" ht="15" customHeight="1" s="95">
      <c r="B145" s="4" t="n"/>
      <c r="C145" s="96" t="inlineStr">
        <is>
          <t>VECARENT008</t>
        </is>
      </c>
      <c r="D145" s="18" t="inlineStr">
        <is>
          <t>Tartar Atún</t>
        </is>
      </c>
      <c r="E145" s="207">
        <f>IFERROR(
IF(
INDEX($K$272:$K$977,MATCH(C145,$B$272:$B$977,0))&lt;&gt;0,
INDEX($K$272:$K$977,MATCH(C145,$B$272:$B$977,0)),
INDEX($L$272:$L$977,MATCH(C145,$B$272:$B$977,0))
),
0)</f>
        <v/>
      </c>
      <c r="F145" s="1" t="inlineStr">
        <is>
          <t>Atún Trozos</t>
        </is>
      </c>
      <c r="G145" s="52" t="n">
        <v>0.18</v>
      </c>
      <c r="H145" s="81" t="inlineStr">
        <is>
          <t>Kg</t>
        </is>
      </c>
      <c r="I145" s="79" t="n"/>
      <c r="J145" s="78" t="n"/>
      <c r="K145" s="79" t="n"/>
      <c r="L145" s="80" t="n"/>
      <c r="M145" s="80" t="n"/>
      <c r="N145" s="80" t="n"/>
      <c r="O145" s="20" t="n"/>
      <c r="P145" s="4" t="n"/>
      <c r="Q145" s="4" t="n"/>
    </row>
    <row r="146" ht="15" customHeight="1" s="95">
      <c r="B146" s="4" t="n"/>
      <c r="C146" s="96" t="inlineStr">
        <is>
          <t>VECARAJT002</t>
        </is>
      </c>
      <c r="D146" s="18" t="inlineStr">
        <is>
          <t>Tartar Atún JT</t>
        </is>
      </c>
      <c r="E146" s="207">
        <f>IFERROR(
IF(
INDEX($K$272:$K$977,MATCH(C146,$B$272:$B$977,0))&lt;&gt;0,
INDEX($K$272:$K$977,MATCH(C146,$B$272:$B$977,0)),
INDEX($L$272:$L$977,MATCH(C146,$B$272:$B$977,0))
),
0)</f>
        <v/>
      </c>
      <c r="F146" s="1" t="inlineStr">
        <is>
          <t>Atún Trozos</t>
        </is>
      </c>
      <c r="G146" s="52" t="n">
        <v>0.18</v>
      </c>
      <c r="H146" s="81" t="inlineStr">
        <is>
          <t>Kg</t>
        </is>
      </c>
      <c r="I146" s="79" t="n"/>
      <c r="J146" s="78" t="n"/>
      <c r="K146" s="79" t="n"/>
      <c r="L146" s="80" t="n"/>
      <c r="M146" s="80" t="n"/>
      <c r="N146" s="80" t="n"/>
      <c r="O146" s="20" t="n"/>
      <c r="P146" s="4" t="n"/>
      <c r="Q146" s="4" t="n"/>
    </row>
    <row r="147" ht="15" customHeight="1" s="95">
      <c r="B147" s="4" t="n"/>
      <c r="C147" s="96" t="inlineStr">
        <is>
          <t>VECARAUB002</t>
        </is>
      </c>
      <c r="D147" s="18" t="inlineStr">
        <is>
          <t>Tartar Atún Palta  PY</t>
        </is>
      </c>
      <c r="E147" s="207">
        <f>IFERROR(
IF(
INDEX($K$272:$K$977,MATCH(C147,$B$272:$B$977,0))&lt;&gt;0,
INDEX($K$272:$K$977,MATCH(C147,$B$272:$B$977,0)),
INDEX($L$272:$L$977,MATCH(C147,$B$272:$B$977,0))
),
0)</f>
        <v/>
      </c>
      <c r="F147" s="1" t="inlineStr">
        <is>
          <t>Atún Trozos</t>
        </is>
      </c>
      <c r="G147" s="52" t="n">
        <v>0.18</v>
      </c>
      <c r="H147" s="81" t="inlineStr">
        <is>
          <t>Kg</t>
        </is>
      </c>
      <c r="I147" s="79" t="n"/>
      <c r="J147" s="78" t="n"/>
      <c r="K147" s="79" t="n"/>
      <c r="L147" s="80" t="n"/>
      <c r="M147" s="80" t="n"/>
      <c r="N147" s="80" t="n"/>
      <c r="O147" s="20" t="n"/>
      <c r="P147" s="4" t="n"/>
      <c r="Q147" s="4" t="n"/>
    </row>
    <row r="148" ht="15" customHeight="1" s="95">
      <c r="B148" s="4" t="n"/>
      <c r="C148" s="96" t="inlineStr">
        <is>
          <t>VECARAUB012</t>
        </is>
      </c>
      <c r="D148" s="18" t="inlineStr">
        <is>
          <t>Tártaro Filete PY</t>
        </is>
      </c>
      <c r="E148" s="207">
        <f>IFERROR(
IF(
INDEX($K$272:$K$977,MATCH(C148,$B$272:$B$977,0))&lt;&gt;0,
INDEX($K$272:$K$977,MATCH(C148,$B$272:$B$977,0)),
INDEX($L$272:$L$977,MATCH(C148,$B$272:$B$977,0))
),
0)</f>
        <v/>
      </c>
      <c r="F148" s="18" t="inlineStr">
        <is>
          <t>Filete para crudo</t>
        </is>
      </c>
      <c r="G148" s="52" t="n">
        <v>0.17</v>
      </c>
      <c r="H148" s="81" t="inlineStr">
        <is>
          <t>Kg</t>
        </is>
      </c>
      <c r="I148" s="79" t="n"/>
      <c r="J148" s="78" t="n"/>
      <c r="K148" s="79" t="n"/>
      <c r="L148" s="80" t="n"/>
      <c r="M148" s="80" t="n"/>
      <c r="N148" s="80" t="n"/>
      <c r="O148" s="20" t="n"/>
      <c r="P148" s="4" t="n"/>
      <c r="Q148" s="4" t="n"/>
    </row>
    <row r="149" ht="15" customHeight="1" s="95">
      <c r="B149" s="4" t="n"/>
      <c r="C149" s="96" t="inlineStr">
        <is>
          <t>VECARAJT012</t>
        </is>
      </c>
      <c r="D149" s="18" t="inlineStr">
        <is>
          <t>Tartaro Filete JT</t>
        </is>
      </c>
      <c r="E149" s="207">
        <f>IFERROR(
IF(
INDEX($K$272:$K$977,MATCH(C149,$B$272:$B$977,0))&lt;&gt;0,
INDEX($K$272:$K$977,MATCH(C149,$B$272:$B$977,0)),
INDEX($L$272:$L$977,MATCH(C149,$B$272:$B$977,0))
),
0)</f>
        <v/>
      </c>
      <c r="F149" s="18" t="inlineStr">
        <is>
          <t>Filete para crudo</t>
        </is>
      </c>
      <c r="G149" s="52" t="n">
        <v>0.17</v>
      </c>
      <c r="H149" s="81" t="inlineStr">
        <is>
          <t>Kg</t>
        </is>
      </c>
      <c r="I149" s="79" t="n"/>
      <c r="J149" s="78" t="n"/>
      <c r="K149" s="79" t="n"/>
      <c r="L149" s="80" t="n"/>
      <c r="M149" s="80" t="n"/>
      <c r="N149" s="80" t="n"/>
      <c r="O149" s="20" t="n"/>
      <c r="P149" s="4" t="n"/>
      <c r="Q149" s="4" t="n"/>
    </row>
    <row r="150" ht="15" customHeight="1" s="95">
      <c r="B150" s="4" t="n"/>
      <c r="C150" s="96" t="inlineStr">
        <is>
          <t>VECARENT027</t>
        </is>
      </c>
      <c r="D150" s="18" t="inlineStr">
        <is>
          <t>Tártaro Res</t>
        </is>
      </c>
      <c r="E150" s="207">
        <f>IFERROR(
IF(
INDEX($K$272:$K$977,MATCH(C150,$B$272:$B$977,0))&lt;&gt;0,
INDEX($K$272:$K$977,MATCH(C150,$B$272:$B$977,0)),
INDEX($L$272:$L$977,MATCH(C150,$B$272:$B$977,0))
),
0)</f>
        <v/>
      </c>
      <c r="F150" s="18" t="inlineStr">
        <is>
          <t>Filete para crudo</t>
        </is>
      </c>
      <c r="G150" s="52" t="n">
        <v>0.17</v>
      </c>
      <c r="H150" s="81" t="inlineStr">
        <is>
          <t>Kg</t>
        </is>
      </c>
      <c r="I150" s="79" t="n"/>
      <c r="J150" s="78" t="n"/>
      <c r="K150" s="79" t="n"/>
      <c r="L150" s="80" t="n"/>
      <c r="M150" s="80" t="n"/>
      <c r="N150" s="80" t="n"/>
      <c r="O150" s="20" t="n"/>
      <c r="P150" s="4" t="n"/>
      <c r="Q150" s="4" t="n"/>
    </row>
    <row r="151" ht="15" customHeight="1" s="95">
      <c r="B151" s="4" t="n"/>
      <c r="C151" s="96" t="inlineStr">
        <is>
          <t>VECARENT041</t>
        </is>
      </c>
      <c r="D151" s="18" t="inlineStr">
        <is>
          <t>Tiradito de Locos</t>
        </is>
      </c>
      <c r="E151" s="207">
        <f>IFERROR(
IF(
INDEX($K$272:$K$977,MATCH(C151,$B$272:$B$977,0))&lt;&gt;0,
INDEX($K$272:$K$977,MATCH(C151,$B$272:$B$977,0)),
INDEX($L$272:$L$977,MATCH(C151,$B$272:$B$977,0))
),
0)</f>
        <v/>
      </c>
      <c r="F151" s="18" t="inlineStr">
        <is>
          <t>Locos</t>
        </is>
      </c>
      <c r="G151" s="52" t="n">
        <v>0.09</v>
      </c>
      <c r="H151" s="81" t="inlineStr">
        <is>
          <t>Kg</t>
        </is>
      </c>
      <c r="I151" s="79" t="n"/>
      <c r="J151" s="78" t="n"/>
      <c r="K151" s="79" t="n"/>
      <c r="L151" s="80" t="n"/>
      <c r="M151" s="80" t="n"/>
      <c r="N151" s="80" t="n"/>
      <c r="O151" s="20" t="n"/>
      <c r="P151" s="4" t="n"/>
      <c r="Q151" s="4" t="n"/>
    </row>
    <row r="152" ht="15" customHeight="1" s="95">
      <c r="B152" s="4" t="n"/>
      <c r="C152" s="97" t="inlineStr">
        <is>
          <t>VECARENT036</t>
        </is>
      </c>
      <c r="D152" s="18" t="inlineStr">
        <is>
          <t>Tiradito Salmón</t>
        </is>
      </c>
      <c r="E152" s="207">
        <f>IFERROR(
IF(
INDEX($K$272:$K$977,MATCH(C152,$B$272:$B$977,0))&lt;&gt;0,
INDEX($K$272:$K$977,MATCH(C152,$B$272:$B$977,0)),
INDEX($L$272:$L$977,MATCH(C152,$B$272:$B$977,0))
),
0)</f>
        <v/>
      </c>
      <c r="F152" s="1" t="inlineStr">
        <is>
          <t>Salmón fresco premium</t>
        </is>
      </c>
      <c r="G152" s="52" t="n">
        <v>0.09</v>
      </c>
      <c r="H152" s="81" t="inlineStr">
        <is>
          <t>Kg</t>
        </is>
      </c>
      <c r="I152" s="79" t="n"/>
      <c r="J152" s="78" t="n"/>
      <c r="K152" s="79" t="n"/>
      <c r="L152" s="80" t="n"/>
      <c r="M152" s="80" t="n"/>
      <c r="N152" s="80" t="n"/>
      <c r="O152" s="20" t="n"/>
      <c r="P152" s="4" t="n"/>
      <c r="Q152" s="4" t="n"/>
    </row>
    <row r="153" ht="15" customHeight="1" s="95" thickBot="1">
      <c r="B153" s="4" t="n"/>
      <c r="C153" s="82" t="inlineStr">
        <is>
          <t>VECARPOS011</t>
        </is>
      </c>
      <c r="D153" s="83" t="inlineStr">
        <is>
          <t>Volcán de Chocolate</t>
        </is>
      </c>
      <c r="E153" s="208">
        <f>IFERROR(
IF(
INDEX($K$272:$K$977,MATCH(C153,$B$272:$B$977,0))&lt;&gt;0,
INDEX($K$272:$K$977,MATCH(C153,$B$272:$B$977,0)),
INDEX($L$272:$L$977,MATCH(C153,$B$272:$B$977,0))
),
0)</f>
        <v/>
      </c>
      <c r="F153" s="31" t="inlineStr">
        <is>
          <t>Volcán de Chocolate</t>
        </is>
      </c>
      <c r="G153" s="84" t="n">
        <v>1</v>
      </c>
      <c r="H153" s="85" t="inlineStr">
        <is>
          <t>Kg</t>
        </is>
      </c>
      <c r="I153" s="79" t="n"/>
      <c r="J153" s="78" t="n"/>
      <c r="K153" s="79" t="n"/>
      <c r="L153" s="80" t="n"/>
      <c r="M153" s="80" t="n"/>
      <c r="N153" s="80" t="n"/>
      <c r="O153" s="20" t="n"/>
      <c r="P153" s="4" t="n"/>
      <c r="Q153" s="4" t="n"/>
    </row>
    <row r="154" ht="15.75" customHeight="1" s="95"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20" t="n"/>
      <c r="M154" s="20" t="n"/>
      <c r="N154" s="20" t="n"/>
      <c r="O154" s="20" t="n"/>
      <c r="P154" s="4" t="n"/>
      <c r="Q154" s="4" t="n"/>
    </row>
    <row r="155"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5" t="n"/>
      <c r="M155" s="5" t="n"/>
      <c r="N155" s="5" t="n"/>
      <c r="O155" s="5" t="n"/>
      <c r="P155" s="5" t="n"/>
      <c r="Q155" s="5" t="n"/>
      <c r="R155" s="209" t="n"/>
    </row>
    <row r="156" ht="13.5" customHeight="1" s="95" thickBot="1"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209" t="n"/>
    </row>
    <row r="157" ht="15.75" customHeight="1" s="95">
      <c r="B157" s="134" t="inlineStr">
        <is>
          <t>GRAMAJE</t>
        </is>
      </c>
      <c r="C157" s="309" t="inlineStr">
        <is>
          <t>MEDIDA</t>
        </is>
      </c>
      <c r="D157" s="309" t="inlineStr">
        <is>
          <t>PRODUCTOS</t>
        </is>
      </c>
      <c r="E157" s="144" t="inlineStr">
        <is>
          <t>STOCK INFORMADO</t>
        </is>
      </c>
      <c r="F157" s="310" t="inlineStr">
        <is>
          <t>* MERMAS EN KILOGRAMOS</t>
        </is>
      </c>
      <c r="G157" s="308" t="n"/>
      <c r="H157" s="308" t="n"/>
      <c r="I157" s="308" t="n"/>
      <c r="J157" s="311" t="n"/>
      <c r="K157" s="28" t="n"/>
      <c r="L157" s="65" t="n"/>
      <c r="M157" s="148" t="n"/>
      <c r="R157" s="209" t="n"/>
    </row>
    <row r="158" ht="26.25" customHeight="1" s="95" thickBot="1">
      <c r="B158" s="312" t="n"/>
      <c r="C158" s="313" t="n"/>
      <c r="D158" s="313" t="n"/>
      <c r="E158" s="314" t="n"/>
      <c r="F158" s="185" t="inlineStr">
        <is>
          <t>PRODUCCIÓN</t>
        </is>
      </c>
      <c r="G158" s="185" t="inlineStr">
        <is>
          <t>DEFECTUOSOS</t>
        </is>
      </c>
      <c r="H158" s="185" t="inlineStr">
        <is>
          <t>CLIENTES</t>
        </is>
      </c>
      <c r="I158" s="185" t="inlineStr">
        <is>
          <t>CORTESÍA</t>
        </is>
      </c>
      <c r="J158" s="76" t="inlineStr">
        <is>
          <t>REUTILIZAR</t>
        </is>
      </c>
      <c r="K158" s="28" t="n"/>
      <c r="L158" s="65" t="n"/>
      <c r="M158" s="148" t="n"/>
      <c r="N158" s="148" t="n"/>
      <c r="O158" s="148" t="n"/>
      <c r="P158" s="148" t="n"/>
      <c r="R158" s="209" t="n"/>
    </row>
    <row r="159" ht="13.5" customHeight="1" s="95" thickBot="1">
      <c r="B159" s="187" t="n">
        <v>0.18</v>
      </c>
      <c r="C159" s="188" t="inlineStr">
        <is>
          <t>Kg</t>
        </is>
      </c>
      <c r="D159" s="189" t="inlineStr">
        <is>
          <t>Atún apanado</t>
        </is>
      </c>
      <c r="E159" s="190" t="n"/>
      <c r="F159" s="190" t="n"/>
      <c r="G159" s="190" t="n"/>
      <c r="H159" s="190" t="n"/>
      <c r="I159" s="191" t="n"/>
      <c r="J159" s="246" t="n"/>
      <c r="K159" s="28" t="n"/>
      <c r="L159" s="65" t="n"/>
      <c r="M159" s="210" t="n"/>
      <c r="N159" s="6" t="n"/>
      <c r="O159" s="6" t="n"/>
      <c r="P159" s="210" t="n"/>
      <c r="R159" s="209" t="n"/>
    </row>
    <row r="160">
      <c r="B160" s="68" t="n">
        <v>0.25</v>
      </c>
      <c r="C160" s="23" t="inlineStr">
        <is>
          <t>Kg</t>
        </is>
      </c>
      <c r="D160" s="25" t="inlineStr">
        <is>
          <t>Atún Trozos</t>
        </is>
      </c>
      <c r="E160" s="26" t="n"/>
      <c r="F160" s="26" t="n"/>
      <c r="G160" s="26" t="n"/>
      <c r="H160" s="26" t="n"/>
      <c r="I160" s="67" t="n"/>
      <c r="J160" s="210" t="n"/>
      <c r="K160" s="28" t="n"/>
      <c r="L160" s="65" t="n"/>
      <c r="M160" s="210" t="n"/>
      <c r="N160" s="210" t="n"/>
      <c r="O160" s="210" t="n"/>
      <c r="P160" s="210" t="n"/>
      <c r="R160" s="209" t="n"/>
    </row>
    <row r="161">
      <c r="B161" s="68" t="n">
        <v>1</v>
      </c>
      <c r="C161" s="23" t="inlineStr">
        <is>
          <t>Kg</t>
        </is>
      </c>
      <c r="D161" s="25" t="inlineStr">
        <is>
          <t>Almejas Julianas</t>
        </is>
      </c>
      <c r="E161" s="26" t="n"/>
      <c r="F161" s="26" t="n"/>
      <c r="G161" s="26" t="n"/>
      <c r="H161" s="26" t="n"/>
      <c r="I161" s="67" t="n"/>
      <c r="J161" s="210" t="n"/>
      <c r="K161" s="28" t="n"/>
      <c r="L161" s="65" t="n"/>
      <c r="M161" s="210" t="n"/>
      <c r="N161" s="210" t="n"/>
      <c r="O161" s="210" t="n"/>
      <c r="P161" s="210" t="n"/>
      <c r="Q161" s="210" t="n"/>
      <c r="R161" s="209" t="n"/>
    </row>
    <row r="162">
      <c r="B162" s="68" t="n">
        <v>0.12</v>
      </c>
      <c r="C162" s="23" t="inlineStr">
        <is>
          <t>Kg</t>
        </is>
      </c>
      <c r="D162" s="25" t="inlineStr">
        <is>
          <t>Carpaccio de res</t>
        </is>
      </c>
      <c r="E162" s="26" t="n"/>
      <c r="F162" s="26" t="n"/>
      <c r="G162" s="26" t="n"/>
      <c r="H162" s="26" t="n"/>
      <c r="I162" s="67" t="n"/>
      <c r="J162" s="210" t="n"/>
      <c r="K162" s="28" t="n"/>
      <c r="L162" s="65" t="n"/>
      <c r="M162" s="43" t="n"/>
      <c r="N162" s="43" t="n"/>
      <c r="O162" s="43" t="n"/>
      <c r="P162" s="43" t="n"/>
      <c r="Q162" s="43" t="n"/>
      <c r="R162" s="209" t="n"/>
    </row>
    <row r="163">
      <c r="B163" s="68" t="n">
        <v>0.1</v>
      </c>
      <c r="C163" s="23" t="inlineStr">
        <is>
          <t>Kg</t>
        </is>
      </c>
      <c r="D163" s="27" t="inlineStr">
        <is>
          <t>Ceviche de Reineta</t>
        </is>
      </c>
      <c r="E163" s="26" t="n"/>
      <c r="F163" s="26" t="n"/>
      <c r="G163" s="26" t="n"/>
      <c r="H163" s="26" t="n"/>
      <c r="I163" s="67" t="n"/>
      <c r="J163" s="210" t="n"/>
      <c r="K163" s="28" t="n"/>
      <c r="L163" s="65" t="n"/>
      <c r="M163" s="65" t="n"/>
      <c r="N163" s="65" t="n"/>
      <c r="O163" s="65" t="n"/>
      <c r="P163" s="65" t="n"/>
      <c r="Q163" s="65" t="n"/>
      <c r="R163" s="209" t="n"/>
    </row>
    <row r="164">
      <c r="B164" s="68" t="n">
        <v>0.15</v>
      </c>
      <c r="C164" s="23" t="inlineStr">
        <is>
          <t>Kg</t>
        </is>
      </c>
      <c r="D164" s="27" t="inlineStr">
        <is>
          <t>Congrio</t>
        </is>
      </c>
      <c r="E164" s="26" t="n"/>
      <c r="F164" s="26" t="n"/>
      <c r="G164" s="26" t="n"/>
      <c r="H164" s="26" t="n"/>
      <c r="I164" s="67" t="n"/>
      <c r="J164" s="210" t="n"/>
      <c r="K164" s="28" t="n"/>
      <c r="L164" s="65" t="n"/>
      <c r="M164" s="65" t="n"/>
      <c r="N164" s="65" t="n"/>
      <c r="O164" s="65" t="n"/>
      <c r="P164" s="65" t="n"/>
      <c r="Q164" s="65" t="n"/>
      <c r="R164" s="209" t="n"/>
    </row>
    <row r="165">
      <c r="B165" s="68" t="n">
        <v>1</v>
      </c>
      <c r="C165" s="23" t="inlineStr">
        <is>
          <t>Porción</t>
        </is>
      </c>
      <c r="D165" s="27" t="inlineStr">
        <is>
          <t>Chupe de Salmón</t>
        </is>
      </c>
      <c r="E165" s="26" t="n"/>
      <c r="F165" s="26" t="n"/>
      <c r="G165" s="26" t="n"/>
      <c r="H165" s="26" t="n"/>
      <c r="I165" s="67" t="n"/>
      <c r="J165" s="210" t="n"/>
      <c r="K165" s="28" t="n"/>
      <c r="L165" s="28" t="n"/>
      <c r="M165" s="28" t="n"/>
      <c r="N165" s="28" t="n"/>
      <c r="O165" s="28" t="n"/>
      <c r="P165" s="28" t="n"/>
      <c r="Q165" s="28" t="n"/>
    </row>
    <row r="166">
      <c r="B166" s="68" t="n">
        <v>1</v>
      </c>
      <c r="C166" s="23" t="inlineStr">
        <is>
          <t>Kg</t>
        </is>
      </c>
      <c r="D166" s="27" t="inlineStr">
        <is>
          <t>Despunte de pulpo</t>
        </is>
      </c>
      <c r="E166" s="26" t="n"/>
      <c r="F166" s="26" t="n"/>
      <c r="G166" s="26" t="n"/>
      <c r="H166" s="26" t="n"/>
      <c r="I166" s="67" t="n"/>
      <c r="J166" s="210" t="n"/>
      <c r="K166" s="28" t="n"/>
      <c r="L166" s="28" t="n"/>
      <c r="M166" s="28" t="n"/>
      <c r="N166" s="28" t="n"/>
      <c r="O166" s="28" t="n"/>
      <c r="P166" s="28" t="n"/>
      <c r="Q166" s="28" t="n"/>
    </row>
    <row r="167">
      <c r="B167" s="68" t="n">
        <v>1</v>
      </c>
      <c r="C167" s="23" t="inlineStr">
        <is>
          <t>Kg</t>
        </is>
      </c>
      <c r="D167" s="27" t="inlineStr">
        <is>
          <t>Filete despunte</t>
        </is>
      </c>
      <c r="E167" s="26" t="n"/>
      <c r="F167" s="26" t="n"/>
      <c r="G167" s="26" t="n"/>
      <c r="H167" s="26" t="n"/>
      <c r="I167" s="67" t="n"/>
      <c r="J167" s="210" t="n"/>
      <c r="K167" s="28" t="n"/>
      <c r="L167" s="28" t="n"/>
      <c r="M167" s="28" t="n"/>
      <c r="N167" s="28" t="n"/>
      <c r="O167" s="28" t="n"/>
      <c r="P167" s="28" t="n"/>
      <c r="Q167" s="28" t="n"/>
    </row>
    <row r="168">
      <c r="B168" s="68" t="n">
        <v>0.12</v>
      </c>
      <c r="C168" s="23" t="inlineStr">
        <is>
          <t>Kg</t>
        </is>
      </c>
      <c r="D168" s="27" t="inlineStr">
        <is>
          <t>Filete para churrasco</t>
        </is>
      </c>
      <c r="E168" s="26" t="n"/>
      <c r="F168" s="26" t="n"/>
      <c r="G168" s="26" t="n"/>
      <c r="H168" s="26" t="n"/>
      <c r="I168" s="67" t="n"/>
      <c r="J168" s="210" t="n"/>
      <c r="K168" s="28" t="n"/>
      <c r="L168" s="28" t="n"/>
      <c r="M168" s="28" t="n"/>
      <c r="N168" s="28" t="n"/>
      <c r="O168" s="28" t="n"/>
      <c r="P168" s="28" t="n"/>
      <c r="Q168" s="28" t="n"/>
    </row>
    <row r="169">
      <c r="B169" s="68" t="n">
        <v>0.48</v>
      </c>
      <c r="C169" s="23" t="inlineStr">
        <is>
          <t>Kg</t>
        </is>
      </c>
      <c r="D169" s="70" t="inlineStr">
        <is>
          <t>Filete para crudo</t>
        </is>
      </c>
      <c r="E169" s="26" t="n"/>
      <c r="F169" s="26" t="n"/>
      <c r="G169" s="26" t="n"/>
      <c r="H169" s="26" t="n"/>
      <c r="I169" s="67" t="n"/>
      <c r="J169" s="210" t="n"/>
      <c r="K169" s="28" t="n"/>
      <c r="L169" s="28" t="n"/>
      <c r="M169" s="28" t="n"/>
      <c r="N169" s="28" t="n"/>
      <c r="O169" s="28" t="n"/>
      <c r="P169" s="28" t="n"/>
      <c r="Q169" s="28" t="n"/>
    </row>
    <row r="170">
      <c r="B170" s="68" t="n">
        <v>0.16</v>
      </c>
      <c r="C170" s="23" t="inlineStr">
        <is>
          <t>Kg</t>
        </is>
      </c>
      <c r="D170" s="25" t="inlineStr">
        <is>
          <t>Filete salteado</t>
        </is>
      </c>
      <c r="E170" s="26" t="n"/>
      <c r="F170" s="26" t="n"/>
      <c r="G170" s="26" t="n"/>
      <c r="H170" s="26" t="n"/>
      <c r="I170" s="67" t="n"/>
      <c r="J170" s="210" t="n"/>
      <c r="K170" s="28" t="n"/>
      <c r="L170" s="28" t="n"/>
      <c r="M170" s="28" t="n"/>
      <c r="N170" s="28" t="n"/>
      <c r="O170" s="28" t="n"/>
      <c r="P170" s="28" t="n"/>
      <c r="Q170" s="28" t="n"/>
    </row>
    <row r="171">
      <c r="B171" s="68" t="n">
        <v>0.12</v>
      </c>
      <c r="C171" s="23" t="inlineStr">
        <is>
          <t>Kg</t>
        </is>
      </c>
      <c r="D171" s="25" t="inlineStr">
        <is>
          <t>Ganso</t>
        </is>
      </c>
      <c r="E171" s="26" t="n"/>
      <c r="F171" s="26" t="n"/>
      <c r="G171" s="26" t="n"/>
      <c r="H171" s="26" t="n"/>
      <c r="I171" s="67" t="n"/>
      <c r="J171" s="210" t="n"/>
      <c r="K171" s="28" t="n"/>
      <c r="L171" s="28" t="n"/>
      <c r="M171" s="28" t="n"/>
      <c r="N171" s="28" t="n"/>
      <c r="O171" s="28" t="n"/>
      <c r="P171" s="28" t="n"/>
      <c r="Q171" s="28" t="n"/>
    </row>
    <row r="172">
      <c r="B172" s="68" t="n">
        <v>0.2</v>
      </c>
      <c r="C172" s="23" t="inlineStr">
        <is>
          <t>Kg</t>
        </is>
      </c>
      <c r="D172" s="25" t="inlineStr">
        <is>
          <t>Hamburguesas</t>
        </is>
      </c>
      <c r="E172" s="26" t="n"/>
      <c r="F172" s="26" t="n"/>
      <c r="G172" s="26" t="n"/>
      <c r="H172" s="26" t="n"/>
      <c r="I172" s="67" t="n"/>
      <c r="J172" s="210" t="n"/>
      <c r="K172" s="28" t="n"/>
      <c r="L172" s="28" t="n"/>
      <c r="M172" s="28" t="n"/>
      <c r="N172" s="28" t="n"/>
      <c r="O172" s="28" t="n"/>
      <c r="P172" s="28" t="n"/>
      <c r="Q172" s="28" t="n"/>
    </row>
    <row r="173">
      <c r="B173" s="68" t="n">
        <v>1</v>
      </c>
      <c r="C173" s="23" t="inlineStr">
        <is>
          <t>Kg</t>
        </is>
      </c>
      <c r="D173" s="70" t="inlineStr">
        <is>
          <t>Langostinos</t>
        </is>
      </c>
      <c r="E173" s="26" t="n"/>
      <c r="F173" s="26" t="n"/>
      <c r="G173" s="26" t="n"/>
      <c r="H173" s="26" t="n"/>
      <c r="I173" s="67" t="n"/>
      <c r="J173" s="210" t="n"/>
      <c r="K173" s="28" t="n"/>
      <c r="L173" s="28" t="n"/>
      <c r="M173" s="28" t="n"/>
      <c r="N173" s="28" t="n"/>
      <c r="O173" s="28" t="n"/>
      <c r="P173" s="28" t="n"/>
      <c r="Q173" s="28" t="n"/>
    </row>
    <row r="174">
      <c r="B174" s="68" t="n">
        <v>1</v>
      </c>
      <c r="C174" s="23" t="inlineStr">
        <is>
          <t>Kg</t>
        </is>
      </c>
      <c r="D174" s="25" t="inlineStr">
        <is>
          <t>Jamón serrano</t>
        </is>
      </c>
      <c r="E174" s="26" t="n"/>
      <c r="F174" s="26" t="n"/>
      <c r="G174" s="26" t="n"/>
      <c r="H174" s="26" t="n"/>
      <c r="I174" s="67" t="n"/>
      <c r="J174" s="210" t="n"/>
      <c r="K174" s="28" t="n"/>
      <c r="L174" s="28" t="n"/>
      <c r="M174" s="4" t="n"/>
      <c r="N174" s="4" t="n"/>
      <c r="O174" s="28" t="n"/>
      <c r="P174" s="28" t="n"/>
      <c r="Q174" s="28" t="n"/>
    </row>
    <row r="175">
      <c r="B175" s="68" t="n">
        <v>1</v>
      </c>
      <c r="C175" s="23" t="inlineStr">
        <is>
          <t>Porción</t>
        </is>
      </c>
      <c r="D175" s="25" t="inlineStr">
        <is>
          <t>Lasagna Berenjenas</t>
        </is>
      </c>
      <c r="E175" s="186" t="n"/>
      <c r="F175" s="26" t="n"/>
      <c r="G175" s="26" t="n"/>
      <c r="H175" s="26" t="n"/>
      <c r="I175" s="67" t="n"/>
      <c r="J175" s="210" t="n"/>
      <c r="K175" s="28" t="n"/>
      <c r="L175" s="28" t="n"/>
      <c r="M175" s="28" t="n"/>
      <c r="N175" s="28" t="n"/>
      <c r="O175" s="28" t="n"/>
      <c r="P175" s="28" t="n"/>
      <c r="Q175" s="28" t="n"/>
    </row>
    <row r="176">
      <c r="B176" s="68" t="n">
        <v>0.18</v>
      </c>
      <c r="C176" s="23" t="inlineStr">
        <is>
          <t>Kg</t>
        </is>
      </c>
      <c r="D176" s="25" t="inlineStr">
        <is>
          <t>Lomo liso</t>
        </is>
      </c>
      <c r="E176" s="26" t="n"/>
      <c r="F176" s="26" t="n"/>
      <c r="G176" s="26" t="n"/>
      <c r="H176" s="26" t="n"/>
      <c r="I176" s="67" t="n"/>
      <c r="J176" s="210" t="n"/>
      <c r="K176" s="28" t="n"/>
      <c r="L176" s="28" t="n"/>
      <c r="M176" s="28" t="n"/>
      <c r="N176" s="28" t="n"/>
      <c r="O176" s="28" t="n"/>
      <c r="P176" s="28" t="n"/>
      <c r="Q176" s="28" t="n"/>
    </row>
    <row r="177">
      <c r="B177" s="68" t="n">
        <v>0.09</v>
      </c>
      <c r="C177" s="23" t="inlineStr">
        <is>
          <t>Kg</t>
        </is>
      </c>
      <c r="D177" s="25" t="inlineStr">
        <is>
          <t>Locos</t>
        </is>
      </c>
      <c r="E177" s="26" t="n"/>
      <c r="F177" s="26" t="n"/>
      <c r="G177" s="26" t="n"/>
      <c r="H177" s="26" t="n"/>
      <c r="I177" s="67" t="n"/>
      <c r="J177" s="210" t="n"/>
      <c r="K177" s="28" t="n"/>
      <c r="L177" s="28" t="n"/>
      <c r="M177" s="28" t="n"/>
      <c r="N177" s="28" t="n"/>
      <c r="O177" s="28" t="n"/>
      <c r="P177" s="28" t="n"/>
      <c r="Q177" s="28" t="n"/>
    </row>
    <row r="178">
      <c r="B178" s="68" t="n">
        <v>1</v>
      </c>
      <c r="C178" s="23" t="inlineStr">
        <is>
          <t>Kg</t>
        </is>
      </c>
      <c r="D178" s="25" t="inlineStr">
        <is>
          <t>Mejillones</t>
        </is>
      </c>
      <c r="E178" s="26" t="n"/>
      <c r="F178" s="26" t="n"/>
      <c r="G178" s="26" t="n"/>
      <c r="H178" s="26" t="n"/>
      <c r="I178" s="67" t="n"/>
      <c r="J178" s="210" t="n"/>
      <c r="K178" s="28" t="n"/>
      <c r="L178" s="28" t="n"/>
      <c r="M178" s="28" t="n"/>
      <c r="N178" s="28" t="n"/>
      <c r="O178" s="28" t="n"/>
      <c r="P178" s="28" t="n"/>
      <c r="Q178" s="28" t="n"/>
    </row>
    <row r="179">
      <c r="B179" s="68" t="n">
        <v>0.18</v>
      </c>
      <c r="C179" s="23" t="inlineStr">
        <is>
          <t>Kg</t>
        </is>
      </c>
      <c r="D179" s="25" t="inlineStr">
        <is>
          <t>Merluza</t>
        </is>
      </c>
      <c r="E179" s="26" t="n"/>
      <c r="F179" s="26" t="n"/>
      <c r="G179" s="26" t="n"/>
      <c r="H179" s="26" t="n"/>
      <c r="I179" s="67" t="n"/>
      <c r="J179" s="210" t="n"/>
      <c r="K179" s="28" t="n"/>
      <c r="L179" s="28" t="n"/>
      <c r="M179" s="28" t="n"/>
      <c r="N179" s="28" t="n"/>
      <c r="O179" s="28" t="n"/>
      <c r="P179" s="28" t="n"/>
      <c r="Q179" s="28" t="n"/>
    </row>
    <row r="180">
      <c r="B180" s="68" t="n">
        <v>0.12</v>
      </c>
      <c r="C180" s="23" t="inlineStr">
        <is>
          <t>Kg</t>
        </is>
      </c>
      <c r="D180" s="25" t="inlineStr">
        <is>
          <t>Paila de Carne</t>
        </is>
      </c>
      <c r="E180" s="26" t="n"/>
      <c r="F180" s="26" t="n"/>
      <c r="G180" s="26" t="n"/>
      <c r="H180" s="26" t="n"/>
      <c r="I180" s="67" t="n"/>
      <c r="J180" s="210" t="n"/>
      <c r="K180" s="28" t="n"/>
      <c r="L180" s="28" t="n"/>
      <c r="M180" s="28" t="n"/>
      <c r="N180" s="28" t="n"/>
      <c r="O180" s="28" t="n"/>
      <c r="P180" s="28" t="n"/>
      <c r="Q180" s="28" t="n"/>
    </row>
    <row r="181">
      <c r="B181" s="68" t="n">
        <v>0.18</v>
      </c>
      <c r="C181" s="23" t="inlineStr">
        <is>
          <t>Kg</t>
        </is>
      </c>
      <c r="D181" s="25" t="inlineStr">
        <is>
          <t>Plateada</t>
        </is>
      </c>
      <c r="E181" s="26" t="n"/>
      <c r="F181" s="26" t="n"/>
      <c r="G181" s="26" t="n"/>
      <c r="H181" s="26" t="n"/>
      <c r="I181" s="67" t="n"/>
      <c r="J181" s="210" t="n"/>
      <c r="K181" s="28" t="n"/>
      <c r="L181" s="28" t="n"/>
      <c r="M181" s="28" t="n"/>
      <c r="N181" s="28" t="n"/>
      <c r="O181" s="28" t="n"/>
      <c r="P181" s="28" t="n"/>
      <c r="Q181" s="28" t="n"/>
    </row>
    <row r="182">
      <c r="B182" s="68" t="n">
        <v>0.145</v>
      </c>
      <c r="C182" s="23" t="inlineStr">
        <is>
          <t>kg</t>
        </is>
      </c>
      <c r="D182" s="25" t="inlineStr">
        <is>
          <t>Pulpo</t>
        </is>
      </c>
      <c r="E182" s="26" t="n"/>
      <c r="F182" s="26" t="n"/>
      <c r="G182" s="26" t="n"/>
      <c r="H182" s="26" t="n"/>
      <c r="I182" s="67" t="n"/>
      <c r="J182" s="210" t="n"/>
      <c r="K182" s="28" t="n"/>
      <c r="L182" s="28" t="n"/>
      <c r="M182" s="4" t="n"/>
      <c r="N182" s="4" t="n"/>
      <c r="O182" s="28" t="n"/>
      <c r="P182" s="28" t="n"/>
      <c r="Q182" s="28" t="n"/>
    </row>
    <row r="183">
      <c r="B183" s="168" t="n">
        <v>0.411</v>
      </c>
      <c r="C183" s="23" t="inlineStr">
        <is>
          <t>Kg</t>
        </is>
      </c>
      <c r="D183" s="25" t="inlineStr">
        <is>
          <t>Ragout Lasagna</t>
        </is>
      </c>
      <c r="E183" s="26" t="n"/>
      <c r="F183" s="26" t="n"/>
      <c r="G183" s="26" t="n"/>
      <c r="H183" s="26" t="n"/>
      <c r="I183" s="67" t="n"/>
      <c r="J183" s="210" t="n"/>
      <c r="K183" s="28" t="n"/>
      <c r="L183" s="28" t="n"/>
      <c r="M183" s="4" t="n"/>
      <c r="N183" s="4" t="n"/>
      <c r="O183" s="28" t="n"/>
      <c r="P183" s="28" t="n"/>
      <c r="Q183" s="28" t="n"/>
    </row>
    <row r="184">
      <c r="B184" s="168" t="n">
        <v>0.36</v>
      </c>
      <c r="C184" s="23" t="inlineStr">
        <is>
          <t>Kg</t>
        </is>
      </c>
      <c r="D184" s="25" t="inlineStr">
        <is>
          <t>Ragout Rigatoni</t>
        </is>
      </c>
      <c r="E184" s="26" t="n"/>
      <c r="F184" s="26" t="n"/>
      <c r="G184" s="26" t="n"/>
      <c r="H184" s="26" t="n"/>
      <c r="I184" s="67" t="n"/>
      <c r="J184" s="210" t="n"/>
      <c r="K184" s="28" t="n"/>
      <c r="L184" s="28" t="n"/>
      <c r="M184" s="4" t="n"/>
      <c r="N184" s="4" t="n"/>
      <c r="O184" s="28" t="n"/>
      <c r="P184" s="28" t="n"/>
      <c r="Q184" s="28" t="n"/>
    </row>
    <row r="185">
      <c r="B185" s="68" t="n">
        <v>1</v>
      </c>
      <c r="C185" s="23" t="inlineStr">
        <is>
          <t>Kg</t>
        </is>
      </c>
      <c r="D185" s="25" t="inlineStr">
        <is>
          <t>Salmon ahumado en frío</t>
        </is>
      </c>
      <c r="E185" s="26" t="n"/>
      <c r="F185" s="26" t="n"/>
      <c r="G185" s="26" t="n"/>
      <c r="H185" s="26" t="n"/>
      <c r="I185" s="67" t="n"/>
      <c r="J185" s="210" t="n"/>
      <c r="K185" s="28" t="n"/>
      <c r="L185" s="28" t="n"/>
      <c r="M185" s="4" t="n"/>
      <c r="N185" s="4" t="n"/>
      <c r="O185" s="28" t="n"/>
      <c r="P185" s="28" t="n"/>
      <c r="Q185" s="28" t="n"/>
    </row>
    <row r="186">
      <c r="B186" s="68" t="n">
        <v>0.12</v>
      </c>
      <c r="C186" s="23" t="inlineStr">
        <is>
          <t>Kg</t>
        </is>
      </c>
      <c r="D186" s="25" t="inlineStr">
        <is>
          <t>Salmón ahumado en caliente</t>
        </is>
      </c>
      <c r="E186" s="26" t="n"/>
      <c r="F186" s="26" t="n"/>
      <c r="G186" s="26" t="n"/>
      <c r="H186" s="26" t="n"/>
      <c r="I186" s="67" t="n"/>
      <c r="J186" s="210" t="n"/>
      <c r="K186" s="28" t="n"/>
      <c r="L186" s="28" t="n"/>
      <c r="M186" s="28" t="n"/>
      <c r="N186" s="28" t="n"/>
      <c r="O186" s="28" t="n"/>
      <c r="P186" s="28" t="n"/>
      <c r="Q186" s="28" t="n"/>
    </row>
    <row r="187">
      <c r="B187" s="68" t="n">
        <v>0.16</v>
      </c>
      <c r="C187" s="23" t="inlineStr">
        <is>
          <t>Kg</t>
        </is>
      </c>
      <c r="D187" s="25" t="inlineStr">
        <is>
          <t>Salmón cancato</t>
        </is>
      </c>
      <c r="E187" s="26" t="n"/>
      <c r="F187" s="26" t="n"/>
      <c r="G187" s="26" t="n"/>
      <c r="H187" s="26" t="n"/>
      <c r="I187" s="67" t="n"/>
      <c r="J187" s="210" t="n"/>
      <c r="K187" s="28" t="n"/>
      <c r="L187" s="28" t="n"/>
      <c r="M187" s="28" t="n"/>
      <c r="N187" s="28" t="n"/>
      <c r="O187" s="28" t="n"/>
      <c r="P187" s="28" t="n"/>
      <c r="Q187" s="28" t="n"/>
    </row>
    <row r="188">
      <c r="B188" s="68" t="n">
        <v>0.09</v>
      </c>
      <c r="C188" s="23" t="inlineStr">
        <is>
          <t>Kg</t>
        </is>
      </c>
      <c r="D188" s="25" t="inlineStr">
        <is>
          <t>Salmón fresco premium</t>
        </is>
      </c>
      <c r="E188" s="26" t="n"/>
      <c r="F188" s="26" t="n"/>
      <c r="G188" s="26" t="n"/>
      <c r="H188" s="26" t="n"/>
      <c r="I188" s="67" t="n"/>
      <c r="J188" s="210" t="n"/>
      <c r="K188" s="28" t="n"/>
      <c r="L188" s="28" t="n"/>
      <c r="M188" s="28" t="n"/>
      <c r="N188" s="28" t="n"/>
      <c r="O188" s="28" t="n"/>
      <c r="P188" s="28" t="n"/>
      <c r="Q188" s="28" t="n"/>
    </row>
    <row r="189">
      <c r="B189" s="68" t="n">
        <v>0.17</v>
      </c>
      <c r="C189" s="23" t="inlineStr">
        <is>
          <t>Kg</t>
        </is>
      </c>
      <c r="D189" s="25" t="inlineStr">
        <is>
          <t>Tartar de res</t>
        </is>
      </c>
      <c r="E189" s="26" t="n"/>
      <c r="F189" s="26" t="n"/>
      <c r="G189" s="26" t="n"/>
      <c r="H189" s="26" t="n"/>
      <c r="I189" s="67" t="n"/>
      <c r="J189" s="210" t="n"/>
      <c r="K189" s="28" t="n"/>
      <c r="L189" s="28" t="n"/>
      <c r="M189" s="28" t="n"/>
      <c r="N189" s="28" t="n"/>
      <c r="O189" s="28" t="n"/>
      <c r="P189" s="28" t="n"/>
      <c r="Q189" s="28" t="n"/>
    </row>
    <row r="190" ht="13.5" customHeight="1" s="95" thickBot="1">
      <c r="B190" s="71" t="n">
        <v>0.18</v>
      </c>
      <c r="C190" s="75" t="inlineStr">
        <is>
          <t>Kg</t>
        </is>
      </c>
      <c r="D190" s="174" t="inlineStr">
        <is>
          <t xml:space="preserve">Tártaro de atún </t>
        </is>
      </c>
      <c r="E190" s="72" t="n"/>
      <c r="F190" s="72" t="n"/>
      <c r="G190" s="72" t="n"/>
      <c r="H190" s="72" t="n"/>
      <c r="I190" s="73" t="n"/>
      <c r="J190" s="210" t="n"/>
      <c r="K190" s="28" t="n"/>
      <c r="L190" s="28" t="n"/>
      <c r="M190" s="28" t="n"/>
      <c r="N190" s="28" t="n"/>
      <c r="O190" s="28" t="n"/>
      <c r="P190" s="28" t="n"/>
      <c r="Q190" s="28" t="n"/>
    </row>
    <row r="191" ht="13.5" customHeight="1" s="95" thickBot="1">
      <c r="B191" s="210" t="n"/>
      <c r="C191" s="28" t="n"/>
      <c r="D191" s="65" t="n"/>
      <c r="E191" s="210" t="n"/>
      <c r="F191" s="210" t="n"/>
      <c r="G191" s="210" t="n"/>
      <c r="H191" s="210" t="n"/>
      <c r="I191" s="210" t="n"/>
      <c r="J191" s="210" t="n"/>
      <c r="K191" s="28" t="n"/>
      <c r="L191" s="28" t="n"/>
      <c r="M191" s="28" t="n"/>
      <c r="N191" s="28" t="n"/>
      <c r="O191" s="28" t="n"/>
      <c r="P191" s="28" t="n"/>
      <c r="Q191" s="28" t="n"/>
    </row>
    <row r="192" ht="15.75" customHeight="1" s="95">
      <c r="B192" s="169" t="inlineStr">
        <is>
          <t>UNIDADES</t>
        </is>
      </c>
      <c r="C192" s="170" t="inlineStr">
        <is>
          <t>MEDIDA</t>
        </is>
      </c>
      <c r="D192" s="170" t="inlineStr">
        <is>
          <t>PRODUCTOS</t>
        </is>
      </c>
      <c r="E192" s="171" t="n"/>
      <c r="F192" s="172" t="n"/>
      <c r="G192" s="308" t="n"/>
      <c r="H192" s="308" t="n"/>
      <c r="I192" s="300" t="n"/>
      <c r="J192" s="136" t="n"/>
      <c r="K192" s="28" t="n"/>
      <c r="L192" s="28" t="n"/>
      <c r="M192" s="28" t="n"/>
      <c r="N192" s="28" t="n"/>
      <c r="O192" s="28" t="n"/>
      <c r="P192" s="28" t="n"/>
      <c r="Q192" s="28" t="n"/>
    </row>
    <row r="193" ht="26.25" customHeight="1" s="95" thickBot="1">
      <c r="B193" s="315" t="n"/>
      <c r="C193" s="316" t="n"/>
      <c r="D193" s="316" t="n"/>
      <c r="E193" s="316" t="n"/>
      <c r="F193" s="180" t="n"/>
      <c r="G193" s="180" t="n"/>
      <c r="H193" s="180" t="n"/>
      <c r="I193" s="181" t="n"/>
      <c r="K193" s="28" t="n"/>
      <c r="L193" s="28" t="n"/>
      <c r="M193" s="28" t="n"/>
      <c r="N193" s="28" t="n"/>
      <c r="O193" s="28" t="n"/>
      <c r="P193" s="28" t="n"/>
      <c r="Q193" s="28" t="n"/>
    </row>
    <row r="194">
      <c r="B194" s="66" t="n">
        <v>1</v>
      </c>
      <c r="C194" s="74" t="inlineStr">
        <is>
          <t>Und</t>
        </is>
      </c>
      <c r="D194" s="24" t="inlineStr">
        <is>
          <t>Brownie Nutella</t>
        </is>
      </c>
      <c r="E194" s="175" t="n"/>
      <c r="F194" s="175" t="n"/>
      <c r="G194" s="175" t="n"/>
      <c r="H194" s="175" t="n"/>
      <c r="I194" s="176" t="n"/>
      <c r="J194" s="210" t="n"/>
      <c r="K194" s="28" t="n"/>
      <c r="L194" s="28" t="n"/>
      <c r="M194" s="28" t="n"/>
      <c r="N194" s="28" t="n"/>
      <c r="O194" s="28" t="n"/>
      <c r="P194" s="28" t="n"/>
      <c r="Q194" s="28" t="n"/>
    </row>
    <row r="195">
      <c r="B195" s="68" t="n">
        <v>4</v>
      </c>
      <c r="C195" s="23" t="inlineStr">
        <is>
          <t>Und</t>
        </is>
      </c>
      <c r="D195" s="25" t="inlineStr">
        <is>
          <t>Brownie Vegano</t>
        </is>
      </c>
      <c r="E195" s="26" t="n"/>
      <c r="F195" s="26" t="n"/>
      <c r="G195" s="26" t="n"/>
      <c r="H195" s="26" t="n"/>
      <c r="I195" s="67" t="n"/>
      <c r="J195" s="210" t="n"/>
      <c r="K195" s="28" t="n"/>
      <c r="L195" s="28" t="n"/>
      <c r="M195" s="28" t="n"/>
      <c r="N195" s="28" t="n"/>
      <c r="O195" s="28" t="n"/>
      <c r="P195" s="28" t="n"/>
      <c r="Q195" s="28" t="n"/>
    </row>
    <row r="196">
      <c r="B196" s="68" t="n">
        <v>1</v>
      </c>
      <c r="C196" s="23" t="inlineStr">
        <is>
          <t>Und</t>
        </is>
      </c>
      <c r="D196" s="25" t="inlineStr">
        <is>
          <t>Cheesecake de Berries</t>
        </is>
      </c>
      <c r="E196" s="26" t="n"/>
      <c r="F196" s="26" t="n"/>
      <c r="G196" s="26" t="n"/>
      <c r="H196" s="26" t="n"/>
      <c r="I196" s="67" t="n"/>
      <c r="J196" s="210" t="n"/>
      <c r="K196" s="28" t="n"/>
      <c r="L196" s="28" t="n"/>
      <c r="M196" s="28" t="n"/>
      <c r="N196" s="28" t="n"/>
      <c r="O196" s="28" t="n"/>
      <c r="P196" s="28" t="n"/>
      <c r="Q196" s="28" t="n"/>
    </row>
    <row r="197">
      <c r="B197" s="68" t="n">
        <v>1</v>
      </c>
      <c r="C197" s="23" t="inlineStr">
        <is>
          <t>Und</t>
        </is>
      </c>
      <c r="D197" s="25" t="inlineStr">
        <is>
          <t>Cheesecake de limón</t>
        </is>
      </c>
      <c r="E197" s="26" t="n"/>
      <c r="F197" s="26" t="n"/>
      <c r="G197" s="26" t="n"/>
      <c r="H197" s="26" t="n"/>
      <c r="I197" s="67" t="n"/>
      <c r="J197" s="210" t="n"/>
      <c r="K197" s="28" t="n"/>
      <c r="L197" s="28" t="n"/>
      <c r="M197" s="28" t="n"/>
      <c r="N197" s="28" t="n"/>
      <c r="O197" s="28" t="n"/>
      <c r="P197" s="28" t="n"/>
      <c r="Q197" s="28" t="n"/>
    </row>
    <row r="198">
      <c r="B198" s="68" t="n">
        <v>1</v>
      </c>
      <c r="C198" s="23" t="inlineStr">
        <is>
          <t>Kg</t>
        </is>
      </c>
      <c r="D198" s="25" t="inlineStr">
        <is>
          <t>Chocolate Blanco</t>
        </is>
      </c>
      <c r="E198" s="26" t="n"/>
      <c r="F198" s="26" t="n"/>
      <c r="G198" s="26" t="n"/>
      <c r="H198" s="26" t="n"/>
      <c r="I198" s="67" t="n"/>
      <c r="J198" s="210" t="n"/>
      <c r="K198" s="28" t="n"/>
      <c r="L198" s="28" t="n"/>
      <c r="M198" s="28" t="n"/>
      <c r="N198" s="28" t="n"/>
      <c r="O198" s="28" t="n"/>
      <c r="P198" s="28" t="n"/>
      <c r="Q198" s="28" t="n"/>
    </row>
    <row r="199">
      <c r="B199" s="68" t="n">
        <v>1</v>
      </c>
      <c r="C199" s="23" t="inlineStr">
        <is>
          <t>Kg</t>
        </is>
      </c>
      <c r="D199" s="25" t="inlineStr">
        <is>
          <t>Chocolate Leche</t>
        </is>
      </c>
      <c r="E199" s="26" t="n"/>
      <c r="F199" s="26" t="n"/>
      <c r="G199" s="26" t="n"/>
      <c r="H199" s="26" t="n"/>
      <c r="I199" s="67" t="n"/>
      <c r="J199" s="210" t="n"/>
      <c r="K199" s="28" t="n"/>
      <c r="L199" s="28" t="n"/>
      <c r="M199" s="28" t="n"/>
      <c r="N199" s="28" t="n"/>
      <c r="O199" s="28" t="n"/>
      <c r="P199" s="28" t="n"/>
      <c r="Q199" s="28" t="n"/>
    </row>
    <row r="200">
      <c r="B200" s="68" t="n">
        <v>1</v>
      </c>
      <c r="C200" s="23" t="inlineStr">
        <is>
          <t>Kg</t>
        </is>
      </c>
      <c r="D200" s="25" t="inlineStr">
        <is>
          <t>Chocolate Negro</t>
        </is>
      </c>
      <c r="E200" s="26" t="n"/>
      <c r="F200" s="26" t="n"/>
      <c r="G200" s="26" t="n"/>
      <c r="H200" s="26" t="n"/>
      <c r="I200" s="67" t="n"/>
      <c r="J200" s="210" t="n"/>
      <c r="K200" s="28" t="n"/>
      <c r="L200" s="28" t="n"/>
      <c r="M200" s="28" t="n"/>
      <c r="N200" s="28" t="n"/>
      <c r="O200" s="28" t="n"/>
      <c r="P200" s="28" t="n"/>
      <c r="Q200" s="28" t="n"/>
    </row>
    <row r="201">
      <c r="B201" s="68" t="n">
        <v>1</v>
      </c>
      <c r="C201" s="23" t="inlineStr">
        <is>
          <t>Kg</t>
        </is>
      </c>
      <c r="D201" s="25" t="inlineStr">
        <is>
          <t>Chocolate Neucober Cobertura</t>
        </is>
      </c>
      <c r="E201" s="26" t="n"/>
      <c r="F201" s="26" t="n"/>
      <c r="G201" s="26" t="n"/>
      <c r="H201" s="26" t="n"/>
      <c r="I201" s="67" t="n"/>
      <c r="J201" s="210" t="n"/>
      <c r="K201" s="28" t="n"/>
      <c r="L201" s="28" t="n"/>
      <c r="M201" s="28" t="n"/>
      <c r="N201" s="28" t="n"/>
      <c r="O201" s="28" t="n"/>
      <c r="P201" s="28" t="n"/>
      <c r="Q201" s="28" t="n"/>
    </row>
    <row r="202">
      <c r="B202" s="68" t="n">
        <v>1</v>
      </c>
      <c r="C202" s="23" t="inlineStr">
        <is>
          <t>Kg</t>
        </is>
      </c>
      <c r="D202" s="25" t="inlineStr">
        <is>
          <t>Chocolate Sicao Cobertura</t>
        </is>
      </c>
      <c r="E202" s="26" t="n"/>
      <c r="F202" s="26" t="n"/>
      <c r="G202" s="26" t="n"/>
      <c r="H202" s="26" t="n"/>
      <c r="I202" s="67" t="n"/>
      <c r="J202" s="210" t="n"/>
      <c r="K202" s="28" t="n"/>
      <c r="L202" s="28" t="n"/>
      <c r="M202" s="28" t="n"/>
      <c r="N202" s="28" t="n"/>
      <c r="O202" s="28" t="n"/>
      <c r="P202" s="28" t="n"/>
      <c r="Q202" s="28" t="n"/>
    </row>
    <row r="203">
      <c r="B203" s="68" t="n">
        <v>1</v>
      </c>
      <c r="C203" s="23" t="inlineStr">
        <is>
          <t>Und</t>
        </is>
      </c>
      <c r="D203" s="25" t="inlineStr">
        <is>
          <t>Discos de Chocolate</t>
        </is>
      </c>
      <c r="E203" s="26" t="n"/>
      <c r="F203" s="26" t="n"/>
      <c r="G203" s="26" t="n"/>
      <c r="H203" s="26" t="n"/>
      <c r="I203" s="67" t="n"/>
      <c r="J203" s="210" t="n"/>
      <c r="K203" s="28" t="n"/>
      <c r="L203" s="28" t="n"/>
      <c r="M203" s="28" t="n"/>
      <c r="N203" s="28" t="n"/>
      <c r="O203" s="28" t="n"/>
      <c r="P203" s="28" t="n"/>
      <c r="Q203" s="28" t="n"/>
    </row>
    <row r="204">
      <c r="B204" s="68" t="n">
        <v>4</v>
      </c>
      <c r="C204" s="23" t="inlineStr">
        <is>
          <t>Pax</t>
        </is>
      </c>
      <c r="D204" s="25" t="inlineStr">
        <is>
          <t>Empanada mechada</t>
        </is>
      </c>
      <c r="E204" s="26" t="n"/>
      <c r="F204" s="26" t="n"/>
      <c r="G204" s="26" t="n"/>
      <c r="H204" s="26" t="n"/>
      <c r="I204" s="67" t="n"/>
      <c r="J204" s="210" t="n"/>
      <c r="K204" s="28" t="n"/>
      <c r="L204" s="28" t="n"/>
      <c r="M204" s="28" t="n"/>
      <c r="N204" s="28" t="n"/>
      <c r="O204" s="28" t="n"/>
      <c r="P204" s="28" t="n"/>
      <c r="Q204" s="28" t="n"/>
    </row>
    <row r="205">
      <c r="B205" s="68" t="n">
        <v>1</v>
      </c>
      <c r="C205" s="23" t="inlineStr">
        <is>
          <t>Und</t>
        </is>
      </c>
      <c r="D205" s="25" t="inlineStr">
        <is>
          <t>Empanada mechada sueltas</t>
        </is>
      </c>
      <c r="E205" s="26" t="n"/>
      <c r="F205" s="26" t="n"/>
      <c r="G205" s="26" t="n"/>
      <c r="H205" s="26" t="n"/>
      <c r="I205" s="67" t="n"/>
      <c r="J205" s="210" t="n"/>
      <c r="K205" s="28" t="n"/>
      <c r="L205" s="28" t="n"/>
      <c r="M205" s="28" t="n"/>
      <c r="N205" s="28" t="n"/>
      <c r="O205" s="28" t="n"/>
      <c r="P205" s="28" t="n"/>
      <c r="Q205" s="28" t="n"/>
    </row>
    <row r="206">
      <c r="B206" s="68" t="n">
        <v>4</v>
      </c>
      <c r="C206" s="23" t="inlineStr">
        <is>
          <t>Pax</t>
        </is>
      </c>
      <c r="D206" s="25" t="inlineStr">
        <is>
          <t>Empanada pulpo</t>
        </is>
      </c>
      <c r="E206" s="26" t="n"/>
      <c r="F206" s="26" t="n"/>
      <c r="G206" s="26" t="n"/>
      <c r="H206" s="26" t="n"/>
      <c r="I206" s="67" t="n"/>
      <c r="J206" s="210" t="n"/>
      <c r="K206" s="28" t="n"/>
      <c r="L206" s="28" t="n"/>
      <c r="M206" s="28" t="n"/>
      <c r="N206" s="28" t="n"/>
      <c r="O206" s="28" t="n"/>
      <c r="P206" s="28" t="n"/>
      <c r="Q206" s="28" t="n"/>
    </row>
    <row r="207">
      <c r="B207" s="68" t="n">
        <v>1</v>
      </c>
      <c r="C207" s="23" t="inlineStr">
        <is>
          <t>Und</t>
        </is>
      </c>
      <c r="D207" s="25" t="inlineStr">
        <is>
          <t>Empanada pulpo sueltas</t>
        </is>
      </c>
      <c r="E207" s="26" t="n"/>
      <c r="F207" s="26" t="n"/>
      <c r="G207" s="26" t="n"/>
      <c r="H207" s="26" t="n"/>
      <c r="I207" s="67" t="n"/>
      <c r="J207" s="210" t="n"/>
      <c r="K207" s="28" t="n"/>
      <c r="L207" s="28" t="n"/>
      <c r="M207" s="28" t="n"/>
      <c r="N207" s="28" t="n"/>
      <c r="O207" s="28" t="n"/>
      <c r="P207" s="28" t="n"/>
      <c r="Q207" s="28" t="n"/>
    </row>
    <row r="208">
      <c r="B208" s="68" t="n">
        <v>1</v>
      </c>
      <c r="C208" s="23" t="inlineStr">
        <is>
          <t>Und</t>
        </is>
      </c>
      <c r="D208" s="27" t="inlineStr">
        <is>
          <t>Flan de caluga</t>
        </is>
      </c>
      <c r="E208" s="26" t="n"/>
      <c r="F208" s="26" t="n"/>
      <c r="G208" s="26" t="n"/>
      <c r="H208" s="26" t="n"/>
      <c r="I208" s="67" t="n"/>
      <c r="J208" s="210" t="n"/>
      <c r="K208" s="28" t="n"/>
      <c r="L208" s="28" t="n"/>
      <c r="M208" s="28" t="n"/>
      <c r="N208" s="28" t="n"/>
      <c r="O208" s="28" t="n"/>
      <c r="P208" s="28" t="n"/>
      <c r="Q208" s="28" t="n"/>
    </row>
    <row r="209">
      <c r="B209" s="68" t="n">
        <v>1</v>
      </c>
      <c r="C209" s="23" t="inlineStr">
        <is>
          <t>Und</t>
        </is>
      </c>
      <c r="D209" s="27" t="inlineStr">
        <is>
          <t>Granola salada</t>
        </is>
      </c>
      <c r="E209" s="26" t="n"/>
      <c r="F209" s="26" t="n"/>
      <c r="G209" s="26" t="n"/>
      <c r="H209" s="26" t="n"/>
      <c r="I209" s="67" t="n"/>
      <c r="J209" s="210" t="n"/>
      <c r="K209" s="28" t="n"/>
      <c r="L209" s="28" t="n"/>
      <c r="M209" s="28" t="n"/>
      <c r="N209" s="28" t="n"/>
      <c r="O209" s="28" t="n"/>
      <c r="P209" s="28" t="n"/>
      <c r="Q209" s="28" t="n"/>
    </row>
    <row r="210">
      <c r="B210" s="68" t="n">
        <v>1</v>
      </c>
      <c r="C210" s="23" t="inlineStr">
        <is>
          <t>Und</t>
        </is>
      </c>
      <c r="D210" s="25" t="inlineStr">
        <is>
          <t>Mix Conchas</t>
        </is>
      </c>
      <c r="E210" s="26" t="n"/>
      <c r="F210" s="26" t="n"/>
      <c r="G210" s="26" t="n"/>
      <c r="H210" s="26" t="n"/>
      <c r="I210" s="67" t="n"/>
      <c r="J210" s="210" t="n"/>
      <c r="K210" s="28" t="n"/>
      <c r="L210" s="28" t="n"/>
      <c r="M210" s="28" t="n"/>
      <c r="N210" s="28" t="n"/>
      <c r="O210" s="28" t="n"/>
      <c r="P210" s="28" t="n"/>
      <c r="Q210" s="28" t="n"/>
    </row>
    <row r="211">
      <c r="B211" s="68" t="n">
        <v>1</v>
      </c>
      <c r="C211" s="23" t="inlineStr">
        <is>
          <t>Kg</t>
        </is>
      </c>
      <c r="D211" s="25" t="inlineStr">
        <is>
          <t>Nutella</t>
        </is>
      </c>
      <c r="E211" s="26" t="n"/>
      <c r="F211" s="26" t="n"/>
      <c r="G211" s="26" t="n"/>
      <c r="H211" s="26" t="n"/>
      <c r="I211" s="67" t="n"/>
      <c r="J211" s="210" t="n"/>
      <c r="K211" s="28" t="n"/>
      <c r="L211" s="28" t="n"/>
      <c r="M211" s="28" t="n"/>
      <c r="N211" s="28" t="n"/>
      <c r="O211" s="28" t="n"/>
      <c r="P211" s="28" t="n"/>
      <c r="Q211" s="28" t="n"/>
    </row>
    <row r="212">
      <c r="B212" s="68" t="n">
        <v>1</v>
      </c>
      <c r="C212" s="23" t="inlineStr">
        <is>
          <t>Und</t>
        </is>
      </c>
      <c r="D212" s="25" t="inlineStr">
        <is>
          <t>Queso Mozzarella</t>
        </is>
      </c>
      <c r="E212" s="26" t="n"/>
      <c r="F212" s="26" t="n"/>
      <c r="G212" s="26" t="n"/>
      <c r="H212" s="26" t="n"/>
      <c r="I212" s="67" t="n"/>
      <c r="J212" s="210" t="n"/>
      <c r="K212" s="28" t="n"/>
      <c r="L212" s="28" t="n"/>
      <c r="M212" s="28" t="n"/>
      <c r="N212" s="28" t="n"/>
      <c r="O212" s="28" t="n"/>
      <c r="P212" s="28" t="n"/>
      <c r="Q212" s="28" t="n"/>
    </row>
    <row r="213">
      <c r="B213" s="68" t="n">
        <v>8</v>
      </c>
      <c r="C213" s="23" t="inlineStr">
        <is>
          <t>Porción</t>
        </is>
      </c>
      <c r="D213" s="70" t="inlineStr">
        <is>
          <t>Sorrentinos carne mechada</t>
        </is>
      </c>
      <c r="E213" s="26" t="n"/>
      <c r="F213" s="26" t="n"/>
      <c r="G213" s="26" t="n"/>
      <c r="H213" s="26" t="n"/>
      <c r="I213" s="67" t="n"/>
      <c r="J213" s="210" t="n"/>
      <c r="K213" s="4" t="n"/>
      <c r="L213" s="4" t="n"/>
      <c r="M213" s="4" t="n"/>
      <c r="N213" s="4" t="n"/>
      <c r="O213" s="4" t="n"/>
      <c r="P213" s="4" t="n"/>
      <c r="Q213" s="4" t="n"/>
    </row>
    <row r="214">
      <c r="B214" s="68" t="n">
        <v>7</v>
      </c>
      <c r="C214" s="23" t="inlineStr">
        <is>
          <t>Porción</t>
        </is>
      </c>
      <c r="D214" s="70" t="inlineStr">
        <is>
          <t>Sorrentinos pulpo y salmón</t>
        </is>
      </c>
      <c r="E214" s="26" t="n"/>
      <c r="F214" s="26" t="n"/>
      <c r="G214" s="26" t="n"/>
      <c r="H214" s="26" t="n"/>
      <c r="I214" s="67" t="n"/>
      <c r="J214" s="210" t="n"/>
      <c r="K214" s="4" t="n"/>
      <c r="L214" s="4" t="n"/>
      <c r="M214" s="4" t="n"/>
      <c r="N214" s="4" t="n"/>
      <c r="O214" s="4" t="n"/>
      <c r="P214" s="4" t="n"/>
      <c r="Q214" s="4" t="n"/>
    </row>
    <row r="215">
      <c r="B215" s="68" t="n">
        <v>8</v>
      </c>
      <c r="C215" s="23" t="inlineStr">
        <is>
          <t>Porción</t>
        </is>
      </c>
      <c r="D215" s="25" t="inlineStr">
        <is>
          <t>Sorrentinos zapallo</t>
        </is>
      </c>
      <c r="E215" s="26" t="n"/>
      <c r="F215" s="26" t="n"/>
      <c r="G215" s="26" t="n"/>
      <c r="H215" s="26" t="n"/>
      <c r="I215" s="67" t="n"/>
      <c r="J215" s="210" t="n"/>
      <c r="K215" s="4" t="n"/>
      <c r="L215" s="4" t="n"/>
      <c r="M215" s="4" t="n"/>
      <c r="N215" s="4" t="n"/>
      <c r="O215" s="4" t="n"/>
      <c r="P215" s="4" t="n"/>
      <c r="Q215" s="4" t="n"/>
    </row>
    <row r="216" ht="13.5" customHeight="1" s="95" thickBot="1">
      <c r="B216" s="71" t="n">
        <v>1</v>
      </c>
      <c r="C216" s="75" t="inlineStr">
        <is>
          <t>Und</t>
        </is>
      </c>
      <c r="D216" s="174" t="inlineStr">
        <is>
          <t>Volcán de chocolate</t>
        </is>
      </c>
      <c r="E216" s="72" t="n"/>
      <c r="F216" s="72" t="n"/>
      <c r="G216" s="72" t="n"/>
      <c r="H216" s="72" t="n"/>
      <c r="I216" s="73" t="n"/>
      <c r="J216" s="210" t="n"/>
      <c r="K216" s="4" t="n"/>
      <c r="L216" s="4" t="n"/>
      <c r="M216" s="4" t="n"/>
      <c r="N216" s="4" t="n"/>
      <c r="O216" s="4" t="n"/>
      <c r="P216" s="4" t="n"/>
      <c r="Q216" s="4" t="n"/>
    </row>
    <row r="217">
      <c r="B217" s="4" t="n"/>
      <c r="C217" s="4" t="n"/>
      <c r="D217" s="4" t="n"/>
      <c r="E217" s="4" t="n"/>
      <c r="F217" s="4" t="n"/>
      <c r="G217" s="4" t="n"/>
      <c r="H217" s="4" t="n"/>
      <c r="I217" s="4" t="n"/>
      <c r="J217" s="5" t="n"/>
      <c r="K217" s="4" t="n"/>
      <c r="L217" s="4" t="n"/>
      <c r="M217" s="4" t="n"/>
      <c r="N217" s="4" t="n"/>
      <c r="O217" s="4" t="n"/>
      <c r="P217" s="4" t="n"/>
      <c r="Q217" s="4" t="n"/>
    </row>
    <row r="218" ht="13.5" customHeight="1" s="95" thickBot="1"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</row>
    <row r="219" ht="13.5" customHeight="1" s="95" thickBot="1">
      <c r="B219" s="4" t="n"/>
      <c r="C219" s="4" t="n"/>
      <c r="D219" s="317" t="inlineStr">
        <is>
          <t>ENTREGAS A COCINA/SALIDA DE BODEGA</t>
        </is>
      </c>
      <c r="E219" s="318" t="n"/>
      <c r="F219" s="319" t="n"/>
      <c r="G219" s="209" t="n"/>
      <c r="H219" s="209" t="n"/>
      <c r="I219" s="209" t="n"/>
      <c r="J219" s="4" t="n"/>
      <c r="K219" s="4" t="n"/>
      <c r="L219" s="4" t="n"/>
      <c r="M219" s="4" t="n"/>
      <c r="N219" s="4" t="n"/>
      <c r="O219" s="4" t="n"/>
      <c r="P219" s="4" t="n"/>
      <c r="Q219" s="4" t="n"/>
    </row>
    <row r="220" ht="13.5" customHeight="1" s="95" thickTop="1">
      <c r="B220" s="4" t="n"/>
      <c r="C220" s="4" t="n"/>
      <c r="D220" s="57" t="inlineStr">
        <is>
          <t>Ítem</t>
        </is>
      </c>
      <c r="E220" s="29" t="inlineStr">
        <is>
          <t>Cant.</t>
        </is>
      </c>
      <c r="F220" s="58" t="inlineStr">
        <is>
          <t>Medida</t>
        </is>
      </c>
      <c r="G220" s="209" t="inlineStr">
        <is>
          <t> </t>
        </is>
      </c>
      <c r="I220" s="209" t="n"/>
      <c r="J220" s="4" t="n"/>
      <c r="K220" s="4" t="n"/>
      <c r="L220" s="4" t="n"/>
      <c r="M220" s="4" t="n"/>
      <c r="N220" s="4" t="n"/>
      <c r="O220" s="4" t="n"/>
      <c r="P220" s="4" t="n"/>
      <c r="Q220" s="4" t="n"/>
    </row>
    <row r="221">
      <c r="B221" s="4" t="n"/>
      <c r="C221" s="4" t="n"/>
      <c r="D221" s="35" t="inlineStr">
        <is>
          <t>Atún Steak</t>
        </is>
      </c>
      <c r="E221" s="320" t="n"/>
      <c r="F221" s="59" t="inlineStr">
        <is>
          <t>Kg</t>
        </is>
      </c>
      <c r="G221" s="209" t="n"/>
      <c r="H221" s="209" t="n"/>
      <c r="I221" s="209" t="n"/>
      <c r="J221" s="209" t="n"/>
      <c r="K221" s="4" t="n"/>
      <c r="L221" s="4" t="n"/>
      <c r="M221" s="4" t="n"/>
      <c r="N221" s="4" t="n"/>
      <c r="O221" s="4" t="n"/>
      <c r="P221" s="4" t="n"/>
      <c r="Q221" s="4" t="n"/>
    </row>
    <row r="222">
      <c r="B222" s="4" t="n"/>
      <c r="C222" s="4" t="n"/>
      <c r="D222" s="35" t="inlineStr">
        <is>
          <t>Atún trozos</t>
        </is>
      </c>
      <c r="E222" s="320" t="n"/>
      <c r="F222" s="59" t="inlineStr">
        <is>
          <t>Kg</t>
        </is>
      </c>
      <c r="G222" s="209" t="n"/>
      <c r="H222" s="209" t="n"/>
      <c r="I222" s="209" t="n"/>
      <c r="J222" s="4" t="n"/>
      <c r="K222" s="4" t="n"/>
      <c r="L222" s="4" t="n"/>
      <c r="M222" s="4" t="n"/>
      <c r="N222" s="4" t="n"/>
      <c r="O222" s="4" t="n"/>
      <c r="P222" s="4" t="n"/>
      <c r="Q222" s="4" t="n"/>
    </row>
    <row r="223">
      <c r="B223" s="4" t="n"/>
      <c r="C223" s="4" t="n"/>
      <c r="D223" s="35" t="inlineStr">
        <is>
          <t>Carpaccio de res</t>
        </is>
      </c>
      <c r="E223" s="320" t="n"/>
      <c r="F223" s="59" t="inlineStr">
        <is>
          <t>Kg</t>
        </is>
      </c>
      <c r="G223" s="209" t="n"/>
      <c r="H223" s="209" t="n"/>
      <c r="I223" s="209" t="n"/>
      <c r="J223" s="4" t="n"/>
      <c r="K223" s="4" t="n"/>
      <c r="L223" s="4" t="n"/>
      <c r="M223" s="4" t="n"/>
      <c r="N223" s="4" t="n"/>
      <c r="O223" s="4" t="n"/>
      <c r="P223" s="4" t="n"/>
      <c r="Q223" s="4" t="n"/>
    </row>
    <row r="224">
      <c r="B224" s="4" t="n"/>
      <c r="C224" s="4" t="n"/>
      <c r="D224" s="35" t="inlineStr">
        <is>
          <t>Ceviche de reineta</t>
        </is>
      </c>
      <c r="E224" s="320" t="n"/>
      <c r="F224" s="59" t="inlineStr">
        <is>
          <t>Kg</t>
        </is>
      </c>
      <c r="G224" s="209" t="n"/>
      <c r="H224" s="209" t="n"/>
      <c r="I224" s="209" t="n"/>
      <c r="J224" s="4" t="n"/>
      <c r="K224" s="4" t="n"/>
      <c r="L224" s="4" t="n"/>
      <c r="M224" s="4" t="n"/>
      <c r="N224" s="4" t="n"/>
      <c r="O224" s="4" t="n"/>
      <c r="P224" s="4" t="n"/>
      <c r="Q224" s="4" t="n"/>
    </row>
    <row r="225">
      <c r="B225" s="4" t="n"/>
      <c r="C225" s="4" t="n"/>
      <c r="D225" s="35" t="inlineStr">
        <is>
          <t>Empanada Mechada</t>
        </is>
      </c>
      <c r="E225" s="320" t="n"/>
      <c r="F225" s="59" t="inlineStr">
        <is>
          <t>Und</t>
        </is>
      </c>
      <c r="G225" s="209" t="n"/>
      <c r="H225" s="209" t="n"/>
      <c r="I225" s="209" t="n"/>
      <c r="J225" s="4" t="n"/>
      <c r="K225" s="4" t="n"/>
      <c r="L225" s="4" t="n"/>
      <c r="M225" s="4" t="n"/>
      <c r="N225" s="4" t="n"/>
      <c r="O225" s="4" t="n"/>
      <c r="P225" s="4" t="n"/>
      <c r="Q225" s="4" t="n"/>
    </row>
    <row r="226">
      <c r="B226" s="4" t="n"/>
      <c r="C226" s="4" t="n"/>
      <c r="D226" s="151" t="inlineStr">
        <is>
          <t>Filete para churrasco</t>
        </is>
      </c>
      <c r="E226" s="320" t="n"/>
      <c r="F226" s="59" t="inlineStr">
        <is>
          <t>Kg</t>
        </is>
      </c>
      <c r="G226" s="209" t="n"/>
      <c r="H226" s="209" t="n"/>
      <c r="I226" s="209" t="n"/>
      <c r="J226" s="4" t="n"/>
      <c r="K226" s="4" t="n"/>
      <c r="L226" s="4" t="n"/>
      <c r="M226" s="4" t="n"/>
      <c r="N226" s="4" t="n"/>
      <c r="O226" s="4" t="n"/>
      <c r="P226" s="4" t="n"/>
      <c r="Q226" s="4" t="n"/>
    </row>
    <row r="227">
      <c r="B227" s="4" t="n"/>
      <c r="C227" s="4" t="n"/>
      <c r="D227" s="151" t="inlineStr">
        <is>
          <t>Filete para crudo</t>
        </is>
      </c>
      <c r="E227" s="320" t="n"/>
      <c r="F227" s="59" t="inlineStr">
        <is>
          <t>Kg</t>
        </is>
      </c>
      <c r="G227" s="209" t="n"/>
      <c r="H227" s="209" t="n"/>
      <c r="I227" s="209" t="n"/>
      <c r="J227" s="4" t="n"/>
      <c r="K227" s="4" t="n"/>
      <c r="L227" s="4" t="n"/>
      <c r="M227" s="4" t="n"/>
      <c r="N227" s="4" t="n"/>
      <c r="O227" s="4" t="n"/>
      <c r="P227" s="4" t="n"/>
      <c r="Q227" s="4" t="n"/>
    </row>
    <row r="228">
      <c r="B228" s="4" t="n"/>
      <c r="C228" s="4" t="n"/>
      <c r="D228" s="35" t="inlineStr">
        <is>
          <t>Filete salteado</t>
        </is>
      </c>
      <c r="E228" s="320" t="n"/>
      <c r="F228" s="59" t="inlineStr">
        <is>
          <t>Kg</t>
        </is>
      </c>
      <c r="G228" s="209" t="n"/>
      <c r="H228" s="209" t="n"/>
      <c r="I228" s="209" t="n"/>
      <c r="J228" s="4" t="n"/>
      <c r="K228" s="4" t="n"/>
      <c r="L228" s="4" t="n"/>
      <c r="M228" s="4" t="n"/>
      <c r="N228" s="4" t="n"/>
      <c r="O228" s="4" t="n"/>
      <c r="P228" s="4" t="n"/>
      <c r="Q228" s="4" t="n"/>
    </row>
    <row r="229">
      <c r="B229" s="4" t="n"/>
      <c r="C229" s="4" t="n"/>
      <c r="D229" s="97" t="inlineStr">
        <is>
          <t>Ganso</t>
        </is>
      </c>
      <c r="E229" s="320" t="n"/>
      <c r="F229" s="59" t="inlineStr">
        <is>
          <t>Kg</t>
        </is>
      </c>
      <c r="G229" s="209" t="n"/>
      <c r="H229" s="209" t="n"/>
      <c r="I229" s="209" t="n"/>
      <c r="J229" s="4" t="n"/>
      <c r="K229" s="4" t="n"/>
      <c r="L229" s="4" t="n"/>
      <c r="M229" s="4" t="n"/>
      <c r="N229" s="4" t="n"/>
      <c r="O229" s="4" t="n"/>
      <c r="P229" s="4" t="n"/>
      <c r="Q229" s="4" t="n"/>
    </row>
    <row r="230">
      <c r="B230" s="4" t="n"/>
      <c r="C230" s="4" t="n"/>
      <c r="D230" s="35" t="inlineStr">
        <is>
          <t>Granola Salada</t>
        </is>
      </c>
      <c r="E230" s="320" t="n"/>
      <c r="F230" s="59" t="inlineStr">
        <is>
          <t>Und</t>
        </is>
      </c>
      <c r="G230" s="209" t="n"/>
      <c r="H230" s="209" t="n"/>
      <c r="I230" s="209" t="n"/>
      <c r="J230" s="4" t="n"/>
      <c r="K230" s="4" t="n"/>
      <c r="L230" s="4" t="n"/>
      <c r="M230" s="4" t="n"/>
      <c r="N230" s="4" t="n"/>
      <c r="O230" s="4" t="n"/>
      <c r="P230" s="4" t="n"/>
      <c r="Q230" s="4" t="n"/>
    </row>
    <row r="231">
      <c r="B231" s="4" t="n"/>
      <c r="C231" s="4" t="n"/>
      <c r="D231" s="35" t="inlineStr">
        <is>
          <t>Hamburguesas</t>
        </is>
      </c>
      <c r="E231" s="320" t="n"/>
      <c r="F231" s="59" t="inlineStr">
        <is>
          <t>Kg</t>
        </is>
      </c>
      <c r="G231" s="209" t="n"/>
      <c r="H231" s="209" t="n"/>
      <c r="I231" s="209" t="n"/>
      <c r="J231" s="4" t="n"/>
      <c r="K231" s="4" t="n"/>
      <c r="L231" s="4" t="n"/>
      <c r="M231" s="4" t="n"/>
      <c r="N231" s="4" t="n"/>
      <c r="O231" s="4" t="n"/>
      <c r="P231" s="4" t="n"/>
      <c r="Q231" s="4" t="n"/>
    </row>
    <row r="232">
      <c r="B232" s="4" t="n"/>
      <c r="C232" s="4" t="n"/>
      <c r="D232" s="35" t="inlineStr">
        <is>
          <t>Jamón Serrano</t>
        </is>
      </c>
      <c r="E232" s="320" t="n"/>
      <c r="F232" s="59" t="inlineStr">
        <is>
          <t>Kg</t>
        </is>
      </c>
      <c r="G232" s="209" t="n"/>
      <c r="H232" s="209" t="n"/>
      <c r="I232" s="209" t="n"/>
      <c r="J232" s="4" t="n"/>
      <c r="K232" s="4" t="n"/>
      <c r="L232" s="4" t="n"/>
      <c r="M232" s="4" t="n"/>
      <c r="N232" s="4" t="n"/>
      <c r="O232" s="4" t="n"/>
      <c r="P232" s="4" t="n"/>
      <c r="Q232" s="4" t="n"/>
    </row>
    <row r="233">
      <c r="B233" s="4" t="n"/>
      <c r="C233" s="4" t="n"/>
      <c r="D233" s="35" t="inlineStr">
        <is>
          <t>Lomo liso</t>
        </is>
      </c>
      <c r="E233" s="320" t="n"/>
      <c r="F233" s="59" t="inlineStr">
        <is>
          <t>Kg</t>
        </is>
      </c>
      <c r="G233" s="209" t="n"/>
      <c r="H233" s="209" t="n"/>
      <c r="I233" s="209" t="n"/>
      <c r="J233" s="4" t="n"/>
      <c r="K233" s="4" t="n"/>
      <c r="L233" s="4" t="n"/>
      <c r="M233" s="4" t="n"/>
      <c r="N233" s="4" t="n"/>
      <c r="O233" s="4" t="n"/>
      <c r="P233" s="4" t="n"/>
      <c r="Q233" s="4" t="n"/>
    </row>
    <row r="234">
      <c r="B234" s="4" t="n"/>
      <c r="C234" s="4" t="n"/>
      <c r="D234" s="35" t="inlineStr">
        <is>
          <t>Plateada</t>
        </is>
      </c>
      <c r="E234" s="320" t="n"/>
      <c r="F234" s="59" t="inlineStr">
        <is>
          <t>Kg</t>
        </is>
      </c>
      <c r="G234" s="209" t="n"/>
      <c r="H234" s="209" t="n"/>
      <c r="I234" s="209" t="n"/>
      <c r="J234" s="4" t="n"/>
      <c r="K234" s="4" t="n"/>
      <c r="L234" s="4" t="n"/>
      <c r="M234" s="4" t="n"/>
      <c r="N234" s="4" t="n"/>
      <c r="O234" s="4" t="n"/>
      <c r="P234" s="4" t="n"/>
      <c r="Q234" s="4" t="n"/>
    </row>
    <row r="235">
      <c r="B235" s="4" t="n"/>
      <c r="C235" s="4" t="n"/>
      <c r="D235" s="35" t="inlineStr">
        <is>
          <t>Pulpo</t>
        </is>
      </c>
      <c r="E235" s="320" t="n"/>
      <c r="F235" s="59" t="inlineStr">
        <is>
          <t>Kg</t>
        </is>
      </c>
      <c r="G235" s="209" t="n"/>
      <c r="H235" s="209" t="n"/>
      <c r="I235" s="209" t="n"/>
      <c r="J235" s="4" t="n"/>
      <c r="K235" s="4" t="n"/>
      <c r="L235" s="4" t="n"/>
      <c r="M235" s="4" t="n"/>
      <c r="N235" s="4" t="n"/>
      <c r="O235" s="4" t="n"/>
      <c r="P235" s="4" t="n"/>
      <c r="Q235" s="4" t="n"/>
    </row>
    <row r="236">
      <c r="B236" s="4" t="n"/>
      <c r="C236" s="4" t="n"/>
      <c r="D236" s="35" t="inlineStr">
        <is>
          <t>Queso Mozzarella</t>
        </is>
      </c>
      <c r="E236" s="320" t="n"/>
      <c r="F236" s="59" t="inlineStr">
        <is>
          <t>Und</t>
        </is>
      </c>
      <c r="G236" s="209" t="n"/>
      <c r="H236" s="209" t="n"/>
      <c r="I236" s="209" t="n"/>
      <c r="J236" s="4" t="n"/>
      <c r="K236" s="4" t="n"/>
      <c r="L236" s="4" t="n"/>
      <c r="M236" s="4" t="n"/>
      <c r="N236" s="4" t="n"/>
      <c r="O236" s="4" t="n"/>
      <c r="P236" s="4" t="n"/>
      <c r="Q236" s="4" t="n"/>
    </row>
    <row r="237">
      <c r="B237" s="4" t="n"/>
      <c r="C237" s="4" t="n"/>
      <c r="D237" s="35" t="inlineStr">
        <is>
          <t>Salmón Ahumado en Caliente</t>
        </is>
      </c>
      <c r="E237" s="320" t="n"/>
      <c r="F237" s="59" t="inlineStr">
        <is>
          <t>Kg</t>
        </is>
      </c>
      <c r="G237" s="209" t="n"/>
      <c r="H237" s="209" t="n"/>
      <c r="I237" s="209" t="n"/>
      <c r="J237" s="4" t="n"/>
      <c r="K237" s="4" t="n"/>
      <c r="L237" s="4" t="n"/>
      <c r="M237" s="4" t="n"/>
      <c r="N237" s="4" t="n"/>
      <c r="O237" s="4" t="n"/>
      <c r="P237" s="4" t="n"/>
      <c r="Q237" s="4" t="n"/>
    </row>
    <row r="238">
      <c r="B238" s="4" t="n"/>
      <c r="C238" s="4" t="n"/>
      <c r="D238" s="60" t="inlineStr">
        <is>
          <t>Salmón cancato</t>
        </is>
      </c>
      <c r="E238" s="321" t="n"/>
      <c r="F238" s="61" t="inlineStr">
        <is>
          <t>Kg</t>
        </is>
      </c>
      <c r="G238" s="209" t="n"/>
      <c r="H238" s="209" t="n"/>
      <c r="I238" s="209" t="n"/>
      <c r="J238" s="4" t="n"/>
      <c r="K238" s="4" t="n"/>
      <c r="L238" s="4" t="n"/>
      <c r="M238" s="4" t="n"/>
      <c r="N238" s="4" t="n"/>
      <c r="O238" s="4" t="n"/>
      <c r="P238" s="4" t="n"/>
      <c r="Q238" s="4" t="n"/>
    </row>
    <row r="239">
      <c r="B239" s="4" t="n"/>
      <c r="C239" s="4" t="n"/>
      <c r="D239" s="60" t="inlineStr">
        <is>
          <t>Salmón fresco premium</t>
        </is>
      </c>
      <c r="E239" s="321" t="n"/>
      <c r="F239" s="61" t="inlineStr">
        <is>
          <t>Kg</t>
        </is>
      </c>
      <c r="G239" s="209" t="n"/>
      <c r="H239" s="209" t="n"/>
      <c r="I239" s="209" t="n"/>
      <c r="J239" s="4" t="n"/>
      <c r="K239" s="4" t="n"/>
      <c r="L239" s="4" t="n"/>
      <c r="M239" s="4" t="n"/>
      <c r="N239" s="4" t="n"/>
      <c r="O239" s="4" t="n"/>
      <c r="P239" s="4" t="n"/>
      <c r="Q239" s="4" t="n"/>
    </row>
    <row r="240">
      <c r="B240" s="4" t="n"/>
      <c r="C240" s="4" t="n"/>
      <c r="D240" s="35" t="inlineStr">
        <is>
          <t>Sorrentinos carne mechada</t>
        </is>
      </c>
      <c r="E240" s="321" t="n"/>
      <c r="F240" s="61" t="inlineStr">
        <is>
          <t>Porción</t>
        </is>
      </c>
      <c r="G240" s="209" t="n"/>
      <c r="H240" s="209" t="n"/>
      <c r="I240" s="209" t="n"/>
      <c r="J240" s="4" t="n"/>
      <c r="K240" s="4" t="n"/>
      <c r="L240" s="4" t="n"/>
      <c r="M240" s="4" t="n"/>
      <c r="N240" s="4" t="n"/>
      <c r="O240" s="4" t="n"/>
      <c r="P240" s="4" t="n"/>
      <c r="Q240" s="4" t="n"/>
    </row>
    <row r="241">
      <c r="B241" s="4" t="n"/>
      <c r="C241" s="4" t="n"/>
      <c r="D241" s="35" t="inlineStr">
        <is>
          <t>Sorrentinos pulpo y salmón</t>
        </is>
      </c>
      <c r="E241" s="321" t="n"/>
      <c r="F241" s="61" t="inlineStr">
        <is>
          <t>Porción</t>
        </is>
      </c>
      <c r="G241" s="209" t="n"/>
      <c r="H241" s="209" t="n"/>
      <c r="I241" s="209" t="n"/>
      <c r="J241" s="4" t="n"/>
      <c r="K241" s="4" t="n"/>
      <c r="L241" s="4" t="n"/>
      <c r="M241" s="4" t="n"/>
      <c r="N241" s="4" t="n"/>
      <c r="O241" s="4" t="n"/>
      <c r="P241" s="4" t="n"/>
      <c r="Q241" s="4" t="n"/>
    </row>
    <row r="242" ht="13.5" customHeight="1" s="95" thickBot="1">
      <c r="B242" s="4" t="n"/>
      <c r="C242" s="4" t="n"/>
      <c r="D242" s="62" t="inlineStr">
        <is>
          <t>Sorrentinos zapallo</t>
        </is>
      </c>
      <c r="E242" s="322" t="n"/>
      <c r="F242" s="64" t="inlineStr">
        <is>
          <t>Porción</t>
        </is>
      </c>
      <c r="G242" s="209" t="n"/>
      <c r="H242" s="209" t="n"/>
      <c r="I242" s="209" t="n"/>
      <c r="J242" s="4" t="n"/>
      <c r="K242" s="4" t="n"/>
      <c r="L242" s="4" t="n"/>
      <c r="M242" s="4" t="n"/>
      <c r="N242" s="4" t="n"/>
      <c r="O242" s="4" t="n"/>
      <c r="P242" s="4" t="n"/>
      <c r="Q242" s="4" t="n"/>
    </row>
    <row r="243">
      <c r="G243" s="209" t="n"/>
      <c r="H243" s="209" t="n"/>
      <c r="I243" s="209" t="n"/>
    </row>
    <row r="244" ht="13.5" customHeight="1" s="95" thickBot="1"/>
    <row r="245" ht="14.25" customHeight="1" s="95" thickBot="1" thickTop="1">
      <c r="D245" s="323" t="inlineStr">
        <is>
          <t xml:space="preserve">ENTREGAS DE PROTEINAS PARA PRODUCCIONES DE COCINA </t>
        </is>
      </c>
      <c r="E245" s="324" t="n"/>
      <c r="F245" s="324" t="n"/>
      <c r="G245" s="325" t="n"/>
    </row>
    <row r="246" ht="13.5" customHeight="1" s="95" thickBot="1">
      <c r="B246" s="211" t="n"/>
      <c r="C246" s="212" t="inlineStr">
        <is>
          <t>Medida</t>
        </is>
      </c>
      <c r="D246" s="101" t="inlineStr">
        <is>
          <t>Producto</t>
        </is>
      </c>
      <c r="E246" s="101" t="inlineStr">
        <is>
          <t>Cantidad</t>
        </is>
      </c>
      <c r="F246" s="101" t="inlineStr">
        <is>
          <t>Producto Final</t>
        </is>
      </c>
      <c r="G246" s="101" t="inlineStr">
        <is>
          <t>Medida</t>
        </is>
      </c>
      <c r="H246" s="142" t="inlineStr">
        <is>
          <t>Cantidad Producida</t>
        </is>
      </c>
      <c r="I246" s="326" t="n"/>
      <c r="J246" s="101" t="inlineStr">
        <is>
          <t>Mermas (Kg)</t>
        </is>
      </c>
      <c r="K246" s="102" t="inlineStr">
        <is>
          <t>Cant. Utilizada</t>
        </is>
      </c>
      <c r="L246" s="56" t="n"/>
    </row>
    <row r="247">
      <c r="B247" s="213" t="n"/>
      <c r="C247" s="214" t="inlineStr">
        <is>
          <t>Kg</t>
        </is>
      </c>
      <c r="D247" s="100" t="inlineStr">
        <is>
          <t>Despunte de pulpo</t>
        </is>
      </c>
      <c r="E247" s="99" t="n"/>
      <c r="F247" s="215" t="inlineStr">
        <is>
          <t>Empanadas de pulpo</t>
        </is>
      </c>
      <c r="G247" s="100" t="inlineStr">
        <is>
          <t>Pax</t>
        </is>
      </c>
      <c r="H247" s="327" t="n"/>
      <c r="I247" s="328" t="n"/>
      <c r="J247" s="263" t="n"/>
      <c r="K247" s="264" t="n"/>
      <c r="L247" s="213" t="n"/>
    </row>
    <row r="248">
      <c r="B248" s="213" t="n"/>
      <c r="C248" s="216" t="inlineStr">
        <is>
          <t>Kg</t>
        </is>
      </c>
      <c r="D248" s="220" t="inlineStr">
        <is>
          <t>Langostinos</t>
        </is>
      </c>
      <c r="E248" s="255" t="n"/>
      <c r="F248" s="218" t="inlineStr">
        <is>
          <t>Brocheta de Langostinos</t>
        </is>
      </c>
      <c r="G248" s="122" t="inlineStr">
        <is>
          <t>Pax</t>
        </is>
      </c>
      <c r="H248" s="255" t="n"/>
      <c r="I248" s="329" t="n"/>
      <c r="J248" s="265" t="n"/>
      <c r="K248" s="266" t="n"/>
      <c r="L248" s="209" t="n"/>
    </row>
    <row r="249">
      <c r="B249" s="213" t="n"/>
      <c r="C249" s="238" t="inlineStr">
        <is>
          <t>Und</t>
        </is>
      </c>
      <c r="D249" s="1" t="inlineStr">
        <is>
          <t>Locos</t>
        </is>
      </c>
      <c r="E249" s="330" t="n"/>
      <c r="F249" s="218" t="inlineStr">
        <is>
          <t>Loco tiradito</t>
        </is>
      </c>
      <c r="G249" s="220" t="inlineStr">
        <is>
          <t>Kg</t>
        </is>
      </c>
      <c r="H249" s="331" t="n"/>
      <c r="I249" s="329" t="n"/>
      <c r="J249" s="265" t="n"/>
      <c r="K249" s="266" t="n"/>
      <c r="L249" s="209" t="n"/>
    </row>
    <row r="250">
      <c r="B250" s="213" t="n"/>
      <c r="C250" s="216" t="inlineStr">
        <is>
          <t>Kg</t>
        </is>
      </c>
      <c r="D250" s="54" t="inlineStr">
        <is>
          <t>Merluza</t>
        </is>
      </c>
      <c r="E250" s="255" t="n"/>
      <c r="F250" s="122" t="inlineStr">
        <is>
          <t>Merluza Porcionada</t>
        </is>
      </c>
      <c r="G250" s="220" t="inlineStr">
        <is>
          <t>Kg</t>
        </is>
      </c>
      <c r="H250" s="332" t="n"/>
      <c r="I250" s="333" t="n"/>
      <c r="J250" s="265" t="n"/>
      <c r="K250" s="266" t="n"/>
      <c r="L250" s="209" t="n"/>
    </row>
    <row r="251">
      <c r="B251" s="213" t="n"/>
      <c r="C251" s="216" t="inlineStr">
        <is>
          <t>Kg</t>
        </is>
      </c>
      <c r="D251" s="1" t="inlineStr">
        <is>
          <t>Reineta</t>
        </is>
      </c>
      <c r="E251" s="255" t="n"/>
      <c r="F251" s="218" t="inlineStr">
        <is>
          <t>Ceviche de Reineta</t>
        </is>
      </c>
      <c r="G251" s="122" t="inlineStr">
        <is>
          <t>Kg</t>
        </is>
      </c>
      <c r="H251" s="255" t="n"/>
      <c r="I251" s="329" t="n"/>
      <c r="J251" s="265" t="n"/>
      <c r="K251" s="266" t="n"/>
      <c r="L251" s="209" t="n"/>
    </row>
    <row r="252">
      <c r="B252" s="213" t="n"/>
      <c r="C252" s="216" t="inlineStr">
        <is>
          <t>Kg</t>
        </is>
      </c>
      <c r="D252" s="1" t="inlineStr">
        <is>
          <t>Congrio</t>
        </is>
      </c>
      <c r="E252" s="255" t="n"/>
      <c r="F252" s="218" t="inlineStr">
        <is>
          <t>Congrio Porcionado</t>
        </is>
      </c>
      <c r="G252" s="122" t="inlineStr">
        <is>
          <t>Kg</t>
        </is>
      </c>
      <c r="H252" s="255" t="n"/>
      <c r="I252" s="329" t="n"/>
      <c r="J252" s="265" t="n"/>
      <c r="K252" s="266" t="n"/>
      <c r="L252" s="209" t="n"/>
    </row>
    <row r="253">
      <c r="B253" s="213" t="n"/>
      <c r="C253" s="216" t="inlineStr">
        <is>
          <t>Kg</t>
        </is>
      </c>
      <c r="D253" s="1" t="inlineStr">
        <is>
          <t>Mejillones</t>
        </is>
      </c>
      <c r="E253" s="255" t="n"/>
      <c r="F253" s="220" t="inlineStr">
        <is>
          <t>Mix Conchas</t>
        </is>
      </c>
      <c r="G253" s="122" t="inlineStr">
        <is>
          <t>Pax</t>
        </is>
      </c>
      <c r="H253" s="255" t="n"/>
      <c r="I253" s="334" t="n"/>
      <c r="J253" s="267" t="n"/>
      <c r="K253" s="268" t="n"/>
      <c r="L253" s="209" t="n"/>
    </row>
    <row r="254">
      <c r="B254" s="213" t="n"/>
      <c r="C254" s="216" t="inlineStr">
        <is>
          <t>Kg</t>
        </is>
      </c>
      <c r="D254" s="1" t="inlineStr">
        <is>
          <t>Almejas Julianas</t>
        </is>
      </c>
      <c r="E254" s="255" t="n"/>
      <c r="F254" s="316" t="n"/>
      <c r="G254" s="316" t="n"/>
      <c r="H254" s="335" t="n"/>
      <c r="I254" s="336" t="n"/>
      <c r="J254" s="267" t="n"/>
      <c r="K254" s="268" t="n"/>
      <c r="L254" s="209" t="n"/>
    </row>
    <row r="255">
      <c r="B255" s="213" t="n"/>
      <c r="C255" s="337" t="inlineStr">
        <is>
          <t>Kg</t>
        </is>
      </c>
      <c r="D255" s="338" t="inlineStr">
        <is>
          <t>Filete Despunte</t>
        </is>
      </c>
      <c r="E255" s="255" t="n"/>
      <c r="F255" s="222" t="inlineStr">
        <is>
          <t>Ragout Lasagna</t>
        </is>
      </c>
      <c r="G255" s="112" t="inlineStr">
        <is>
          <t>Kg</t>
        </is>
      </c>
      <c r="H255" s="255" t="n"/>
      <c r="I255" s="329" t="n"/>
      <c r="J255" s="269" t="n"/>
      <c r="K255" s="270" t="n"/>
      <c r="L255" s="209" t="n"/>
    </row>
    <row r="256">
      <c r="B256" s="213" t="n"/>
      <c r="C256" s="315" t="n"/>
      <c r="D256" s="316" t="n"/>
      <c r="E256" s="339" t="n"/>
      <c r="F256" s="222" t="inlineStr">
        <is>
          <t>Ragout Rigatoni</t>
        </is>
      </c>
      <c r="G256" s="112" t="inlineStr">
        <is>
          <t>Kg</t>
        </is>
      </c>
      <c r="H256" s="255" t="n"/>
      <c r="I256" s="329" t="n"/>
      <c r="J256" s="269" t="n"/>
      <c r="K256" s="270" t="n"/>
      <c r="L256" s="209" t="n"/>
    </row>
    <row r="257">
      <c r="B257" s="213" t="n"/>
      <c r="C257" s="224" t="inlineStr">
        <is>
          <t>Kg</t>
        </is>
      </c>
      <c r="D257" s="120" t="inlineStr">
        <is>
          <t>Ragout Lasagna</t>
        </is>
      </c>
      <c r="E257" s="251" t="n"/>
      <c r="F257" s="222" t="inlineStr">
        <is>
          <t>Lasagna Berenjenas</t>
        </is>
      </c>
      <c r="G257" s="112" t="inlineStr">
        <is>
          <t>Porcion</t>
        </is>
      </c>
      <c r="H257" s="255" t="n"/>
      <c r="I257" s="329" t="n"/>
      <c r="J257" s="269" t="n"/>
      <c r="K257" s="270" t="n"/>
      <c r="L257" s="209" t="n"/>
    </row>
    <row r="258" ht="13.5" customHeight="1" s="95" thickBot="1">
      <c r="B258" s="213" t="n"/>
      <c r="C258" s="225" t="inlineStr">
        <is>
          <t>Kg</t>
        </is>
      </c>
      <c r="D258" s="31" t="inlineStr">
        <is>
          <t>Salmón Ahumado en frío</t>
        </is>
      </c>
      <c r="E258" s="252" t="n"/>
      <c r="F258" s="226" t="inlineStr">
        <is>
          <t>Chupe</t>
        </is>
      </c>
      <c r="G258" s="32" t="inlineStr">
        <is>
          <t>Porcion</t>
        </is>
      </c>
      <c r="H258" s="261" t="n"/>
      <c r="I258" s="340" t="n"/>
      <c r="J258" s="271" t="n"/>
      <c r="K258" s="272" t="n"/>
      <c r="L258" s="209" t="n"/>
    </row>
    <row r="259" ht="13.5" customHeight="1" s="95" thickBot="1">
      <c r="C259" s="228" t="n"/>
    </row>
    <row r="260" ht="13.5" customHeight="1" s="95" thickBot="1">
      <c r="C260" s="228" t="n"/>
      <c r="D260" s="341" t="inlineStr">
        <is>
          <t>REGISTRO PRODUCCIONES PASTELERIA</t>
        </is>
      </c>
      <c r="E260" s="342" t="n"/>
      <c r="F260" s="48" t="n"/>
      <c r="H260" s="343" t="inlineStr">
        <is>
          <t>REGISTRO DE CHOCOLATES</t>
        </is>
      </c>
      <c r="I260" s="318" t="n"/>
      <c r="J260" s="318" t="n"/>
      <c r="K260" s="319" t="n"/>
    </row>
    <row r="261">
      <c r="B261" s="232" t="n"/>
      <c r="C261" s="233" t="inlineStr">
        <is>
          <t>Medida</t>
        </is>
      </c>
      <c r="D261" s="195" t="inlineStr">
        <is>
          <t>Producto</t>
        </is>
      </c>
      <c r="E261" s="234" t="inlineStr">
        <is>
          <t>Cantidad</t>
        </is>
      </c>
      <c r="F261" s="235" t="n"/>
      <c r="G261" s="233" t="inlineStr">
        <is>
          <t>Producto</t>
        </is>
      </c>
      <c r="H261" s="237" t="inlineStr">
        <is>
          <t>Cantidad Entregada</t>
        </is>
      </c>
      <c r="I261" s="300" t="n"/>
      <c r="J261" s="237" t="inlineStr">
        <is>
          <t>Cant. Utilizada</t>
        </is>
      </c>
      <c r="K261" s="234" t="inlineStr">
        <is>
          <t>Medida</t>
        </is>
      </c>
    </row>
    <row r="262">
      <c r="B262" s="235" t="n"/>
      <c r="C262" s="238" t="inlineStr">
        <is>
          <t>Und</t>
        </is>
      </c>
      <c r="D262" s="1" t="inlineStr">
        <is>
          <t>Cheesecake de Berries</t>
        </is>
      </c>
      <c r="E262" s="277" t="n"/>
      <c r="F262" s="235" t="n"/>
      <c r="G262" s="238" t="inlineStr">
        <is>
          <t>Choc. Blanco</t>
        </is>
      </c>
      <c r="H262" s="273" t="n"/>
      <c r="I262" s="329" t="n"/>
      <c r="J262" s="274" t="n"/>
      <c r="K262" s="239" t="n"/>
    </row>
    <row r="263">
      <c r="B263" s="235" t="n"/>
      <c r="C263" s="238" t="inlineStr">
        <is>
          <t>Und</t>
        </is>
      </c>
      <c r="D263" s="1" t="inlineStr">
        <is>
          <t>Cheesecake de Limón</t>
        </is>
      </c>
      <c r="E263" s="277" t="n"/>
      <c r="F263" s="235" t="n"/>
      <c r="G263" s="238" t="inlineStr">
        <is>
          <t>Choc. Leche</t>
        </is>
      </c>
      <c r="H263" s="273" t="n"/>
      <c r="I263" s="329" t="n"/>
      <c r="J263" s="274" t="n"/>
      <c r="K263" s="239" t="n"/>
    </row>
    <row r="264">
      <c r="B264" s="235" t="n"/>
      <c r="C264" s="238" t="inlineStr">
        <is>
          <t>Und</t>
        </is>
      </c>
      <c r="D264" s="18" t="inlineStr">
        <is>
          <t>Brownie Nutella</t>
        </is>
      </c>
      <c r="E264" s="277" t="n"/>
      <c r="F264" s="235" t="n"/>
      <c r="G264" s="238" t="inlineStr">
        <is>
          <t>Choc. Negro</t>
        </is>
      </c>
      <c r="H264" s="273" t="n"/>
      <c r="I264" s="329" t="n"/>
      <c r="J264" s="274" t="n"/>
      <c r="K264" s="239" t="n"/>
    </row>
    <row r="265">
      <c r="B265" s="235" t="n"/>
      <c r="C265" s="238" t="inlineStr">
        <is>
          <t>Und</t>
        </is>
      </c>
      <c r="D265" s="18" t="inlineStr">
        <is>
          <t>Brownie Vegano</t>
        </is>
      </c>
      <c r="E265" s="277" t="n"/>
      <c r="F265" s="235" t="n"/>
      <c r="G265" s="238" t="inlineStr">
        <is>
          <t>Neucober Cob.</t>
        </is>
      </c>
      <c r="H265" s="273" t="n"/>
      <c r="I265" s="329" t="n"/>
      <c r="J265" s="274" t="n"/>
      <c r="K265" s="239" t="n"/>
    </row>
    <row r="266">
      <c r="B266" s="235" t="n"/>
      <c r="C266" s="238" t="inlineStr">
        <is>
          <t>Und</t>
        </is>
      </c>
      <c r="D266" s="1" t="inlineStr">
        <is>
          <t>Flan de Caluga</t>
        </is>
      </c>
      <c r="E266" s="277" t="n"/>
      <c r="F266" s="235" t="n"/>
      <c r="G266" s="238" t="inlineStr">
        <is>
          <t>Sicao Cob.</t>
        </is>
      </c>
      <c r="H266" s="273" t="n"/>
      <c r="I266" s="329" t="n"/>
      <c r="J266" s="274" t="n"/>
      <c r="K266" s="239" t="n"/>
    </row>
    <row r="267" ht="13.5" customHeight="1" s="95" thickBot="1">
      <c r="B267" s="235" t="n"/>
      <c r="C267" s="238" t="inlineStr">
        <is>
          <t>Und</t>
        </is>
      </c>
      <c r="D267" s="1" t="inlineStr">
        <is>
          <t>Volcán de Chocolate</t>
        </is>
      </c>
      <c r="E267" s="277" t="n"/>
      <c r="F267" s="235" t="n"/>
      <c r="G267" s="242" t="inlineStr">
        <is>
          <t>Nutella</t>
        </is>
      </c>
      <c r="H267" s="275" t="n"/>
      <c r="I267" s="344" t="n"/>
      <c r="J267" s="276" t="n"/>
      <c r="K267" s="241" t="n"/>
    </row>
    <row r="268" ht="13.5" customHeight="1" s="95" thickBot="1">
      <c r="B268" s="235" t="n"/>
      <c r="C268" s="242" t="inlineStr">
        <is>
          <t>Und</t>
        </is>
      </c>
      <c r="D268" s="31" t="inlineStr">
        <is>
          <t>Discos de Chocolate</t>
        </is>
      </c>
      <c r="E268" s="278" t="n"/>
      <c r="F268" s="235" t="n"/>
    </row>
    <row r="271" ht="15" customHeight="1" s="95">
      <c r="B271" s="232" t="inlineStr">
        <is>
          <t>Código</t>
        </is>
      </c>
      <c r="C271" s="232" t="inlineStr">
        <is>
          <t>Descripción</t>
        </is>
      </c>
      <c r="I271" s="232" t="inlineStr">
        <is>
          <t>Imp. Bruto</t>
        </is>
      </c>
      <c r="J271" s="232" t="inlineStr">
        <is>
          <t>Imp. Neto</t>
        </is>
      </c>
      <c r="L271" s="232" t="inlineStr">
        <is>
          <t>Cantidad Vendida</t>
        </is>
      </c>
      <c r="Q271" s="232" t="inlineStr">
        <is>
          <t>Precio Medio</t>
        </is>
      </c>
      <c r="T271" s="232" t="inlineStr">
        <is>
          <t>Imp. Descontado</t>
        </is>
      </c>
      <c r="V271" s="232" t="inlineStr">
        <is>
          <t>Descuento Medio</t>
        </is>
      </c>
      <c r="AA271" s="232" t="inlineStr">
        <is>
          <t>Importe de Referencia</t>
        </is>
      </c>
      <c r="AD271" s="232" t="inlineStr">
        <is>
          <t>Ref %</t>
        </is>
      </c>
      <c r="AE271" s="232" t="inlineStr">
        <is>
          <t>Tot%</t>
        </is>
      </c>
    </row>
    <row r="272">
      <c r="B272" s="279" t="n"/>
      <c r="C272" s="280" t="n"/>
      <c r="D272" s="295" t="n"/>
      <c r="E272" s="295" t="n"/>
      <c r="F272" s="295" t="n"/>
      <c r="G272" s="282" t="n"/>
      <c r="H272" s="295" t="n"/>
      <c r="I272" s="295" t="n"/>
      <c r="J272" s="282" t="n"/>
      <c r="K272" s="345" t="n"/>
      <c r="L272" s="295" t="n"/>
      <c r="M272" s="346" t="n"/>
      <c r="N272" s="295" t="n"/>
      <c r="O272" s="285" t="n"/>
      <c r="P272" s="295" t="n"/>
      <c r="Q272" s="295" t="n"/>
      <c r="R272" s="282" t="n"/>
      <c r="S272" s="295" t="n"/>
      <c r="T272" s="295" t="n"/>
      <c r="U272" s="285" t="n"/>
      <c r="V272" s="295" t="n"/>
      <c r="W272" s="282" t="n"/>
      <c r="X272" s="295" t="n"/>
      <c r="Y272" s="295" t="n"/>
      <c r="Z272" s="295" t="n"/>
      <c r="AA272" s="295" t="n"/>
      <c r="AB272" s="285" t="n"/>
      <c r="AC272" s="295" t="n"/>
      <c r="AD272" s="295" t="n"/>
      <c r="AE272" s="286" t="n"/>
    </row>
    <row r="273">
      <c r="B273" s="287" t="n"/>
      <c r="C273" s="288" t="n"/>
      <c r="D273" s="295" t="n"/>
      <c r="E273" s="295" t="n"/>
      <c r="F273" s="295" t="n"/>
      <c r="G273" s="290" t="n"/>
      <c r="H273" s="295" t="n"/>
      <c r="I273" s="295" t="n"/>
      <c r="J273" s="290" t="n"/>
      <c r="K273" s="347" t="n"/>
      <c r="L273" s="295" t="n"/>
      <c r="M273" s="348" t="n"/>
      <c r="N273" s="295" t="n"/>
      <c r="O273" s="293" t="n"/>
      <c r="P273" s="295" t="n"/>
      <c r="Q273" s="295" t="n"/>
      <c r="R273" s="290" t="n"/>
      <c r="S273" s="295" t="n"/>
      <c r="T273" s="295" t="n"/>
      <c r="U273" s="293" t="n"/>
      <c r="V273" s="295" t="n"/>
      <c r="W273" s="290" t="n"/>
      <c r="X273" s="295" t="n"/>
      <c r="Y273" s="295" t="n"/>
      <c r="Z273" s="295" t="n"/>
      <c r="AA273" s="295" t="n"/>
      <c r="AB273" s="293" t="n"/>
      <c r="AC273" s="295" t="n"/>
      <c r="AD273" s="295" t="n"/>
      <c r="AE273" s="294" t="n"/>
    </row>
    <row r="274">
      <c r="B274" s="279" t="n"/>
      <c r="C274" s="280" t="n"/>
      <c r="D274" s="295" t="n"/>
      <c r="E274" s="295" t="n"/>
      <c r="F274" s="295" t="n"/>
      <c r="G274" s="282" t="n"/>
      <c r="H274" s="295" t="n"/>
      <c r="I274" s="295" t="n"/>
      <c r="J274" s="282" t="n"/>
      <c r="K274" s="345" t="n"/>
      <c r="L274" s="295" t="n"/>
      <c r="M274" s="346" t="n"/>
      <c r="N274" s="295" t="n"/>
      <c r="O274" s="285" t="n"/>
      <c r="P274" s="295" t="n"/>
      <c r="Q274" s="295" t="n"/>
      <c r="R274" s="282" t="n"/>
      <c r="S274" s="295" t="n"/>
      <c r="T274" s="295" t="n"/>
      <c r="U274" s="285" t="n"/>
      <c r="V274" s="295" t="n"/>
      <c r="W274" s="282" t="n"/>
      <c r="X274" s="295" t="n"/>
      <c r="Y274" s="295" t="n"/>
      <c r="Z274" s="295" t="n"/>
      <c r="AA274" s="295" t="n"/>
      <c r="AB274" s="285" t="n"/>
      <c r="AC274" s="295" t="n"/>
      <c r="AD274" s="295" t="n"/>
      <c r="AE274" s="286" t="n"/>
    </row>
    <row r="275">
      <c r="B275" s="287" t="n"/>
      <c r="C275" s="288" t="n"/>
      <c r="D275" s="295" t="n"/>
      <c r="E275" s="295" t="n"/>
      <c r="F275" s="295" t="n"/>
      <c r="G275" s="290" t="n"/>
      <c r="H275" s="295" t="n"/>
      <c r="I275" s="295" t="n"/>
      <c r="J275" s="290" t="n"/>
      <c r="K275" s="347" t="n"/>
      <c r="L275" s="295" t="n"/>
      <c r="M275" s="348" t="n"/>
      <c r="N275" s="295" t="n"/>
      <c r="O275" s="293" t="n"/>
      <c r="P275" s="295" t="n"/>
      <c r="Q275" s="295" t="n"/>
      <c r="R275" s="290" t="n"/>
      <c r="S275" s="295" t="n"/>
      <c r="T275" s="295" t="n"/>
      <c r="U275" s="293" t="n"/>
      <c r="V275" s="295" t="n"/>
      <c r="W275" s="290" t="n"/>
      <c r="X275" s="295" t="n"/>
      <c r="Y275" s="295" t="n"/>
      <c r="Z275" s="295" t="n"/>
      <c r="AA275" s="295" t="n"/>
      <c r="AB275" s="293" t="n"/>
      <c r="AC275" s="295" t="n"/>
      <c r="AD275" s="295" t="n"/>
      <c r="AE275" s="294" t="n"/>
    </row>
    <row r="276">
      <c r="B276" s="279" t="n"/>
      <c r="C276" s="280" t="n"/>
      <c r="D276" s="295" t="n"/>
      <c r="E276" s="295" t="n"/>
      <c r="F276" s="295" t="n"/>
      <c r="G276" s="282" t="n"/>
      <c r="H276" s="295" t="n"/>
      <c r="I276" s="295" t="n"/>
      <c r="J276" s="282" t="n"/>
      <c r="K276" s="345" t="n"/>
      <c r="L276" s="295" t="n"/>
      <c r="M276" s="346" t="n"/>
      <c r="N276" s="295" t="n"/>
      <c r="O276" s="285" t="n"/>
      <c r="P276" s="295" t="n"/>
      <c r="Q276" s="295" t="n"/>
      <c r="R276" s="282" t="n"/>
      <c r="S276" s="295" t="n"/>
      <c r="T276" s="295" t="n"/>
      <c r="U276" s="285" t="n"/>
      <c r="V276" s="295" t="n"/>
      <c r="W276" s="282" t="n"/>
      <c r="X276" s="295" t="n"/>
      <c r="Y276" s="295" t="n"/>
      <c r="Z276" s="295" t="n"/>
      <c r="AA276" s="295" t="n"/>
      <c r="AB276" s="285" t="n"/>
      <c r="AC276" s="295" t="n"/>
      <c r="AD276" s="295" t="n"/>
      <c r="AE276" s="286" t="n"/>
    </row>
    <row r="277">
      <c r="B277" s="287" t="n"/>
      <c r="C277" s="288" t="n"/>
      <c r="D277" s="295" t="n"/>
      <c r="E277" s="295" t="n"/>
      <c r="F277" s="295" t="n"/>
      <c r="G277" s="290" t="n"/>
      <c r="H277" s="295" t="n"/>
      <c r="I277" s="295" t="n"/>
      <c r="J277" s="290" t="n"/>
      <c r="K277" s="347" t="n"/>
      <c r="L277" s="295" t="n"/>
      <c r="M277" s="348" t="n"/>
      <c r="N277" s="295" t="n"/>
      <c r="O277" s="293" t="n"/>
      <c r="P277" s="295" t="n"/>
      <c r="Q277" s="295" t="n"/>
      <c r="R277" s="290" t="n"/>
      <c r="S277" s="295" t="n"/>
      <c r="T277" s="295" t="n"/>
      <c r="U277" s="293" t="n"/>
      <c r="V277" s="295" t="n"/>
      <c r="W277" s="290" t="n"/>
      <c r="X277" s="295" t="n"/>
      <c r="Y277" s="295" t="n"/>
      <c r="Z277" s="295" t="n"/>
      <c r="AA277" s="295" t="n"/>
      <c r="AB277" s="293" t="n"/>
      <c r="AC277" s="295" t="n"/>
      <c r="AD277" s="295" t="n"/>
      <c r="AE277" s="294" t="n"/>
    </row>
    <row r="278">
      <c r="B278" s="279" t="n"/>
      <c r="C278" s="280" t="n"/>
      <c r="D278" s="295" t="n"/>
      <c r="E278" s="295" t="n"/>
      <c r="F278" s="295" t="n"/>
      <c r="G278" s="282" t="n"/>
      <c r="H278" s="295" t="n"/>
      <c r="I278" s="295" t="n"/>
      <c r="J278" s="282" t="n"/>
      <c r="K278" s="345" t="n"/>
      <c r="L278" s="295" t="n"/>
      <c r="M278" s="346" t="n"/>
      <c r="N278" s="295" t="n"/>
      <c r="O278" s="285" t="n"/>
      <c r="P278" s="295" t="n"/>
      <c r="Q278" s="295" t="n"/>
      <c r="R278" s="282" t="n"/>
      <c r="S278" s="295" t="n"/>
      <c r="T278" s="295" t="n"/>
      <c r="U278" s="285" t="n"/>
      <c r="V278" s="295" t="n"/>
      <c r="W278" s="282" t="n"/>
      <c r="X278" s="295" t="n"/>
      <c r="Y278" s="295" t="n"/>
      <c r="Z278" s="295" t="n"/>
      <c r="AA278" s="295" t="n"/>
      <c r="AB278" s="285" t="n"/>
      <c r="AC278" s="295" t="n"/>
      <c r="AD278" s="295" t="n"/>
      <c r="AE278" s="286" t="n"/>
    </row>
    <row r="279">
      <c r="B279" s="287" t="n"/>
      <c r="C279" s="288" t="n"/>
      <c r="D279" s="295" t="n"/>
      <c r="E279" s="295" t="n"/>
      <c r="F279" s="295" t="n"/>
      <c r="G279" s="290" t="n"/>
      <c r="H279" s="295" t="n"/>
      <c r="I279" s="295" t="n"/>
      <c r="J279" s="290" t="n"/>
      <c r="K279" s="347" t="n"/>
      <c r="L279" s="295" t="n"/>
      <c r="M279" s="348" t="n"/>
      <c r="N279" s="295" t="n"/>
      <c r="O279" s="293" t="n"/>
      <c r="P279" s="295" t="n"/>
      <c r="Q279" s="295" t="n"/>
      <c r="R279" s="290" t="n"/>
      <c r="S279" s="295" t="n"/>
      <c r="T279" s="295" t="n"/>
      <c r="U279" s="293" t="n"/>
      <c r="V279" s="295" t="n"/>
      <c r="W279" s="290" t="n"/>
      <c r="X279" s="295" t="n"/>
      <c r="Y279" s="295" t="n"/>
      <c r="Z279" s="295" t="n"/>
      <c r="AA279" s="295" t="n"/>
      <c r="AB279" s="293" t="n"/>
      <c r="AC279" s="295" t="n"/>
      <c r="AD279" s="295" t="n"/>
      <c r="AE279" s="294" t="n"/>
    </row>
    <row r="280">
      <c r="B280" s="279" t="n"/>
      <c r="C280" s="280" t="n"/>
      <c r="D280" s="295" t="n"/>
      <c r="E280" s="295" t="n"/>
      <c r="F280" s="295" t="n"/>
      <c r="G280" s="282" t="n"/>
      <c r="H280" s="295" t="n"/>
      <c r="I280" s="295" t="n"/>
      <c r="J280" s="282" t="n"/>
      <c r="K280" s="345" t="n"/>
      <c r="L280" s="295" t="n"/>
      <c r="M280" s="346" t="n"/>
      <c r="N280" s="295" t="n"/>
      <c r="O280" s="285" t="n"/>
      <c r="P280" s="295" t="n"/>
      <c r="Q280" s="295" t="n"/>
      <c r="R280" s="282" t="n"/>
      <c r="S280" s="295" t="n"/>
      <c r="T280" s="295" t="n"/>
      <c r="U280" s="285" t="n"/>
      <c r="V280" s="295" t="n"/>
      <c r="W280" s="282" t="n"/>
      <c r="X280" s="295" t="n"/>
      <c r="Y280" s="295" t="n"/>
      <c r="Z280" s="295" t="n"/>
      <c r="AA280" s="295" t="n"/>
      <c r="AB280" s="285" t="n"/>
      <c r="AC280" s="295" t="n"/>
      <c r="AD280" s="295" t="n"/>
      <c r="AE280" s="286" t="n"/>
    </row>
    <row r="281">
      <c r="B281" s="287" t="n"/>
      <c r="C281" s="288" t="n"/>
      <c r="D281" s="295" t="n"/>
      <c r="E281" s="295" t="n"/>
      <c r="F281" s="295" t="n"/>
      <c r="G281" s="290" t="n"/>
      <c r="H281" s="295" t="n"/>
      <c r="I281" s="295" t="n"/>
      <c r="J281" s="290" t="n"/>
      <c r="K281" s="347" t="n"/>
      <c r="L281" s="295" t="n"/>
      <c r="M281" s="348" t="n"/>
      <c r="N281" s="295" t="n"/>
      <c r="O281" s="293" t="n"/>
      <c r="P281" s="295" t="n"/>
      <c r="Q281" s="295" t="n"/>
      <c r="R281" s="290" t="n"/>
      <c r="S281" s="295" t="n"/>
      <c r="T281" s="295" t="n"/>
      <c r="U281" s="293" t="n"/>
      <c r="V281" s="295" t="n"/>
      <c r="W281" s="290" t="n"/>
      <c r="X281" s="295" t="n"/>
      <c r="Y281" s="295" t="n"/>
      <c r="Z281" s="295" t="n"/>
      <c r="AA281" s="295" t="n"/>
      <c r="AB281" s="293" t="n"/>
      <c r="AC281" s="295" t="n"/>
      <c r="AD281" s="295" t="n"/>
      <c r="AE281" s="294" t="n"/>
    </row>
    <row r="282">
      <c r="B282" s="279" t="n"/>
      <c r="C282" s="280" t="n"/>
      <c r="D282" s="295" t="n"/>
      <c r="E282" s="295" t="n"/>
      <c r="F282" s="295" t="n"/>
      <c r="G282" s="282" t="n"/>
      <c r="H282" s="295" t="n"/>
      <c r="I282" s="295" t="n"/>
      <c r="J282" s="282" t="n"/>
      <c r="K282" s="345" t="n"/>
      <c r="L282" s="295" t="n"/>
      <c r="M282" s="346" t="n"/>
      <c r="N282" s="295" t="n"/>
      <c r="O282" s="285" t="n"/>
      <c r="P282" s="295" t="n"/>
      <c r="Q282" s="295" t="n"/>
      <c r="R282" s="282" t="n"/>
      <c r="S282" s="295" t="n"/>
      <c r="T282" s="295" t="n"/>
      <c r="U282" s="285" t="n"/>
      <c r="V282" s="295" t="n"/>
      <c r="W282" s="282" t="n"/>
      <c r="X282" s="295" t="n"/>
      <c r="Y282" s="295" t="n"/>
      <c r="Z282" s="295" t="n"/>
      <c r="AA282" s="295" t="n"/>
      <c r="AB282" s="285" t="n"/>
      <c r="AC282" s="295" t="n"/>
      <c r="AD282" s="295" t="n"/>
      <c r="AE282" s="286" t="n"/>
    </row>
    <row r="283">
      <c r="B283" s="287" t="n"/>
      <c r="C283" s="288" t="n"/>
      <c r="D283" s="295" t="n"/>
      <c r="E283" s="295" t="n"/>
      <c r="F283" s="295" t="n"/>
      <c r="G283" s="290" t="n"/>
      <c r="H283" s="295" t="n"/>
      <c r="I283" s="295" t="n"/>
      <c r="J283" s="290" t="n"/>
      <c r="K283" s="347" t="n"/>
      <c r="L283" s="295" t="n"/>
      <c r="M283" s="348" t="n"/>
      <c r="N283" s="295" t="n"/>
      <c r="O283" s="293" t="n"/>
      <c r="P283" s="295" t="n"/>
      <c r="Q283" s="295" t="n"/>
      <c r="R283" s="290" t="n"/>
      <c r="S283" s="295" t="n"/>
      <c r="T283" s="295" t="n"/>
      <c r="U283" s="293" t="n"/>
      <c r="V283" s="295" t="n"/>
      <c r="W283" s="290" t="n"/>
      <c r="X283" s="295" t="n"/>
      <c r="Y283" s="295" t="n"/>
      <c r="Z283" s="295" t="n"/>
      <c r="AA283" s="295" t="n"/>
      <c r="AB283" s="293" t="n"/>
      <c r="AC283" s="295" t="n"/>
      <c r="AD283" s="295" t="n"/>
      <c r="AE283" s="294" t="n"/>
    </row>
    <row r="284">
      <c r="B284" s="279" t="n"/>
      <c r="C284" s="280" t="n"/>
      <c r="D284" s="295" t="n"/>
      <c r="E284" s="295" t="n"/>
      <c r="F284" s="295" t="n"/>
      <c r="G284" s="282" t="n"/>
      <c r="H284" s="295" t="n"/>
      <c r="I284" s="295" t="n"/>
      <c r="J284" s="282" t="n"/>
      <c r="K284" s="345" t="n"/>
      <c r="L284" s="295" t="n"/>
      <c r="M284" s="346" t="n"/>
      <c r="N284" s="295" t="n"/>
      <c r="O284" s="285" t="n"/>
      <c r="P284" s="295" t="n"/>
      <c r="Q284" s="295" t="n"/>
      <c r="R284" s="282" t="n"/>
      <c r="S284" s="295" t="n"/>
      <c r="T284" s="295" t="n"/>
      <c r="U284" s="285" t="n"/>
      <c r="V284" s="295" t="n"/>
      <c r="W284" s="282" t="n"/>
      <c r="X284" s="295" t="n"/>
      <c r="Y284" s="295" t="n"/>
      <c r="Z284" s="295" t="n"/>
      <c r="AA284" s="295" t="n"/>
      <c r="AB284" s="285" t="n"/>
      <c r="AC284" s="295" t="n"/>
      <c r="AD284" s="295" t="n"/>
      <c r="AE284" s="286" t="n"/>
    </row>
    <row r="285">
      <c r="B285" s="287" t="n"/>
      <c r="C285" s="288" t="n"/>
      <c r="D285" s="295" t="n"/>
      <c r="E285" s="295" t="n"/>
      <c r="F285" s="295" t="n"/>
      <c r="G285" s="290" t="n"/>
      <c r="H285" s="295" t="n"/>
      <c r="I285" s="295" t="n"/>
      <c r="J285" s="290" t="n"/>
      <c r="K285" s="347" t="n"/>
      <c r="L285" s="295" t="n"/>
      <c r="M285" s="348" t="n"/>
      <c r="N285" s="295" t="n"/>
      <c r="O285" s="293" t="n"/>
      <c r="P285" s="295" t="n"/>
      <c r="Q285" s="295" t="n"/>
      <c r="R285" s="290" t="n"/>
      <c r="S285" s="295" t="n"/>
      <c r="T285" s="295" t="n"/>
      <c r="U285" s="293" t="n"/>
      <c r="V285" s="295" t="n"/>
      <c r="W285" s="290" t="n"/>
      <c r="X285" s="295" t="n"/>
      <c r="Y285" s="295" t="n"/>
      <c r="Z285" s="295" t="n"/>
      <c r="AA285" s="295" t="n"/>
      <c r="AB285" s="293" t="n"/>
      <c r="AC285" s="295" t="n"/>
      <c r="AD285" s="295" t="n"/>
      <c r="AE285" s="294" t="n"/>
    </row>
    <row r="286">
      <c r="B286" s="279" t="n"/>
      <c r="C286" s="280" t="n"/>
      <c r="D286" s="295" t="n"/>
      <c r="E286" s="295" t="n"/>
      <c r="F286" s="295" t="n"/>
      <c r="G286" s="282" t="n"/>
      <c r="H286" s="295" t="n"/>
      <c r="I286" s="295" t="n"/>
      <c r="J286" s="282" t="n"/>
      <c r="K286" s="345" t="n"/>
      <c r="L286" s="295" t="n"/>
      <c r="M286" s="346" t="n"/>
      <c r="N286" s="295" t="n"/>
      <c r="O286" s="285" t="n"/>
      <c r="P286" s="295" t="n"/>
      <c r="Q286" s="295" t="n"/>
      <c r="R286" s="282" t="n"/>
      <c r="S286" s="295" t="n"/>
      <c r="T286" s="295" t="n"/>
      <c r="U286" s="285" t="n"/>
      <c r="V286" s="295" t="n"/>
      <c r="W286" s="282" t="n"/>
      <c r="X286" s="295" t="n"/>
      <c r="Y286" s="295" t="n"/>
      <c r="Z286" s="295" t="n"/>
      <c r="AA286" s="295" t="n"/>
      <c r="AB286" s="285" t="n"/>
      <c r="AC286" s="295" t="n"/>
      <c r="AD286" s="295" t="n"/>
      <c r="AE286" s="286" t="n"/>
    </row>
    <row r="287">
      <c r="B287" s="287" t="n"/>
      <c r="C287" s="288" t="n"/>
      <c r="D287" s="295" t="n"/>
      <c r="E287" s="295" t="n"/>
      <c r="F287" s="295" t="n"/>
      <c r="G287" s="290" t="n"/>
      <c r="H287" s="295" t="n"/>
      <c r="I287" s="295" t="n"/>
      <c r="J287" s="290" t="n"/>
      <c r="K287" s="347" t="n"/>
      <c r="L287" s="295" t="n"/>
      <c r="M287" s="348" t="n"/>
      <c r="N287" s="295" t="n"/>
      <c r="O287" s="293" t="n"/>
      <c r="P287" s="295" t="n"/>
      <c r="Q287" s="295" t="n"/>
      <c r="R287" s="290" t="n"/>
      <c r="S287" s="295" t="n"/>
      <c r="T287" s="295" t="n"/>
      <c r="U287" s="293" t="n"/>
      <c r="V287" s="295" t="n"/>
      <c r="W287" s="290" t="n"/>
      <c r="X287" s="295" t="n"/>
      <c r="Y287" s="295" t="n"/>
      <c r="Z287" s="295" t="n"/>
      <c r="AA287" s="295" t="n"/>
      <c r="AB287" s="293" t="n"/>
      <c r="AC287" s="295" t="n"/>
      <c r="AD287" s="295" t="n"/>
      <c r="AE287" s="294" t="n"/>
    </row>
    <row r="288">
      <c r="B288" s="279" t="n"/>
      <c r="C288" s="280" t="n"/>
      <c r="D288" s="295" t="n"/>
      <c r="E288" s="295" t="n"/>
      <c r="F288" s="295" t="n"/>
      <c r="G288" s="282" t="n"/>
      <c r="H288" s="295" t="n"/>
      <c r="I288" s="295" t="n"/>
      <c r="J288" s="282" t="n"/>
      <c r="K288" s="345" t="n"/>
      <c r="L288" s="295" t="n"/>
      <c r="M288" s="346" t="n"/>
      <c r="N288" s="295" t="n"/>
      <c r="O288" s="285" t="n"/>
      <c r="P288" s="295" t="n"/>
      <c r="Q288" s="295" t="n"/>
      <c r="R288" s="282" t="n"/>
      <c r="S288" s="295" t="n"/>
      <c r="T288" s="295" t="n"/>
      <c r="U288" s="285" t="n"/>
      <c r="V288" s="295" t="n"/>
      <c r="W288" s="282" t="n"/>
      <c r="X288" s="295" t="n"/>
      <c r="Y288" s="295" t="n"/>
      <c r="Z288" s="295" t="n"/>
      <c r="AA288" s="295" t="n"/>
      <c r="AB288" s="285" t="n"/>
      <c r="AC288" s="295" t="n"/>
      <c r="AD288" s="295" t="n"/>
      <c r="AE288" s="286" t="n"/>
    </row>
    <row r="289">
      <c r="B289" s="287" t="n"/>
      <c r="C289" s="288" t="n"/>
      <c r="D289" s="295" t="n"/>
      <c r="E289" s="295" t="n"/>
      <c r="F289" s="295" t="n"/>
      <c r="G289" s="290" t="n"/>
      <c r="H289" s="295" t="n"/>
      <c r="I289" s="295" t="n"/>
      <c r="J289" s="290" t="n"/>
      <c r="K289" s="347" t="n"/>
      <c r="L289" s="295" t="n"/>
      <c r="M289" s="348" t="n"/>
      <c r="N289" s="295" t="n"/>
      <c r="O289" s="293" t="n"/>
      <c r="P289" s="295" t="n"/>
      <c r="Q289" s="295" t="n"/>
      <c r="R289" s="290" t="n"/>
      <c r="S289" s="295" t="n"/>
      <c r="T289" s="295" t="n"/>
      <c r="U289" s="293" t="n"/>
      <c r="V289" s="295" t="n"/>
      <c r="W289" s="290" t="n"/>
      <c r="X289" s="295" t="n"/>
      <c r="Y289" s="295" t="n"/>
      <c r="Z289" s="295" t="n"/>
      <c r="AA289" s="295" t="n"/>
      <c r="AB289" s="293" t="n"/>
      <c r="AC289" s="295" t="n"/>
      <c r="AD289" s="295" t="n"/>
      <c r="AE289" s="294" t="n"/>
    </row>
    <row r="290">
      <c r="B290" s="279" t="n"/>
      <c r="C290" s="280" t="n"/>
      <c r="D290" s="295" t="n"/>
      <c r="E290" s="295" t="n"/>
      <c r="F290" s="295" t="n"/>
      <c r="G290" s="282" t="n"/>
      <c r="H290" s="295" t="n"/>
      <c r="I290" s="295" t="n"/>
      <c r="J290" s="282" t="n"/>
      <c r="K290" s="345" t="n"/>
      <c r="L290" s="295" t="n"/>
      <c r="M290" s="346" t="n"/>
      <c r="N290" s="295" t="n"/>
      <c r="O290" s="285" t="n"/>
      <c r="P290" s="295" t="n"/>
      <c r="Q290" s="295" t="n"/>
      <c r="R290" s="282" t="n"/>
      <c r="S290" s="295" t="n"/>
      <c r="T290" s="295" t="n"/>
      <c r="U290" s="285" t="n"/>
      <c r="V290" s="295" t="n"/>
      <c r="W290" s="282" t="n"/>
      <c r="X290" s="295" t="n"/>
      <c r="Y290" s="295" t="n"/>
      <c r="Z290" s="295" t="n"/>
      <c r="AA290" s="295" t="n"/>
      <c r="AB290" s="285" t="n"/>
      <c r="AC290" s="295" t="n"/>
      <c r="AD290" s="295" t="n"/>
      <c r="AE290" s="286" t="n"/>
    </row>
    <row r="291">
      <c r="B291" s="287" t="n"/>
      <c r="C291" s="288" t="n"/>
      <c r="D291" s="295" t="n"/>
      <c r="E291" s="295" t="n"/>
      <c r="F291" s="295" t="n"/>
      <c r="G291" s="290" t="n"/>
      <c r="H291" s="295" t="n"/>
      <c r="I291" s="295" t="n"/>
      <c r="J291" s="290" t="n"/>
      <c r="K291" s="347" t="n"/>
      <c r="L291" s="295" t="n"/>
      <c r="M291" s="348" t="n"/>
      <c r="N291" s="295" t="n"/>
      <c r="O291" s="293" t="n"/>
      <c r="P291" s="295" t="n"/>
      <c r="Q291" s="295" t="n"/>
      <c r="R291" s="290" t="n"/>
      <c r="S291" s="295" t="n"/>
      <c r="T291" s="295" t="n"/>
      <c r="U291" s="293" t="n"/>
      <c r="V291" s="295" t="n"/>
      <c r="W291" s="290" t="n"/>
      <c r="X291" s="295" t="n"/>
      <c r="Y291" s="295" t="n"/>
      <c r="Z291" s="295" t="n"/>
      <c r="AA291" s="295" t="n"/>
      <c r="AB291" s="293" t="n"/>
      <c r="AC291" s="295" t="n"/>
      <c r="AD291" s="295" t="n"/>
      <c r="AE291" s="294" t="n"/>
    </row>
    <row r="292">
      <c r="B292" s="279" t="n"/>
      <c r="C292" s="280" t="n"/>
      <c r="D292" s="295" t="n"/>
      <c r="E292" s="295" t="n"/>
      <c r="F292" s="295" t="n"/>
      <c r="G292" s="282" t="n"/>
      <c r="H292" s="295" t="n"/>
      <c r="I292" s="295" t="n"/>
      <c r="J292" s="282" t="n"/>
      <c r="K292" s="345" t="n"/>
      <c r="L292" s="295" t="n"/>
      <c r="M292" s="346" t="n"/>
      <c r="N292" s="295" t="n"/>
      <c r="O292" s="285" t="n"/>
      <c r="P292" s="295" t="n"/>
      <c r="Q292" s="295" t="n"/>
      <c r="R292" s="282" t="n"/>
      <c r="S292" s="295" t="n"/>
      <c r="T292" s="295" t="n"/>
      <c r="U292" s="285" t="n"/>
      <c r="V292" s="295" t="n"/>
      <c r="W292" s="282" t="n"/>
      <c r="X292" s="295" t="n"/>
      <c r="Y292" s="295" t="n"/>
      <c r="Z292" s="295" t="n"/>
      <c r="AA292" s="295" t="n"/>
      <c r="AB292" s="285" t="n"/>
      <c r="AC292" s="295" t="n"/>
      <c r="AD292" s="295" t="n"/>
      <c r="AE292" s="286" t="n"/>
    </row>
    <row r="293">
      <c r="B293" s="287" t="n"/>
      <c r="C293" s="288" t="n"/>
      <c r="D293" s="295" t="n"/>
      <c r="E293" s="295" t="n"/>
      <c r="F293" s="295" t="n"/>
      <c r="G293" s="290" t="n"/>
      <c r="H293" s="295" t="n"/>
      <c r="I293" s="295" t="n"/>
      <c r="J293" s="290" t="n"/>
      <c r="K293" s="347" t="n"/>
      <c r="L293" s="295" t="n"/>
      <c r="M293" s="348" t="n"/>
      <c r="N293" s="295" t="n"/>
      <c r="O293" s="293" t="n"/>
      <c r="P293" s="295" t="n"/>
      <c r="Q293" s="295" t="n"/>
      <c r="R293" s="290" t="n"/>
      <c r="S293" s="295" t="n"/>
      <c r="T293" s="295" t="n"/>
      <c r="U293" s="293" t="n"/>
      <c r="V293" s="295" t="n"/>
      <c r="W293" s="290" t="n"/>
      <c r="X293" s="295" t="n"/>
      <c r="Y293" s="295" t="n"/>
      <c r="Z293" s="295" t="n"/>
      <c r="AA293" s="295" t="n"/>
      <c r="AB293" s="293" t="n"/>
      <c r="AC293" s="295" t="n"/>
      <c r="AD293" s="295" t="n"/>
      <c r="AE293" s="294" t="n"/>
    </row>
    <row r="294">
      <c r="B294" s="279" t="n"/>
      <c r="C294" s="280" t="n"/>
      <c r="D294" s="295" t="n"/>
      <c r="E294" s="295" t="n"/>
      <c r="F294" s="295" t="n"/>
      <c r="G294" s="282" t="n"/>
      <c r="H294" s="295" t="n"/>
      <c r="I294" s="295" t="n"/>
      <c r="J294" s="282" t="n"/>
      <c r="K294" s="345" t="n"/>
      <c r="L294" s="295" t="n"/>
      <c r="M294" s="346" t="n"/>
      <c r="N294" s="295" t="n"/>
      <c r="O294" s="285" t="n"/>
      <c r="P294" s="295" t="n"/>
      <c r="Q294" s="295" t="n"/>
      <c r="R294" s="282" t="n"/>
      <c r="S294" s="295" t="n"/>
      <c r="T294" s="295" t="n"/>
      <c r="U294" s="285" t="n"/>
      <c r="V294" s="295" t="n"/>
      <c r="W294" s="282" t="n"/>
      <c r="X294" s="295" t="n"/>
      <c r="Y294" s="295" t="n"/>
      <c r="Z294" s="295" t="n"/>
      <c r="AA294" s="295" t="n"/>
      <c r="AB294" s="285" t="n"/>
      <c r="AC294" s="295" t="n"/>
      <c r="AD294" s="295" t="n"/>
      <c r="AE294" s="286" t="n"/>
    </row>
    <row r="295">
      <c r="B295" s="287" t="n"/>
      <c r="C295" s="288" t="n"/>
      <c r="D295" s="295" t="n"/>
      <c r="E295" s="295" t="n"/>
      <c r="F295" s="295" t="n"/>
      <c r="G295" s="290" t="n"/>
      <c r="H295" s="295" t="n"/>
      <c r="I295" s="295" t="n"/>
      <c r="J295" s="290" t="n"/>
      <c r="K295" s="347" t="n"/>
      <c r="L295" s="295" t="n"/>
      <c r="M295" s="348" t="n"/>
      <c r="N295" s="295" t="n"/>
      <c r="O295" s="293" t="n"/>
      <c r="P295" s="295" t="n"/>
      <c r="Q295" s="295" t="n"/>
      <c r="R295" s="290" t="n"/>
      <c r="S295" s="295" t="n"/>
      <c r="T295" s="295" t="n"/>
      <c r="U295" s="293" t="n"/>
      <c r="V295" s="295" t="n"/>
      <c r="W295" s="290" t="n"/>
      <c r="X295" s="295" t="n"/>
      <c r="Y295" s="295" t="n"/>
      <c r="Z295" s="295" t="n"/>
      <c r="AA295" s="295" t="n"/>
      <c r="AB295" s="293" t="n"/>
      <c r="AC295" s="295" t="n"/>
      <c r="AD295" s="295" t="n"/>
      <c r="AE295" s="294" t="n"/>
    </row>
    <row r="296">
      <c r="B296" s="279" t="n"/>
      <c r="C296" s="280" t="n"/>
      <c r="D296" s="295" t="n"/>
      <c r="E296" s="295" t="n"/>
      <c r="F296" s="295" t="n"/>
      <c r="G296" s="282" t="n"/>
      <c r="H296" s="295" t="n"/>
      <c r="I296" s="295" t="n"/>
      <c r="J296" s="282" t="n"/>
      <c r="K296" s="345" t="n"/>
      <c r="L296" s="295" t="n"/>
      <c r="M296" s="346" t="n"/>
      <c r="N296" s="295" t="n"/>
      <c r="O296" s="285" t="n"/>
      <c r="P296" s="295" t="n"/>
      <c r="Q296" s="295" t="n"/>
      <c r="R296" s="282" t="n"/>
      <c r="S296" s="295" t="n"/>
      <c r="T296" s="295" t="n"/>
      <c r="U296" s="285" t="n"/>
      <c r="V296" s="295" t="n"/>
      <c r="W296" s="282" t="n"/>
      <c r="X296" s="295" t="n"/>
      <c r="Y296" s="295" t="n"/>
      <c r="Z296" s="295" t="n"/>
      <c r="AA296" s="295" t="n"/>
      <c r="AB296" s="285" t="n"/>
      <c r="AC296" s="295" t="n"/>
      <c r="AD296" s="295" t="n"/>
      <c r="AE296" s="286" t="n"/>
    </row>
    <row r="297">
      <c r="B297" s="287" t="n"/>
      <c r="C297" s="288" t="n"/>
      <c r="D297" s="295" t="n"/>
      <c r="E297" s="295" t="n"/>
      <c r="F297" s="295" t="n"/>
      <c r="G297" s="290" t="n"/>
      <c r="H297" s="295" t="n"/>
      <c r="I297" s="295" t="n"/>
      <c r="J297" s="290" t="n"/>
      <c r="K297" s="347" t="n"/>
      <c r="L297" s="295" t="n"/>
      <c r="M297" s="348" t="n"/>
      <c r="N297" s="295" t="n"/>
      <c r="O297" s="293" t="n"/>
      <c r="P297" s="295" t="n"/>
      <c r="Q297" s="295" t="n"/>
      <c r="R297" s="290" t="n"/>
      <c r="S297" s="295" t="n"/>
      <c r="T297" s="295" t="n"/>
      <c r="U297" s="293" t="n"/>
      <c r="V297" s="295" t="n"/>
      <c r="W297" s="290" t="n"/>
      <c r="X297" s="295" t="n"/>
      <c r="Y297" s="295" t="n"/>
      <c r="Z297" s="295" t="n"/>
      <c r="AA297" s="295" t="n"/>
      <c r="AB297" s="293" t="n"/>
      <c r="AC297" s="295" t="n"/>
      <c r="AD297" s="295" t="n"/>
      <c r="AE297" s="294" t="n"/>
    </row>
    <row r="298">
      <c r="B298" s="279" t="n"/>
      <c r="C298" s="280" t="n"/>
      <c r="D298" s="295" t="n"/>
      <c r="E298" s="295" t="n"/>
      <c r="F298" s="295" t="n"/>
      <c r="G298" s="282" t="n"/>
      <c r="H298" s="295" t="n"/>
      <c r="I298" s="295" t="n"/>
      <c r="J298" s="282" t="n"/>
      <c r="K298" s="345" t="n"/>
      <c r="L298" s="295" t="n"/>
      <c r="M298" s="346" t="n"/>
      <c r="N298" s="295" t="n"/>
      <c r="O298" s="285" t="n"/>
      <c r="P298" s="295" t="n"/>
      <c r="Q298" s="295" t="n"/>
      <c r="R298" s="282" t="n"/>
      <c r="S298" s="295" t="n"/>
      <c r="T298" s="295" t="n"/>
      <c r="U298" s="285" t="n"/>
      <c r="V298" s="295" t="n"/>
      <c r="W298" s="282" t="n"/>
      <c r="X298" s="295" t="n"/>
      <c r="Y298" s="295" t="n"/>
      <c r="Z298" s="295" t="n"/>
      <c r="AA298" s="295" t="n"/>
      <c r="AB298" s="285" t="n"/>
      <c r="AC298" s="295" t="n"/>
      <c r="AD298" s="295" t="n"/>
      <c r="AE298" s="286" t="n"/>
    </row>
    <row r="299">
      <c r="B299" s="287" t="n"/>
      <c r="C299" s="288" t="n"/>
      <c r="D299" s="295" t="n"/>
      <c r="E299" s="295" t="n"/>
      <c r="F299" s="295" t="n"/>
      <c r="G299" s="290" t="n"/>
      <c r="H299" s="295" t="n"/>
      <c r="I299" s="295" t="n"/>
      <c r="J299" s="290" t="n"/>
      <c r="K299" s="347" t="n"/>
      <c r="L299" s="295" t="n"/>
      <c r="M299" s="348" t="n"/>
      <c r="N299" s="295" t="n"/>
      <c r="O299" s="293" t="n"/>
      <c r="P299" s="295" t="n"/>
      <c r="Q299" s="295" t="n"/>
      <c r="R299" s="290" t="n"/>
      <c r="S299" s="295" t="n"/>
      <c r="T299" s="295" t="n"/>
      <c r="U299" s="293" t="n"/>
      <c r="V299" s="295" t="n"/>
      <c r="W299" s="290" t="n"/>
      <c r="X299" s="295" t="n"/>
      <c r="Y299" s="295" t="n"/>
      <c r="Z299" s="295" t="n"/>
      <c r="AA299" s="295" t="n"/>
      <c r="AB299" s="293" t="n"/>
      <c r="AC299" s="295" t="n"/>
      <c r="AD299" s="295" t="n"/>
      <c r="AE299" s="294" t="n"/>
    </row>
    <row r="300">
      <c r="B300" s="279" t="n"/>
      <c r="C300" s="280" t="n"/>
      <c r="D300" s="295" t="n"/>
      <c r="E300" s="295" t="n"/>
      <c r="F300" s="295" t="n"/>
      <c r="G300" s="282" t="n"/>
      <c r="H300" s="295" t="n"/>
      <c r="I300" s="295" t="n"/>
      <c r="J300" s="282" t="n"/>
      <c r="K300" s="345" t="n"/>
      <c r="L300" s="295" t="n"/>
      <c r="M300" s="346" t="n"/>
      <c r="N300" s="295" t="n"/>
      <c r="O300" s="285" t="n"/>
      <c r="P300" s="295" t="n"/>
      <c r="Q300" s="295" t="n"/>
      <c r="R300" s="282" t="n"/>
      <c r="S300" s="295" t="n"/>
      <c r="T300" s="295" t="n"/>
      <c r="U300" s="285" t="n"/>
      <c r="V300" s="295" t="n"/>
      <c r="W300" s="282" t="n"/>
      <c r="X300" s="295" t="n"/>
      <c r="Y300" s="295" t="n"/>
      <c r="Z300" s="295" t="n"/>
      <c r="AA300" s="295" t="n"/>
      <c r="AB300" s="285" t="n"/>
      <c r="AC300" s="295" t="n"/>
      <c r="AD300" s="295" t="n"/>
      <c r="AE300" s="286" t="n"/>
    </row>
    <row r="301">
      <c r="B301" s="287" t="n"/>
      <c r="C301" s="288" t="n"/>
      <c r="D301" s="295" t="n"/>
      <c r="E301" s="295" t="n"/>
      <c r="F301" s="295" t="n"/>
      <c r="G301" s="290" t="n"/>
      <c r="H301" s="295" t="n"/>
      <c r="I301" s="295" t="n"/>
      <c r="J301" s="290" t="n"/>
      <c r="K301" s="347" t="n"/>
      <c r="L301" s="295" t="n"/>
      <c r="M301" s="348" t="n"/>
      <c r="N301" s="295" t="n"/>
      <c r="O301" s="293" t="n"/>
      <c r="P301" s="295" t="n"/>
      <c r="Q301" s="295" t="n"/>
      <c r="R301" s="290" t="n"/>
      <c r="S301" s="295" t="n"/>
      <c r="T301" s="295" t="n"/>
      <c r="U301" s="293" t="n"/>
      <c r="V301" s="295" t="n"/>
      <c r="W301" s="290" t="n"/>
      <c r="X301" s="295" t="n"/>
      <c r="Y301" s="295" t="n"/>
      <c r="Z301" s="295" t="n"/>
      <c r="AA301" s="295" t="n"/>
      <c r="AB301" s="293" t="n"/>
      <c r="AC301" s="295" t="n"/>
      <c r="AD301" s="295" t="n"/>
      <c r="AE301" s="294" t="n"/>
    </row>
    <row r="302">
      <c r="B302" s="279" t="n"/>
      <c r="C302" s="280" t="n"/>
      <c r="D302" s="295" t="n"/>
      <c r="E302" s="295" t="n"/>
      <c r="F302" s="295" t="n"/>
      <c r="G302" s="282" t="n"/>
      <c r="H302" s="295" t="n"/>
      <c r="I302" s="295" t="n"/>
      <c r="J302" s="282" t="n"/>
      <c r="K302" s="345" t="n"/>
      <c r="L302" s="295" t="n"/>
      <c r="M302" s="346" t="n"/>
      <c r="N302" s="295" t="n"/>
      <c r="O302" s="285" t="n"/>
      <c r="P302" s="295" t="n"/>
      <c r="Q302" s="295" t="n"/>
      <c r="R302" s="282" t="n"/>
      <c r="S302" s="295" t="n"/>
      <c r="T302" s="295" t="n"/>
      <c r="U302" s="285" t="n"/>
      <c r="V302" s="295" t="n"/>
      <c r="W302" s="282" t="n"/>
      <c r="X302" s="295" t="n"/>
      <c r="Y302" s="295" t="n"/>
      <c r="Z302" s="295" t="n"/>
      <c r="AA302" s="295" t="n"/>
      <c r="AB302" s="285" t="n"/>
      <c r="AC302" s="295" t="n"/>
      <c r="AD302" s="295" t="n"/>
      <c r="AE302" s="286" t="n"/>
    </row>
    <row r="303">
      <c r="B303" s="287" t="n"/>
      <c r="C303" s="288" t="n"/>
      <c r="D303" s="295" t="n"/>
      <c r="E303" s="295" t="n"/>
      <c r="F303" s="295" t="n"/>
      <c r="G303" s="290" t="n"/>
      <c r="H303" s="295" t="n"/>
      <c r="I303" s="295" t="n"/>
      <c r="J303" s="290" t="n"/>
      <c r="K303" s="347" t="n"/>
      <c r="L303" s="295" t="n"/>
      <c r="M303" s="348" t="n"/>
      <c r="N303" s="295" t="n"/>
      <c r="O303" s="293" t="n"/>
      <c r="P303" s="295" t="n"/>
      <c r="Q303" s="295" t="n"/>
      <c r="R303" s="290" t="n"/>
      <c r="S303" s="295" t="n"/>
      <c r="T303" s="295" t="n"/>
      <c r="U303" s="293" t="n"/>
      <c r="V303" s="295" t="n"/>
      <c r="W303" s="290" t="n"/>
      <c r="X303" s="295" t="n"/>
      <c r="Y303" s="295" t="n"/>
      <c r="Z303" s="295" t="n"/>
      <c r="AA303" s="295" t="n"/>
      <c r="AB303" s="293" t="n"/>
      <c r="AC303" s="295" t="n"/>
      <c r="AD303" s="295" t="n"/>
      <c r="AE303" s="294" t="n"/>
    </row>
    <row r="304">
      <c r="B304" s="279" t="n"/>
      <c r="C304" s="280" t="n"/>
      <c r="D304" s="295" t="n"/>
      <c r="E304" s="295" t="n"/>
      <c r="F304" s="295" t="n"/>
      <c r="G304" s="282" t="n"/>
      <c r="H304" s="295" t="n"/>
      <c r="I304" s="295" t="n"/>
      <c r="J304" s="282" t="n"/>
      <c r="K304" s="345" t="n"/>
      <c r="L304" s="295" t="n"/>
      <c r="M304" s="346" t="n"/>
      <c r="N304" s="295" t="n"/>
      <c r="O304" s="285" t="n"/>
      <c r="P304" s="295" t="n"/>
      <c r="Q304" s="295" t="n"/>
      <c r="R304" s="282" t="n"/>
      <c r="S304" s="295" t="n"/>
      <c r="T304" s="295" t="n"/>
      <c r="U304" s="285" t="n"/>
      <c r="V304" s="295" t="n"/>
      <c r="W304" s="282" t="n"/>
      <c r="X304" s="295" t="n"/>
      <c r="Y304" s="295" t="n"/>
      <c r="Z304" s="295" t="n"/>
      <c r="AA304" s="295" t="n"/>
      <c r="AB304" s="285" t="n"/>
      <c r="AC304" s="295" t="n"/>
      <c r="AD304" s="295" t="n"/>
      <c r="AE304" s="286" t="n"/>
    </row>
    <row r="305">
      <c r="B305" s="287" t="n"/>
      <c r="C305" s="288" t="n"/>
      <c r="D305" s="295" t="n"/>
      <c r="E305" s="295" t="n"/>
      <c r="F305" s="295" t="n"/>
      <c r="G305" s="290" t="n"/>
      <c r="H305" s="295" t="n"/>
      <c r="I305" s="295" t="n"/>
      <c r="J305" s="290" t="n"/>
      <c r="K305" s="347" t="n"/>
      <c r="L305" s="295" t="n"/>
      <c r="M305" s="348" t="n"/>
      <c r="N305" s="295" t="n"/>
      <c r="O305" s="293" t="n"/>
      <c r="P305" s="295" t="n"/>
      <c r="Q305" s="295" t="n"/>
      <c r="R305" s="290" t="n"/>
      <c r="S305" s="295" t="n"/>
      <c r="T305" s="295" t="n"/>
      <c r="U305" s="293" t="n"/>
      <c r="V305" s="295" t="n"/>
      <c r="W305" s="290" t="n"/>
      <c r="X305" s="295" t="n"/>
      <c r="Y305" s="295" t="n"/>
      <c r="Z305" s="295" t="n"/>
      <c r="AA305" s="295" t="n"/>
      <c r="AB305" s="293" t="n"/>
      <c r="AC305" s="295" t="n"/>
      <c r="AD305" s="295" t="n"/>
      <c r="AE305" s="294" t="n"/>
    </row>
    <row r="306">
      <c r="B306" s="279" t="n"/>
      <c r="C306" s="280" t="n"/>
      <c r="D306" s="295" t="n"/>
      <c r="E306" s="295" t="n"/>
      <c r="F306" s="295" t="n"/>
      <c r="G306" s="282" t="n"/>
      <c r="H306" s="295" t="n"/>
      <c r="I306" s="295" t="n"/>
      <c r="J306" s="282" t="n"/>
      <c r="K306" s="345" t="n"/>
      <c r="L306" s="295" t="n"/>
      <c r="M306" s="346" t="n"/>
      <c r="N306" s="295" t="n"/>
      <c r="O306" s="285" t="n"/>
      <c r="P306" s="295" t="n"/>
      <c r="Q306" s="295" t="n"/>
      <c r="R306" s="282" t="n"/>
      <c r="S306" s="295" t="n"/>
      <c r="T306" s="295" t="n"/>
      <c r="U306" s="285" t="n"/>
      <c r="V306" s="295" t="n"/>
      <c r="W306" s="282" t="n"/>
      <c r="X306" s="295" t="n"/>
      <c r="Y306" s="295" t="n"/>
      <c r="Z306" s="295" t="n"/>
      <c r="AA306" s="295" t="n"/>
      <c r="AB306" s="285" t="n"/>
      <c r="AC306" s="295" t="n"/>
      <c r="AD306" s="295" t="n"/>
      <c r="AE306" s="286" t="n"/>
    </row>
    <row r="307">
      <c r="B307" s="287" t="n"/>
      <c r="C307" s="288" t="n"/>
      <c r="D307" s="295" t="n"/>
      <c r="E307" s="295" t="n"/>
      <c r="F307" s="295" t="n"/>
      <c r="G307" s="290" t="n"/>
      <c r="H307" s="295" t="n"/>
      <c r="I307" s="295" t="n"/>
      <c r="J307" s="290" t="n"/>
      <c r="K307" s="347" t="n"/>
      <c r="L307" s="295" t="n"/>
      <c r="M307" s="348" t="n"/>
      <c r="N307" s="295" t="n"/>
      <c r="O307" s="293" t="n"/>
      <c r="P307" s="295" t="n"/>
      <c r="Q307" s="295" t="n"/>
      <c r="R307" s="290" t="n"/>
      <c r="S307" s="295" t="n"/>
      <c r="T307" s="295" t="n"/>
      <c r="U307" s="293" t="n"/>
      <c r="V307" s="295" t="n"/>
      <c r="W307" s="290" t="n"/>
      <c r="X307" s="295" t="n"/>
      <c r="Y307" s="295" t="n"/>
      <c r="Z307" s="295" t="n"/>
      <c r="AA307" s="295" t="n"/>
      <c r="AB307" s="293" t="n"/>
      <c r="AC307" s="295" t="n"/>
      <c r="AD307" s="295" t="n"/>
      <c r="AE307" s="294" t="n"/>
    </row>
    <row r="308">
      <c r="B308" s="279" t="n"/>
      <c r="C308" s="280" t="n"/>
      <c r="D308" s="295" t="n"/>
      <c r="E308" s="295" t="n"/>
      <c r="F308" s="295" t="n"/>
      <c r="G308" s="282" t="n"/>
      <c r="H308" s="295" t="n"/>
      <c r="I308" s="295" t="n"/>
      <c r="J308" s="282" t="n"/>
      <c r="K308" s="345" t="n"/>
      <c r="L308" s="295" t="n"/>
      <c r="M308" s="346" t="n"/>
      <c r="N308" s="295" t="n"/>
      <c r="O308" s="285" t="n"/>
      <c r="P308" s="295" t="n"/>
      <c r="Q308" s="295" t="n"/>
      <c r="R308" s="282" t="n"/>
      <c r="S308" s="295" t="n"/>
      <c r="T308" s="295" t="n"/>
      <c r="U308" s="285" t="n"/>
      <c r="V308" s="295" t="n"/>
      <c r="W308" s="282" t="n"/>
      <c r="X308" s="295" t="n"/>
      <c r="Y308" s="295" t="n"/>
      <c r="Z308" s="295" t="n"/>
      <c r="AA308" s="295" t="n"/>
      <c r="AB308" s="285" t="n"/>
      <c r="AC308" s="295" t="n"/>
      <c r="AD308" s="295" t="n"/>
      <c r="AE308" s="286" t="n"/>
    </row>
    <row r="309">
      <c r="B309" s="287" t="n"/>
      <c r="C309" s="288" t="n"/>
      <c r="D309" s="295" t="n"/>
      <c r="E309" s="295" t="n"/>
      <c r="F309" s="295" t="n"/>
      <c r="G309" s="290" t="n"/>
      <c r="H309" s="295" t="n"/>
      <c r="I309" s="295" t="n"/>
      <c r="J309" s="290" t="n"/>
      <c r="K309" s="347" t="n"/>
      <c r="L309" s="295" t="n"/>
      <c r="M309" s="348" t="n"/>
      <c r="N309" s="295" t="n"/>
      <c r="O309" s="293" t="n"/>
      <c r="P309" s="295" t="n"/>
      <c r="Q309" s="295" t="n"/>
      <c r="R309" s="290" t="n"/>
      <c r="S309" s="295" t="n"/>
      <c r="T309" s="295" t="n"/>
      <c r="U309" s="293" t="n"/>
      <c r="V309" s="295" t="n"/>
      <c r="W309" s="290" t="n"/>
      <c r="X309" s="295" t="n"/>
      <c r="Y309" s="295" t="n"/>
      <c r="Z309" s="295" t="n"/>
      <c r="AA309" s="295" t="n"/>
      <c r="AB309" s="293" t="n"/>
      <c r="AC309" s="295" t="n"/>
      <c r="AD309" s="295" t="n"/>
      <c r="AE309" s="294" t="n"/>
    </row>
    <row r="310">
      <c r="B310" s="279" t="n"/>
      <c r="C310" s="280" t="n"/>
      <c r="D310" s="295" t="n"/>
      <c r="E310" s="295" t="n"/>
      <c r="F310" s="295" t="n"/>
      <c r="G310" s="282" t="n"/>
      <c r="H310" s="295" t="n"/>
      <c r="I310" s="295" t="n"/>
      <c r="J310" s="282" t="n"/>
      <c r="K310" s="345" t="n"/>
      <c r="L310" s="295" t="n"/>
      <c r="M310" s="346" t="n"/>
      <c r="N310" s="295" t="n"/>
      <c r="O310" s="285" t="n"/>
      <c r="P310" s="295" t="n"/>
      <c r="Q310" s="295" t="n"/>
      <c r="R310" s="282" t="n"/>
      <c r="S310" s="295" t="n"/>
      <c r="T310" s="295" t="n"/>
      <c r="U310" s="285" t="n"/>
      <c r="V310" s="295" t="n"/>
      <c r="W310" s="282" t="n"/>
      <c r="X310" s="295" t="n"/>
      <c r="Y310" s="295" t="n"/>
      <c r="Z310" s="295" t="n"/>
      <c r="AA310" s="295" t="n"/>
      <c r="AB310" s="285" t="n"/>
      <c r="AC310" s="295" t="n"/>
      <c r="AD310" s="295" t="n"/>
      <c r="AE310" s="286" t="n"/>
    </row>
    <row r="311">
      <c r="B311" s="287" t="n"/>
      <c r="C311" s="288" t="n"/>
      <c r="D311" s="295" t="n"/>
      <c r="E311" s="295" t="n"/>
      <c r="F311" s="295" t="n"/>
      <c r="G311" s="290" t="n"/>
      <c r="H311" s="295" t="n"/>
      <c r="I311" s="295" t="n"/>
      <c r="J311" s="290" t="n"/>
      <c r="K311" s="347" t="n"/>
      <c r="L311" s="295" t="n"/>
      <c r="M311" s="348" t="n"/>
      <c r="N311" s="295" t="n"/>
      <c r="O311" s="293" t="n"/>
      <c r="P311" s="295" t="n"/>
      <c r="Q311" s="295" t="n"/>
      <c r="R311" s="290" t="n"/>
      <c r="S311" s="295" t="n"/>
      <c r="T311" s="295" t="n"/>
      <c r="U311" s="293" t="n"/>
      <c r="V311" s="295" t="n"/>
      <c r="W311" s="290" t="n"/>
      <c r="X311" s="295" t="n"/>
      <c r="Y311" s="295" t="n"/>
      <c r="Z311" s="295" t="n"/>
      <c r="AA311" s="295" t="n"/>
      <c r="AB311" s="293" t="n"/>
      <c r="AC311" s="295" t="n"/>
      <c r="AD311" s="295" t="n"/>
      <c r="AE311" s="294" t="n"/>
    </row>
    <row r="312">
      <c r="B312" s="279" t="n"/>
      <c r="C312" s="280" t="n"/>
      <c r="D312" s="295" t="n"/>
      <c r="E312" s="295" t="n"/>
      <c r="F312" s="295" t="n"/>
      <c r="G312" s="282" t="n"/>
      <c r="H312" s="295" t="n"/>
      <c r="I312" s="295" t="n"/>
      <c r="J312" s="282" t="n"/>
      <c r="K312" s="345" t="n"/>
      <c r="L312" s="295" t="n"/>
      <c r="M312" s="346" t="n"/>
      <c r="N312" s="295" t="n"/>
      <c r="O312" s="285" t="n"/>
      <c r="P312" s="295" t="n"/>
      <c r="Q312" s="295" t="n"/>
      <c r="R312" s="282" t="n"/>
      <c r="S312" s="295" t="n"/>
      <c r="T312" s="295" t="n"/>
      <c r="U312" s="285" t="n"/>
      <c r="V312" s="295" t="n"/>
      <c r="W312" s="282" t="n"/>
      <c r="X312" s="295" t="n"/>
      <c r="Y312" s="295" t="n"/>
      <c r="Z312" s="295" t="n"/>
      <c r="AA312" s="295" t="n"/>
      <c r="AB312" s="285" t="n"/>
      <c r="AC312" s="295" t="n"/>
      <c r="AD312" s="295" t="n"/>
      <c r="AE312" s="286" t="n"/>
    </row>
    <row r="313">
      <c r="B313" s="287" t="n"/>
      <c r="C313" s="288" t="n"/>
      <c r="D313" s="295" t="n"/>
      <c r="E313" s="295" t="n"/>
      <c r="F313" s="295" t="n"/>
      <c r="G313" s="290" t="n"/>
      <c r="H313" s="295" t="n"/>
      <c r="I313" s="295" t="n"/>
      <c r="J313" s="290" t="n"/>
      <c r="K313" s="347" t="n"/>
      <c r="L313" s="295" t="n"/>
      <c r="M313" s="348" t="n"/>
      <c r="N313" s="295" t="n"/>
      <c r="O313" s="293" t="n"/>
      <c r="P313" s="295" t="n"/>
      <c r="Q313" s="295" t="n"/>
      <c r="R313" s="290" t="n"/>
      <c r="S313" s="295" t="n"/>
      <c r="T313" s="295" t="n"/>
      <c r="U313" s="293" t="n"/>
      <c r="V313" s="295" t="n"/>
      <c r="W313" s="290" t="n"/>
      <c r="X313" s="295" t="n"/>
      <c r="Y313" s="295" t="n"/>
      <c r="Z313" s="295" t="n"/>
      <c r="AA313" s="295" t="n"/>
      <c r="AB313" s="293" t="n"/>
      <c r="AC313" s="295" t="n"/>
      <c r="AD313" s="295" t="n"/>
      <c r="AE313" s="294" t="n"/>
    </row>
    <row r="314">
      <c r="B314" s="279" t="n"/>
      <c r="C314" s="280" t="n"/>
      <c r="D314" s="295" t="n"/>
      <c r="E314" s="295" t="n"/>
      <c r="F314" s="295" t="n"/>
      <c r="G314" s="282" t="n"/>
      <c r="H314" s="295" t="n"/>
      <c r="I314" s="295" t="n"/>
      <c r="J314" s="282" t="n"/>
      <c r="K314" s="345" t="n"/>
      <c r="L314" s="295" t="n"/>
      <c r="M314" s="346" t="n"/>
      <c r="N314" s="295" t="n"/>
      <c r="O314" s="285" t="n"/>
      <c r="P314" s="295" t="n"/>
      <c r="Q314" s="295" t="n"/>
      <c r="R314" s="282" t="n"/>
      <c r="S314" s="295" t="n"/>
      <c r="T314" s="295" t="n"/>
      <c r="U314" s="285" t="n"/>
      <c r="V314" s="295" t="n"/>
      <c r="W314" s="282" t="n"/>
      <c r="X314" s="295" t="n"/>
      <c r="Y314" s="295" t="n"/>
      <c r="Z314" s="295" t="n"/>
      <c r="AA314" s="295" t="n"/>
      <c r="AB314" s="285" t="n"/>
      <c r="AC314" s="295" t="n"/>
      <c r="AD314" s="295" t="n"/>
      <c r="AE314" s="286" t="n"/>
    </row>
    <row r="315">
      <c r="B315" s="287" t="n"/>
      <c r="C315" s="288" t="n"/>
      <c r="D315" s="295" t="n"/>
      <c r="E315" s="295" t="n"/>
      <c r="F315" s="295" t="n"/>
      <c r="G315" s="290" t="n"/>
      <c r="H315" s="295" t="n"/>
      <c r="I315" s="295" t="n"/>
      <c r="J315" s="290" t="n"/>
      <c r="K315" s="347" t="n"/>
      <c r="L315" s="295" t="n"/>
      <c r="M315" s="348" t="n"/>
      <c r="N315" s="295" t="n"/>
      <c r="O315" s="293" t="n"/>
      <c r="P315" s="295" t="n"/>
      <c r="Q315" s="295" t="n"/>
      <c r="R315" s="290" t="n"/>
      <c r="S315" s="295" t="n"/>
      <c r="T315" s="295" t="n"/>
      <c r="U315" s="293" t="n"/>
      <c r="V315" s="295" t="n"/>
      <c r="W315" s="290" t="n"/>
      <c r="X315" s="295" t="n"/>
      <c r="Y315" s="295" t="n"/>
      <c r="Z315" s="295" t="n"/>
      <c r="AA315" s="295" t="n"/>
      <c r="AB315" s="293" t="n"/>
      <c r="AC315" s="295" t="n"/>
      <c r="AD315" s="295" t="n"/>
      <c r="AE315" s="294" t="n"/>
    </row>
    <row r="316">
      <c r="B316" s="279" t="n"/>
      <c r="C316" s="280" t="n"/>
      <c r="D316" s="295" t="n"/>
      <c r="E316" s="295" t="n"/>
      <c r="F316" s="295" t="n"/>
      <c r="G316" s="282" t="n"/>
      <c r="H316" s="295" t="n"/>
      <c r="I316" s="295" t="n"/>
      <c r="J316" s="282" t="n"/>
      <c r="K316" s="345" t="n"/>
      <c r="L316" s="295" t="n"/>
      <c r="M316" s="346" t="n"/>
      <c r="N316" s="295" t="n"/>
      <c r="O316" s="285" t="n"/>
      <c r="P316" s="295" t="n"/>
      <c r="Q316" s="295" t="n"/>
      <c r="R316" s="282" t="n"/>
      <c r="S316" s="295" t="n"/>
      <c r="T316" s="295" t="n"/>
      <c r="U316" s="285" t="n"/>
      <c r="V316" s="295" t="n"/>
      <c r="W316" s="282" t="n"/>
      <c r="X316" s="295" t="n"/>
      <c r="Y316" s="295" t="n"/>
      <c r="Z316" s="295" t="n"/>
      <c r="AA316" s="295" t="n"/>
      <c r="AB316" s="285" t="n"/>
      <c r="AC316" s="295" t="n"/>
      <c r="AD316" s="295" t="n"/>
      <c r="AE316" s="286" t="n"/>
    </row>
    <row r="317">
      <c r="B317" s="287" t="n"/>
      <c r="C317" s="288" t="n"/>
      <c r="D317" s="295" t="n"/>
      <c r="E317" s="295" t="n"/>
      <c r="F317" s="295" t="n"/>
      <c r="G317" s="290" t="n"/>
      <c r="H317" s="295" t="n"/>
      <c r="I317" s="295" t="n"/>
      <c r="J317" s="290" t="n"/>
      <c r="K317" s="347" t="n"/>
      <c r="L317" s="295" t="n"/>
      <c r="M317" s="348" t="n"/>
      <c r="N317" s="295" t="n"/>
      <c r="O317" s="293" t="n"/>
      <c r="P317" s="295" t="n"/>
      <c r="Q317" s="295" t="n"/>
      <c r="R317" s="290" t="n"/>
      <c r="S317" s="295" t="n"/>
      <c r="T317" s="295" t="n"/>
      <c r="U317" s="293" t="n"/>
      <c r="V317" s="295" t="n"/>
      <c r="W317" s="290" t="n"/>
      <c r="X317" s="295" t="n"/>
      <c r="Y317" s="295" t="n"/>
      <c r="Z317" s="295" t="n"/>
      <c r="AA317" s="295" t="n"/>
      <c r="AB317" s="293" t="n"/>
      <c r="AC317" s="295" t="n"/>
      <c r="AD317" s="295" t="n"/>
      <c r="AE317" s="294" t="n"/>
    </row>
    <row r="318">
      <c r="B318" s="279" t="n"/>
      <c r="C318" s="280" t="n"/>
      <c r="D318" s="295" t="n"/>
      <c r="E318" s="295" t="n"/>
      <c r="F318" s="295" t="n"/>
      <c r="G318" s="282" t="n"/>
      <c r="H318" s="295" t="n"/>
      <c r="I318" s="295" t="n"/>
      <c r="J318" s="282" t="n"/>
      <c r="K318" s="345" t="n"/>
      <c r="L318" s="295" t="n"/>
      <c r="M318" s="346" t="n"/>
      <c r="N318" s="295" t="n"/>
      <c r="O318" s="285" t="n"/>
      <c r="P318" s="295" t="n"/>
      <c r="Q318" s="295" t="n"/>
      <c r="R318" s="282" t="n"/>
      <c r="S318" s="295" t="n"/>
      <c r="T318" s="295" t="n"/>
      <c r="U318" s="285" t="n"/>
      <c r="V318" s="295" t="n"/>
      <c r="W318" s="282" t="n"/>
      <c r="X318" s="295" t="n"/>
      <c r="Y318" s="295" t="n"/>
      <c r="Z318" s="295" t="n"/>
      <c r="AA318" s="295" t="n"/>
      <c r="AB318" s="285" t="n"/>
      <c r="AC318" s="295" t="n"/>
      <c r="AD318" s="295" t="n"/>
      <c r="AE318" s="286" t="n"/>
    </row>
    <row r="319">
      <c r="B319" s="287" t="n"/>
      <c r="C319" s="288" t="n"/>
      <c r="D319" s="295" t="n"/>
      <c r="E319" s="295" t="n"/>
      <c r="F319" s="295" t="n"/>
      <c r="G319" s="290" t="n"/>
      <c r="H319" s="295" t="n"/>
      <c r="I319" s="295" t="n"/>
      <c r="J319" s="290" t="n"/>
      <c r="K319" s="347" t="n"/>
      <c r="L319" s="295" t="n"/>
      <c r="M319" s="348" t="n"/>
      <c r="N319" s="295" t="n"/>
      <c r="O319" s="293" t="n"/>
      <c r="P319" s="295" t="n"/>
      <c r="Q319" s="295" t="n"/>
      <c r="R319" s="290" t="n"/>
      <c r="S319" s="295" t="n"/>
      <c r="T319" s="295" t="n"/>
      <c r="U319" s="293" t="n"/>
      <c r="V319" s="295" t="n"/>
      <c r="W319" s="290" t="n"/>
      <c r="X319" s="295" t="n"/>
      <c r="Y319" s="295" t="n"/>
      <c r="Z319" s="295" t="n"/>
      <c r="AA319" s="295" t="n"/>
      <c r="AB319" s="293" t="n"/>
      <c r="AC319" s="295" t="n"/>
      <c r="AD319" s="295" t="n"/>
      <c r="AE319" s="294" t="n"/>
    </row>
    <row r="320">
      <c r="B320" s="279" t="n"/>
      <c r="C320" s="280" t="n"/>
      <c r="D320" s="295" t="n"/>
      <c r="E320" s="295" t="n"/>
      <c r="F320" s="295" t="n"/>
      <c r="G320" s="282" t="n"/>
      <c r="H320" s="295" t="n"/>
      <c r="I320" s="295" t="n"/>
      <c r="J320" s="282" t="n"/>
      <c r="K320" s="345" t="n"/>
      <c r="L320" s="295" t="n"/>
      <c r="M320" s="346" t="n"/>
      <c r="N320" s="295" t="n"/>
      <c r="O320" s="285" t="n"/>
      <c r="P320" s="295" t="n"/>
      <c r="Q320" s="295" t="n"/>
      <c r="R320" s="282" t="n"/>
      <c r="S320" s="295" t="n"/>
      <c r="T320" s="295" t="n"/>
      <c r="U320" s="285" t="n"/>
      <c r="V320" s="295" t="n"/>
      <c r="W320" s="282" t="n"/>
      <c r="X320" s="295" t="n"/>
      <c r="Y320" s="295" t="n"/>
      <c r="Z320" s="295" t="n"/>
      <c r="AA320" s="295" t="n"/>
      <c r="AB320" s="285" t="n"/>
      <c r="AC320" s="295" t="n"/>
      <c r="AD320" s="295" t="n"/>
      <c r="AE320" s="286" t="n"/>
    </row>
    <row r="321">
      <c r="B321" s="287" t="n"/>
      <c r="C321" s="288" t="n"/>
      <c r="D321" s="295" t="n"/>
      <c r="E321" s="295" t="n"/>
      <c r="F321" s="295" t="n"/>
      <c r="G321" s="290" t="n"/>
      <c r="H321" s="295" t="n"/>
      <c r="I321" s="295" t="n"/>
      <c r="J321" s="290" t="n"/>
      <c r="K321" s="347" t="n"/>
      <c r="L321" s="295" t="n"/>
      <c r="M321" s="348" t="n"/>
      <c r="N321" s="295" t="n"/>
      <c r="O321" s="293" t="n"/>
      <c r="P321" s="295" t="n"/>
      <c r="Q321" s="295" t="n"/>
      <c r="R321" s="290" t="n"/>
      <c r="S321" s="295" t="n"/>
      <c r="T321" s="295" t="n"/>
      <c r="U321" s="293" t="n"/>
      <c r="V321" s="295" t="n"/>
      <c r="W321" s="290" t="n"/>
      <c r="X321" s="295" t="n"/>
      <c r="Y321" s="295" t="n"/>
      <c r="Z321" s="295" t="n"/>
      <c r="AA321" s="295" t="n"/>
      <c r="AB321" s="293" t="n"/>
      <c r="AC321" s="295" t="n"/>
      <c r="AD321" s="295" t="n"/>
      <c r="AE321" s="294" t="n"/>
    </row>
    <row r="322">
      <c r="B322" s="279" t="n"/>
      <c r="C322" s="280" t="n"/>
      <c r="D322" s="295" t="n"/>
      <c r="E322" s="295" t="n"/>
      <c r="F322" s="295" t="n"/>
      <c r="G322" s="282" t="n"/>
      <c r="H322" s="295" t="n"/>
      <c r="I322" s="295" t="n"/>
      <c r="J322" s="282" t="n"/>
      <c r="K322" s="345" t="n"/>
      <c r="L322" s="295" t="n"/>
      <c r="M322" s="346" t="n"/>
      <c r="N322" s="295" t="n"/>
      <c r="O322" s="285" t="n"/>
      <c r="P322" s="295" t="n"/>
      <c r="Q322" s="295" t="n"/>
      <c r="R322" s="282" t="n"/>
      <c r="S322" s="295" t="n"/>
      <c r="T322" s="295" t="n"/>
      <c r="U322" s="285" t="n"/>
      <c r="V322" s="295" t="n"/>
      <c r="W322" s="282" t="n"/>
      <c r="X322" s="295" t="n"/>
      <c r="Y322" s="295" t="n"/>
      <c r="Z322" s="295" t="n"/>
      <c r="AA322" s="295" t="n"/>
      <c r="AB322" s="285" t="n"/>
      <c r="AC322" s="295" t="n"/>
      <c r="AD322" s="295" t="n"/>
      <c r="AE322" s="286" t="n"/>
    </row>
    <row r="323">
      <c r="B323" s="287" t="n"/>
      <c r="C323" s="288" t="n"/>
      <c r="D323" s="295" t="n"/>
      <c r="E323" s="295" t="n"/>
      <c r="F323" s="295" t="n"/>
      <c r="G323" s="290" t="n"/>
      <c r="H323" s="295" t="n"/>
      <c r="I323" s="295" t="n"/>
      <c r="J323" s="290" t="n"/>
      <c r="K323" s="347" t="n"/>
      <c r="L323" s="295" t="n"/>
      <c r="M323" s="348" t="n"/>
      <c r="N323" s="295" t="n"/>
      <c r="O323" s="293" t="n"/>
      <c r="P323" s="295" t="n"/>
      <c r="Q323" s="295" t="n"/>
      <c r="R323" s="290" t="n"/>
      <c r="S323" s="295" t="n"/>
      <c r="T323" s="295" t="n"/>
      <c r="U323" s="293" t="n"/>
      <c r="V323" s="295" t="n"/>
      <c r="W323" s="290" t="n"/>
      <c r="X323" s="295" t="n"/>
      <c r="Y323" s="295" t="n"/>
      <c r="Z323" s="295" t="n"/>
      <c r="AA323" s="295" t="n"/>
      <c r="AB323" s="293" t="n"/>
      <c r="AC323" s="295" t="n"/>
      <c r="AD323" s="295" t="n"/>
      <c r="AE323" s="294" t="n"/>
    </row>
    <row r="324">
      <c r="B324" s="279" t="n"/>
      <c r="C324" s="280" t="n"/>
      <c r="D324" s="295" t="n"/>
      <c r="E324" s="295" t="n"/>
      <c r="F324" s="295" t="n"/>
      <c r="G324" s="282" t="n"/>
      <c r="H324" s="295" t="n"/>
      <c r="I324" s="295" t="n"/>
      <c r="J324" s="282" t="n"/>
      <c r="K324" s="345" t="n"/>
      <c r="L324" s="295" t="n"/>
      <c r="M324" s="346" t="n"/>
      <c r="N324" s="295" t="n"/>
      <c r="O324" s="285" t="n"/>
      <c r="P324" s="295" t="n"/>
      <c r="Q324" s="295" t="n"/>
      <c r="R324" s="282" t="n"/>
      <c r="S324" s="295" t="n"/>
      <c r="T324" s="295" t="n"/>
      <c r="U324" s="285" t="n"/>
      <c r="V324" s="295" t="n"/>
      <c r="W324" s="282" t="n"/>
      <c r="X324" s="295" t="n"/>
      <c r="Y324" s="295" t="n"/>
      <c r="Z324" s="295" t="n"/>
      <c r="AA324" s="295" t="n"/>
      <c r="AB324" s="285" t="n"/>
      <c r="AC324" s="295" t="n"/>
      <c r="AD324" s="295" t="n"/>
      <c r="AE324" s="286" t="n"/>
    </row>
    <row r="325">
      <c r="B325" s="287" t="n"/>
      <c r="C325" s="288" t="n"/>
      <c r="D325" s="295" t="n"/>
      <c r="E325" s="295" t="n"/>
      <c r="F325" s="295" t="n"/>
      <c r="G325" s="290" t="n"/>
      <c r="H325" s="295" t="n"/>
      <c r="I325" s="295" t="n"/>
      <c r="J325" s="290" t="n"/>
      <c r="K325" s="347" t="n"/>
      <c r="L325" s="295" t="n"/>
      <c r="M325" s="348" t="n"/>
      <c r="N325" s="295" t="n"/>
      <c r="O325" s="293" t="n"/>
      <c r="P325" s="295" t="n"/>
      <c r="Q325" s="295" t="n"/>
      <c r="R325" s="290" t="n"/>
      <c r="S325" s="295" t="n"/>
      <c r="T325" s="295" t="n"/>
      <c r="U325" s="293" t="n"/>
      <c r="V325" s="295" t="n"/>
      <c r="W325" s="290" t="n"/>
      <c r="X325" s="295" t="n"/>
      <c r="Y325" s="295" t="n"/>
      <c r="Z325" s="295" t="n"/>
      <c r="AA325" s="295" t="n"/>
      <c r="AB325" s="293" t="n"/>
      <c r="AC325" s="295" t="n"/>
      <c r="AD325" s="295" t="n"/>
      <c r="AE325" s="294" t="n"/>
    </row>
    <row r="326">
      <c r="B326" s="279" t="n"/>
      <c r="C326" s="280" t="n"/>
      <c r="D326" s="295" t="n"/>
      <c r="E326" s="295" t="n"/>
      <c r="F326" s="295" t="n"/>
      <c r="G326" s="282" t="n"/>
      <c r="H326" s="295" t="n"/>
      <c r="I326" s="295" t="n"/>
      <c r="J326" s="282" t="n"/>
      <c r="K326" s="345" t="n"/>
      <c r="L326" s="295" t="n"/>
      <c r="M326" s="346" t="n"/>
      <c r="N326" s="295" t="n"/>
      <c r="O326" s="285" t="n"/>
      <c r="P326" s="295" t="n"/>
      <c r="Q326" s="295" t="n"/>
      <c r="R326" s="282" t="n"/>
      <c r="S326" s="295" t="n"/>
      <c r="T326" s="295" t="n"/>
      <c r="U326" s="285" t="n"/>
      <c r="V326" s="295" t="n"/>
      <c r="W326" s="282" t="n"/>
      <c r="X326" s="295" t="n"/>
      <c r="Y326" s="295" t="n"/>
      <c r="Z326" s="295" t="n"/>
      <c r="AA326" s="295" t="n"/>
      <c r="AB326" s="285" t="n"/>
      <c r="AC326" s="295" t="n"/>
      <c r="AD326" s="295" t="n"/>
      <c r="AE326" s="286" t="n"/>
    </row>
    <row r="327">
      <c r="B327" s="287" t="n"/>
      <c r="C327" s="288" t="n"/>
      <c r="D327" s="295" t="n"/>
      <c r="E327" s="295" t="n"/>
      <c r="F327" s="295" t="n"/>
      <c r="G327" s="290" t="n"/>
      <c r="H327" s="295" t="n"/>
      <c r="I327" s="295" t="n"/>
      <c r="J327" s="290" t="n"/>
      <c r="K327" s="347" t="n"/>
      <c r="L327" s="295" t="n"/>
      <c r="M327" s="348" t="n"/>
      <c r="N327" s="295" t="n"/>
      <c r="O327" s="293" t="n"/>
      <c r="P327" s="295" t="n"/>
      <c r="Q327" s="295" t="n"/>
      <c r="R327" s="290" t="n"/>
      <c r="S327" s="295" t="n"/>
      <c r="T327" s="295" t="n"/>
      <c r="U327" s="293" t="n"/>
      <c r="V327" s="295" t="n"/>
      <c r="W327" s="290" t="n"/>
      <c r="X327" s="295" t="n"/>
      <c r="Y327" s="295" t="n"/>
      <c r="Z327" s="295" t="n"/>
      <c r="AA327" s="295" t="n"/>
      <c r="AB327" s="293" t="n"/>
      <c r="AC327" s="295" t="n"/>
      <c r="AD327" s="295" t="n"/>
      <c r="AE327" s="294" t="n"/>
    </row>
    <row r="328">
      <c r="B328" s="279" t="n"/>
      <c r="C328" s="280" t="n"/>
      <c r="D328" s="295" t="n"/>
      <c r="E328" s="295" t="n"/>
      <c r="F328" s="295" t="n"/>
      <c r="G328" s="282" t="n"/>
      <c r="H328" s="295" t="n"/>
      <c r="I328" s="295" t="n"/>
      <c r="J328" s="282" t="n"/>
      <c r="K328" s="345" t="n"/>
      <c r="L328" s="295" t="n"/>
      <c r="M328" s="346" t="n"/>
      <c r="N328" s="295" t="n"/>
      <c r="O328" s="285" t="n"/>
      <c r="P328" s="295" t="n"/>
      <c r="Q328" s="295" t="n"/>
      <c r="R328" s="282" t="n"/>
      <c r="S328" s="295" t="n"/>
      <c r="T328" s="295" t="n"/>
      <c r="U328" s="285" t="n"/>
      <c r="V328" s="295" t="n"/>
      <c r="W328" s="282" t="n"/>
      <c r="X328" s="295" t="n"/>
      <c r="Y328" s="295" t="n"/>
      <c r="Z328" s="295" t="n"/>
      <c r="AA328" s="295" t="n"/>
      <c r="AB328" s="285" t="n"/>
      <c r="AC328" s="295" t="n"/>
      <c r="AD328" s="295" t="n"/>
      <c r="AE328" s="286" t="n"/>
    </row>
    <row r="329">
      <c r="B329" s="287" t="n"/>
      <c r="C329" s="288" t="n"/>
      <c r="D329" s="295" t="n"/>
      <c r="E329" s="295" t="n"/>
      <c r="F329" s="295" t="n"/>
      <c r="G329" s="290" t="n"/>
      <c r="H329" s="295" t="n"/>
      <c r="I329" s="295" t="n"/>
      <c r="J329" s="290" t="n"/>
      <c r="K329" s="347" t="n"/>
      <c r="L329" s="295" t="n"/>
      <c r="M329" s="348" t="n"/>
      <c r="N329" s="295" t="n"/>
      <c r="O329" s="293" t="n"/>
      <c r="P329" s="295" t="n"/>
      <c r="Q329" s="295" t="n"/>
      <c r="R329" s="290" t="n"/>
      <c r="S329" s="295" t="n"/>
      <c r="T329" s="295" t="n"/>
      <c r="U329" s="293" t="n"/>
      <c r="V329" s="295" t="n"/>
      <c r="W329" s="290" t="n"/>
      <c r="X329" s="295" t="n"/>
      <c r="Y329" s="295" t="n"/>
      <c r="Z329" s="295" t="n"/>
      <c r="AA329" s="295" t="n"/>
      <c r="AB329" s="293" t="n"/>
      <c r="AC329" s="295" t="n"/>
      <c r="AD329" s="295" t="n"/>
      <c r="AE329" s="294" t="n"/>
    </row>
    <row r="330">
      <c r="B330" s="279" t="n"/>
      <c r="C330" s="280" t="n"/>
      <c r="D330" s="295" t="n"/>
      <c r="E330" s="295" t="n"/>
      <c r="F330" s="295" t="n"/>
      <c r="G330" s="282" t="n"/>
      <c r="H330" s="295" t="n"/>
      <c r="I330" s="295" t="n"/>
      <c r="J330" s="282" t="n"/>
      <c r="K330" s="345" t="n"/>
      <c r="L330" s="295" t="n"/>
      <c r="M330" s="346" t="n"/>
      <c r="N330" s="295" t="n"/>
      <c r="O330" s="285" t="n"/>
      <c r="P330" s="295" t="n"/>
      <c r="Q330" s="295" t="n"/>
      <c r="R330" s="282" t="n"/>
      <c r="S330" s="295" t="n"/>
      <c r="T330" s="295" t="n"/>
      <c r="U330" s="285" t="n"/>
      <c r="V330" s="295" t="n"/>
      <c r="W330" s="282" t="n"/>
      <c r="X330" s="295" t="n"/>
      <c r="Y330" s="295" t="n"/>
      <c r="Z330" s="295" t="n"/>
      <c r="AA330" s="295" t="n"/>
      <c r="AB330" s="285" t="n"/>
      <c r="AC330" s="295" t="n"/>
      <c r="AD330" s="295" t="n"/>
      <c r="AE330" s="286" t="n"/>
    </row>
    <row r="331">
      <c r="B331" s="287" t="n"/>
      <c r="C331" s="288" t="n"/>
      <c r="D331" s="295" t="n"/>
      <c r="E331" s="295" t="n"/>
      <c r="F331" s="295" t="n"/>
      <c r="G331" s="290" t="n"/>
      <c r="H331" s="295" t="n"/>
      <c r="I331" s="295" t="n"/>
      <c r="J331" s="290" t="n"/>
      <c r="K331" s="347" t="n"/>
      <c r="L331" s="295" t="n"/>
      <c r="M331" s="348" t="n"/>
      <c r="N331" s="295" t="n"/>
      <c r="O331" s="293" t="n"/>
      <c r="P331" s="295" t="n"/>
      <c r="Q331" s="295" t="n"/>
      <c r="R331" s="290" t="n"/>
      <c r="S331" s="295" t="n"/>
      <c r="T331" s="295" t="n"/>
      <c r="U331" s="293" t="n"/>
      <c r="V331" s="295" t="n"/>
      <c r="W331" s="290" t="n"/>
      <c r="X331" s="295" t="n"/>
      <c r="Y331" s="295" t="n"/>
      <c r="Z331" s="295" t="n"/>
      <c r="AA331" s="295" t="n"/>
      <c r="AB331" s="293" t="n"/>
      <c r="AC331" s="295" t="n"/>
      <c r="AD331" s="295" t="n"/>
      <c r="AE331" s="294" t="n"/>
    </row>
    <row r="332">
      <c r="B332" s="279" t="n"/>
      <c r="C332" s="280" t="n"/>
      <c r="D332" s="295" t="n"/>
      <c r="E332" s="295" t="n"/>
      <c r="F332" s="295" t="n"/>
      <c r="G332" s="282" t="n"/>
      <c r="H332" s="295" t="n"/>
      <c r="I332" s="295" t="n"/>
      <c r="J332" s="282" t="n"/>
      <c r="K332" s="345" t="n"/>
      <c r="L332" s="295" t="n"/>
      <c r="M332" s="346" t="n"/>
      <c r="N332" s="295" t="n"/>
      <c r="O332" s="285" t="n"/>
      <c r="P332" s="295" t="n"/>
      <c r="Q332" s="295" t="n"/>
      <c r="R332" s="282" t="n"/>
      <c r="S332" s="295" t="n"/>
      <c r="T332" s="295" t="n"/>
      <c r="U332" s="285" t="n"/>
      <c r="V332" s="295" t="n"/>
      <c r="W332" s="282" t="n"/>
      <c r="X332" s="295" t="n"/>
      <c r="Y332" s="295" t="n"/>
      <c r="Z332" s="295" t="n"/>
      <c r="AA332" s="295" t="n"/>
      <c r="AB332" s="285" t="n"/>
      <c r="AC332" s="295" t="n"/>
      <c r="AD332" s="295" t="n"/>
      <c r="AE332" s="286" t="n"/>
    </row>
    <row r="333">
      <c r="B333" s="287" t="n"/>
      <c r="C333" s="288" t="n"/>
      <c r="D333" s="295" t="n"/>
      <c r="E333" s="295" t="n"/>
      <c r="F333" s="295" t="n"/>
      <c r="G333" s="290" t="n"/>
      <c r="H333" s="295" t="n"/>
      <c r="I333" s="295" t="n"/>
      <c r="J333" s="290" t="n"/>
      <c r="K333" s="347" t="n"/>
      <c r="L333" s="295" t="n"/>
      <c r="M333" s="348" t="n"/>
      <c r="N333" s="295" t="n"/>
      <c r="O333" s="293" t="n"/>
      <c r="P333" s="295" t="n"/>
      <c r="Q333" s="295" t="n"/>
      <c r="R333" s="290" t="n"/>
      <c r="S333" s="295" t="n"/>
      <c r="T333" s="295" t="n"/>
      <c r="U333" s="293" t="n"/>
      <c r="V333" s="295" t="n"/>
      <c r="W333" s="290" t="n"/>
      <c r="X333" s="295" t="n"/>
      <c r="Y333" s="295" t="n"/>
      <c r="Z333" s="295" t="n"/>
      <c r="AA333" s="295" t="n"/>
      <c r="AB333" s="293" t="n"/>
      <c r="AC333" s="295" t="n"/>
      <c r="AD333" s="295" t="n"/>
      <c r="AE333" s="294" t="n"/>
    </row>
    <row r="334">
      <c r="B334" s="279" t="n"/>
      <c r="C334" s="280" t="n"/>
      <c r="D334" s="295" t="n"/>
      <c r="E334" s="295" t="n"/>
      <c r="F334" s="295" t="n"/>
      <c r="G334" s="282" t="n"/>
      <c r="H334" s="295" t="n"/>
      <c r="I334" s="295" t="n"/>
      <c r="J334" s="282" t="n"/>
      <c r="K334" s="345" t="n"/>
      <c r="L334" s="295" t="n"/>
      <c r="M334" s="346" t="n"/>
      <c r="N334" s="295" t="n"/>
      <c r="O334" s="285" t="n"/>
      <c r="P334" s="295" t="n"/>
      <c r="Q334" s="295" t="n"/>
      <c r="R334" s="282" t="n"/>
      <c r="S334" s="295" t="n"/>
      <c r="T334" s="295" t="n"/>
      <c r="U334" s="285" t="n"/>
      <c r="V334" s="295" t="n"/>
      <c r="W334" s="282" t="n"/>
      <c r="X334" s="295" t="n"/>
      <c r="Y334" s="295" t="n"/>
      <c r="Z334" s="295" t="n"/>
      <c r="AA334" s="295" t="n"/>
      <c r="AB334" s="285" t="n"/>
      <c r="AC334" s="295" t="n"/>
      <c r="AD334" s="295" t="n"/>
      <c r="AE334" s="286" t="n"/>
    </row>
    <row r="335">
      <c r="B335" s="287" t="n"/>
      <c r="C335" s="288" t="n"/>
      <c r="D335" s="295" t="n"/>
      <c r="E335" s="295" t="n"/>
      <c r="F335" s="295" t="n"/>
      <c r="G335" s="290" t="n"/>
      <c r="H335" s="295" t="n"/>
      <c r="I335" s="295" t="n"/>
      <c r="J335" s="290" t="n"/>
      <c r="K335" s="347" t="n"/>
      <c r="L335" s="295" t="n"/>
      <c r="M335" s="348" t="n"/>
      <c r="N335" s="295" t="n"/>
      <c r="O335" s="293" t="n"/>
      <c r="P335" s="295" t="n"/>
      <c r="Q335" s="295" t="n"/>
      <c r="R335" s="290" t="n"/>
      <c r="S335" s="295" t="n"/>
      <c r="T335" s="295" t="n"/>
      <c r="U335" s="293" t="n"/>
      <c r="V335" s="295" t="n"/>
      <c r="W335" s="290" t="n"/>
      <c r="X335" s="295" t="n"/>
      <c r="Y335" s="295" t="n"/>
      <c r="Z335" s="295" t="n"/>
      <c r="AA335" s="295" t="n"/>
      <c r="AB335" s="293" t="n"/>
      <c r="AC335" s="295" t="n"/>
      <c r="AD335" s="295" t="n"/>
      <c r="AE335" s="294" t="n"/>
    </row>
    <row r="336">
      <c r="B336" s="279" t="n"/>
      <c r="C336" s="280" t="n"/>
      <c r="D336" s="295" t="n"/>
      <c r="E336" s="295" t="n"/>
      <c r="F336" s="295" t="n"/>
      <c r="G336" s="282" t="n"/>
      <c r="H336" s="295" t="n"/>
      <c r="I336" s="295" t="n"/>
      <c r="J336" s="282" t="n"/>
      <c r="K336" s="345" t="n"/>
      <c r="L336" s="295" t="n"/>
      <c r="M336" s="346" t="n"/>
      <c r="N336" s="295" t="n"/>
      <c r="O336" s="285" t="n"/>
      <c r="P336" s="295" t="n"/>
      <c r="Q336" s="295" t="n"/>
      <c r="R336" s="282" t="n"/>
      <c r="S336" s="295" t="n"/>
      <c r="T336" s="295" t="n"/>
      <c r="U336" s="285" t="n"/>
      <c r="V336" s="295" t="n"/>
      <c r="W336" s="282" t="n"/>
      <c r="X336" s="295" t="n"/>
      <c r="Y336" s="295" t="n"/>
      <c r="Z336" s="295" t="n"/>
      <c r="AA336" s="295" t="n"/>
      <c r="AB336" s="285" t="n"/>
      <c r="AC336" s="295" t="n"/>
      <c r="AD336" s="295" t="n"/>
      <c r="AE336" s="286" t="n"/>
    </row>
    <row r="337">
      <c r="B337" s="287" t="n"/>
      <c r="C337" s="288" t="n"/>
      <c r="D337" s="295" t="n"/>
      <c r="E337" s="295" t="n"/>
      <c r="F337" s="295" t="n"/>
      <c r="G337" s="290" t="n"/>
      <c r="H337" s="295" t="n"/>
      <c r="I337" s="295" t="n"/>
      <c r="J337" s="290" t="n"/>
      <c r="K337" s="347" t="n"/>
      <c r="L337" s="295" t="n"/>
      <c r="M337" s="348" t="n"/>
      <c r="N337" s="295" t="n"/>
      <c r="O337" s="293" t="n"/>
      <c r="P337" s="295" t="n"/>
      <c r="Q337" s="295" t="n"/>
      <c r="R337" s="290" t="n"/>
      <c r="S337" s="295" t="n"/>
      <c r="T337" s="295" t="n"/>
      <c r="U337" s="293" t="n"/>
      <c r="V337" s="295" t="n"/>
      <c r="W337" s="290" t="n"/>
      <c r="X337" s="295" t="n"/>
      <c r="Y337" s="295" t="n"/>
      <c r="Z337" s="295" t="n"/>
      <c r="AA337" s="295" t="n"/>
      <c r="AB337" s="293" t="n"/>
      <c r="AC337" s="295" t="n"/>
      <c r="AD337" s="295" t="n"/>
      <c r="AE337" s="294" t="n"/>
    </row>
    <row r="338">
      <c r="B338" s="279" t="n"/>
      <c r="C338" s="280" t="n"/>
      <c r="D338" s="295" t="n"/>
      <c r="E338" s="295" t="n"/>
      <c r="F338" s="295" t="n"/>
      <c r="G338" s="282" t="n"/>
      <c r="H338" s="295" t="n"/>
      <c r="I338" s="295" t="n"/>
      <c r="J338" s="282" t="n"/>
      <c r="K338" s="345" t="n"/>
      <c r="L338" s="295" t="n"/>
      <c r="M338" s="346" t="n"/>
      <c r="N338" s="295" t="n"/>
      <c r="O338" s="285" t="n"/>
      <c r="P338" s="295" t="n"/>
      <c r="Q338" s="295" t="n"/>
      <c r="R338" s="282" t="n"/>
      <c r="S338" s="295" t="n"/>
      <c r="T338" s="295" t="n"/>
      <c r="U338" s="285" t="n"/>
      <c r="V338" s="295" t="n"/>
      <c r="W338" s="282" t="n"/>
      <c r="X338" s="295" t="n"/>
      <c r="Y338" s="295" t="n"/>
      <c r="Z338" s="295" t="n"/>
      <c r="AA338" s="295" t="n"/>
      <c r="AB338" s="285" t="n"/>
      <c r="AC338" s="295" t="n"/>
      <c r="AD338" s="295" t="n"/>
      <c r="AE338" s="286" t="n"/>
    </row>
    <row r="339">
      <c r="B339" s="287" t="n"/>
      <c r="C339" s="288" t="n"/>
      <c r="D339" s="295" t="n"/>
      <c r="E339" s="295" t="n"/>
      <c r="F339" s="295" t="n"/>
      <c r="G339" s="290" t="n"/>
      <c r="H339" s="295" t="n"/>
      <c r="I339" s="295" t="n"/>
      <c r="J339" s="290" t="n"/>
      <c r="K339" s="347" t="n"/>
      <c r="L339" s="295" t="n"/>
      <c r="M339" s="348" t="n"/>
      <c r="N339" s="295" t="n"/>
      <c r="O339" s="293" t="n"/>
      <c r="P339" s="295" t="n"/>
      <c r="Q339" s="295" t="n"/>
      <c r="R339" s="290" t="n"/>
      <c r="S339" s="295" t="n"/>
      <c r="T339" s="295" t="n"/>
      <c r="U339" s="293" t="n"/>
      <c r="V339" s="295" t="n"/>
      <c r="W339" s="290" t="n"/>
      <c r="X339" s="295" t="n"/>
      <c r="Y339" s="295" t="n"/>
      <c r="Z339" s="295" t="n"/>
      <c r="AA339" s="295" t="n"/>
      <c r="AB339" s="293" t="n"/>
      <c r="AC339" s="295" t="n"/>
      <c r="AD339" s="295" t="n"/>
      <c r="AE339" s="294" t="n"/>
    </row>
    <row r="340">
      <c r="B340" s="279" t="n"/>
      <c r="C340" s="280" t="n"/>
      <c r="D340" s="295" t="n"/>
      <c r="E340" s="295" t="n"/>
      <c r="F340" s="295" t="n"/>
      <c r="G340" s="282" t="n"/>
      <c r="H340" s="295" t="n"/>
      <c r="I340" s="295" t="n"/>
      <c r="J340" s="282" t="n"/>
      <c r="K340" s="345" t="n"/>
      <c r="L340" s="295" t="n"/>
      <c r="M340" s="346" t="n"/>
      <c r="N340" s="295" t="n"/>
      <c r="O340" s="285" t="n"/>
      <c r="P340" s="295" t="n"/>
      <c r="Q340" s="295" t="n"/>
      <c r="R340" s="282" t="n"/>
      <c r="S340" s="295" t="n"/>
      <c r="T340" s="295" t="n"/>
      <c r="U340" s="285" t="n"/>
      <c r="V340" s="295" t="n"/>
      <c r="W340" s="282" t="n"/>
      <c r="X340" s="295" t="n"/>
      <c r="Y340" s="295" t="n"/>
      <c r="Z340" s="295" t="n"/>
      <c r="AA340" s="295" t="n"/>
      <c r="AB340" s="285" t="n"/>
      <c r="AC340" s="295" t="n"/>
      <c r="AD340" s="295" t="n"/>
      <c r="AE340" s="286" t="n"/>
    </row>
    <row r="341">
      <c r="B341" s="287" t="n"/>
      <c r="C341" s="288" t="n"/>
      <c r="D341" s="295" t="n"/>
      <c r="E341" s="295" t="n"/>
      <c r="F341" s="295" t="n"/>
      <c r="G341" s="290" t="n"/>
      <c r="H341" s="295" t="n"/>
      <c r="I341" s="295" t="n"/>
      <c r="J341" s="290" t="n"/>
      <c r="K341" s="347" t="n"/>
      <c r="L341" s="295" t="n"/>
      <c r="M341" s="348" t="n"/>
      <c r="N341" s="295" t="n"/>
      <c r="O341" s="293" t="n"/>
      <c r="P341" s="295" t="n"/>
      <c r="Q341" s="295" t="n"/>
      <c r="R341" s="290" t="n"/>
      <c r="S341" s="295" t="n"/>
      <c r="T341" s="295" t="n"/>
      <c r="U341" s="293" t="n"/>
      <c r="V341" s="295" t="n"/>
      <c r="W341" s="290" t="n"/>
      <c r="X341" s="295" t="n"/>
      <c r="Y341" s="295" t="n"/>
      <c r="Z341" s="295" t="n"/>
      <c r="AA341" s="295" t="n"/>
      <c r="AB341" s="293" t="n"/>
      <c r="AC341" s="295" t="n"/>
      <c r="AD341" s="295" t="n"/>
      <c r="AE341" s="294" t="n"/>
    </row>
    <row r="342">
      <c r="B342" s="279" t="n"/>
      <c r="C342" s="280" t="n"/>
      <c r="D342" s="295" t="n"/>
      <c r="E342" s="295" t="n"/>
      <c r="F342" s="295" t="n"/>
      <c r="G342" s="282" t="n"/>
      <c r="H342" s="295" t="n"/>
      <c r="I342" s="295" t="n"/>
      <c r="J342" s="282" t="n"/>
      <c r="K342" s="345" t="n"/>
      <c r="L342" s="295" t="n"/>
      <c r="M342" s="346" t="n"/>
      <c r="N342" s="295" t="n"/>
      <c r="O342" s="285" t="n"/>
      <c r="P342" s="295" t="n"/>
      <c r="Q342" s="295" t="n"/>
      <c r="R342" s="282" t="n"/>
      <c r="S342" s="295" t="n"/>
      <c r="T342" s="295" t="n"/>
      <c r="U342" s="285" t="n"/>
      <c r="V342" s="295" t="n"/>
      <c r="W342" s="282" t="n"/>
      <c r="X342" s="295" t="n"/>
      <c r="Y342" s="295" t="n"/>
      <c r="Z342" s="295" t="n"/>
      <c r="AA342" s="295" t="n"/>
      <c r="AB342" s="285" t="n"/>
      <c r="AC342" s="295" t="n"/>
      <c r="AD342" s="295" t="n"/>
      <c r="AE342" s="286" t="n"/>
    </row>
    <row r="343">
      <c r="B343" s="287" t="n"/>
      <c r="C343" s="288" t="n"/>
      <c r="D343" s="295" t="n"/>
      <c r="E343" s="295" t="n"/>
      <c r="F343" s="295" t="n"/>
      <c r="G343" s="290" t="n"/>
      <c r="H343" s="295" t="n"/>
      <c r="I343" s="295" t="n"/>
      <c r="J343" s="290" t="n"/>
      <c r="K343" s="347" t="n"/>
      <c r="L343" s="295" t="n"/>
      <c r="M343" s="348" t="n"/>
      <c r="N343" s="295" t="n"/>
      <c r="O343" s="293" t="n"/>
      <c r="P343" s="295" t="n"/>
      <c r="Q343" s="295" t="n"/>
      <c r="R343" s="290" t="n"/>
      <c r="S343" s="295" t="n"/>
      <c r="T343" s="295" t="n"/>
      <c r="U343" s="293" t="n"/>
      <c r="V343" s="295" t="n"/>
      <c r="W343" s="290" t="n"/>
      <c r="X343" s="295" t="n"/>
      <c r="Y343" s="295" t="n"/>
      <c r="Z343" s="295" t="n"/>
      <c r="AA343" s="295" t="n"/>
      <c r="AB343" s="293" t="n"/>
      <c r="AC343" s="295" t="n"/>
      <c r="AD343" s="295" t="n"/>
      <c r="AE343" s="294" t="n"/>
    </row>
    <row r="344">
      <c r="B344" s="279" t="n"/>
      <c r="C344" s="280" t="n"/>
      <c r="D344" s="295" t="n"/>
      <c r="E344" s="295" t="n"/>
      <c r="F344" s="295" t="n"/>
      <c r="G344" s="282" t="n"/>
      <c r="H344" s="295" t="n"/>
      <c r="I344" s="295" t="n"/>
      <c r="J344" s="282" t="n"/>
      <c r="K344" s="345" t="n"/>
      <c r="L344" s="295" t="n"/>
      <c r="M344" s="346" t="n"/>
      <c r="N344" s="295" t="n"/>
      <c r="O344" s="285" t="n"/>
      <c r="P344" s="295" t="n"/>
      <c r="Q344" s="295" t="n"/>
      <c r="R344" s="282" t="n"/>
      <c r="S344" s="295" t="n"/>
      <c r="T344" s="295" t="n"/>
      <c r="U344" s="285" t="n"/>
      <c r="V344" s="295" t="n"/>
      <c r="W344" s="282" t="n"/>
      <c r="X344" s="295" t="n"/>
      <c r="Y344" s="295" t="n"/>
      <c r="Z344" s="295" t="n"/>
      <c r="AA344" s="295" t="n"/>
      <c r="AB344" s="285" t="n"/>
      <c r="AC344" s="295" t="n"/>
      <c r="AD344" s="295" t="n"/>
      <c r="AE344" s="286" t="n"/>
    </row>
    <row r="345">
      <c r="B345" s="287" t="n"/>
      <c r="C345" s="288" t="n"/>
      <c r="D345" s="295" t="n"/>
      <c r="E345" s="295" t="n"/>
      <c r="F345" s="295" t="n"/>
      <c r="G345" s="290" t="n"/>
      <c r="H345" s="295" t="n"/>
      <c r="I345" s="295" t="n"/>
      <c r="J345" s="290" t="n"/>
      <c r="K345" s="347" t="n"/>
      <c r="L345" s="295" t="n"/>
      <c r="M345" s="348" t="n"/>
      <c r="N345" s="295" t="n"/>
      <c r="O345" s="293" t="n"/>
      <c r="P345" s="295" t="n"/>
      <c r="Q345" s="295" t="n"/>
      <c r="R345" s="290" t="n"/>
      <c r="S345" s="295" t="n"/>
      <c r="T345" s="295" t="n"/>
      <c r="U345" s="293" t="n"/>
      <c r="V345" s="295" t="n"/>
      <c r="W345" s="290" t="n"/>
      <c r="X345" s="295" t="n"/>
      <c r="Y345" s="295" t="n"/>
      <c r="Z345" s="295" t="n"/>
      <c r="AA345" s="295" t="n"/>
      <c r="AB345" s="293" t="n"/>
      <c r="AC345" s="295" t="n"/>
      <c r="AD345" s="295" t="n"/>
      <c r="AE345" s="294" t="n"/>
    </row>
    <row r="346">
      <c r="B346" s="279" t="n"/>
      <c r="C346" s="280" t="n"/>
      <c r="D346" s="295" t="n"/>
      <c r="E346" s="295" t="n"/>
      <c r="F346" s="295" t="n"/>
      <c r="G346" s="282" t="n"/>
      <c r="H346" s="295" t="n"/>
      <c r="I346" s="295" t="n"/>
      <c r="J346" s="282" t="n"/>
      <c r="K346" s="345" t="n"/>
      <c r="L346" s="295" t="n"/>
      <c r="M346" s="346" t="n"/>
      <c r="N346" s="295" t="n"/>
      <c r="O346" s="285" t="n"/>
      <c r="P346" s="295" t="n"/>
      <c r="Q346" s="295" t="n"/>
      <c r="R346" s="282" t="n"/>
      <c r="S346" s="295" t="n"/>
      <c r="T346" s="295" t="n"/>
      <c r="U346" s="285" t="n"/>
      <c r="V346" s="295" t="n"/>
      <c r="W346" s="282" t="n"/>
      <c r="X346" s="295" t="n"/>
      <c r="Y346" s="295" t="n"/>
      <c r="Z346" s="295" t="n"/>
      <c r="AA346" s="295" t="n"/>
      <c r="AB346" s="285" t="n"/>
      <c r="AC346" s="295" t="n"/>
      <c r="AD346" s="295" t="n"/>
      <c r="AE346" s="286" t="n"/>
    </row>
    <row r="347">
      <c r="B347" s="287" t="n"/>
      <c r="C347" s="288" t="n"/>
      <c r="D347" s="295" t="n"/>
      <c r="E347" s="295" t="n"/>
      <c r="F347" s="295" t="n"/>
      <c r="G347" s="290" t="n"/>
      <c r="H347" s="295" t="n"/>
      <c r="I347" s="295" t="n"/>
      <c r="J347" s="290" t="n"/>
      <c r="K347" s="347" t="n"/>
      <c r="L347" s="295" t="n"/>
      <c r="M347" s="348" t="n"/>
      <c r="N347" s="295" t="n"/>
      <c r="O347" s="293" t="n"/>
      <c r="P347" s="295" t="n"/>
      <c r="Q347" s="295" t="n"/>
      <c r="R347" s="290" t="n"/>
      <c r="S347" s="295" t="n"/>
      <c r="T347" s="295" t="n"/>
      <c r="U347" s="293" t="n"/>
      <c r="V347" s="295" t="n"/>
      <c r="W347" s="290" t="n"/>
      <c r="X347" s="295" t="n"/>
      <c r="Y347" s="295" t="n"/>
      <c r="Z347" s="295" t="n"/>
      <c r="AA347" s="295" t="n"/>
      <c r="AB347" s="293" t="n"/>
      <c r="AC347" s="295" t="n"/>
      <c r="AD347" s="295" t="n"/>
      <c r="AE347" s="294" t="n"/>
    </row>
    <row r="348">
      <c r="B348" s="279" t="n"/>
      <c r="C348" s="280" t="n"/>
      <c r="D348" s="295" t="n"/>
      <c r="E348" s="295" t="n"/>
      <c r="F348" s="295" t="n"/>
      <c r="G348" s="282" t="n"/>
      <c r="H348" s="295" t="n"/>
      <c r="I348" s="295" t="n"/>
      <c r="J348" s="282" t="n"/>
      <c r="K348" s="345" t="n"/>
      <c r="L348" s="295" t="n"/>
      <c r="M348" s="346" t="n"/>
      <c r="N348" s="295" t="n"/>
      <c r="O348" s="285" t="n"/>
      <c r="P348" s="295" t="n"/>
      <c r="Q348" s="295" t="n"/>
      <c r="R348" s="282" t="n"/>
      <c r="S348" s="295" t="n"/>
      <c r="T348" s="295" t="n"/>
      <c r="U348" s="285" t="n"/>
      <c r="V348" s="295" t="n"/>
      <c r="W348" s="282" t="n"/>
      <c r="X348" s="295" t="n"/>
      <c r="Y348" s="295" t="n"/>
      <c r="Z348" s="295" t="n"/>
      <c r="AA348" s="295" t="n"/>
      <c r="AB348" s="285" t="n"/>
      <c r="AC348" s="295" t="n"/>
      <c r="AD348" s="295" t="n"/>
      <c r="AE348" s="286" t="n"/>
    </row>
    <row r="349">
      <c r="B349" s="287" t="n"/>
      <c r="C349" s="288" t="n"/>
      <c r="D349" s="295" t="n"/>
      <c r="E349" s="295" t="n"/>
      <c r="F349" s="295" t="n"/>
      <c r="G349" s="290" t="n"/>
      <c r="H349" s="295" t="n"/>
      <c r="I349" s="295" t="n"/>
      <c r="J349" s="290" t="n"/>
      <c r="K349" s="347" t="n"/>
      <c r="L349" s="295" t="n"/>
      <c r="M349" s="348" t="n"/>
      <c r="N349" s="295" t="n"/>
      <c r="O349" s="293" t="n"/>
      <c r="P349" s="295" t="n"/>
      <c r="Q349" s="295" t="n"/>
      <c r="R349" s="290" t="n"/>
      <c r="S349" s="295" t="n"/>
      <c r="T349" s="295" t="n"/>
      <c r="U349" s="293" t="n"/>
      <c r="V349" s="295" t="n"/>
      <c r="W349" s="290" t="n"/>
      <c r="X349" s="295" t="n"/>
      <c r="Y349" s="295" t="n"/>
      <c r="Z349" s="295" t="n"/>
      <c r="AA349" s="295" t="n"/>
      <c r="AB349" s="293" t="n"/>
      <c r="AC349" s="295" t="n"/>
      <c r="AD349" s="295" t="n"/>
      <c r="AE349" s="294" t="n"/>
    </row>
    <row r="350">
      <c r="B350" s="279" t="n"/>
      <c r="C350" s="280" t="n"/>
      <c r="D350" s="295" t="n"/>
      <c r="E350" s="295" t="n"/>
      <c r="F350" s="295" t="n"/>
      <c r="G350" s="282" t="n"/>
      <c r="H350" s="295" t="n"/>
      <c r="I350" s="295" t="n"/>
      <c r="J350" s="282" t="n"/>
      <c r="K350" s="345" t="n"/>
      <c r="L350" s="295" t="n"/>
      <c r="M350" s="346" t="n"/>
      <c r="N350" s="295" t="n"/>
      <c r="O350" s="285" t="n"/>
      <c r="P350" s="295" t="n"/>
      <c r="Q350" s="295" t="n"/>
      <c r="R350" s="282" t="n"/>
      <c r="S350" s="295" t="n"/>
      <c r="T350" s="295" t="n"/>
      <c r="U350" s="285" t="n"/>
      <c r="V350" s="295" t="n"/>
      <c r="W350" s="282" t="n"/>
      <c r="X350" s="295" t="n"/>
      <c r="Y350" s="295" t="n"/>
      <c r="Z350" s="295" t="n"/>
      <c r="AA350" s="295" t="n"/>
      <c r="AB350" s="285" t="n"/>
      <c r="AC350" s="295" t="n"/>
      <c r="AD350" s="295" t="n"/>
      <c r="AE350" s="286" t="n"/>
    </row>
    <row r="351">
      <c r="B351" s="287" t="n"/>
      <c r="C351" s="288" t="n"/>
      <c r="D351" s="295" t="n"/>
      <c r="E351" s="295" t="n"/>
      <c r="F351" s="295" t="n"/>
      <c r="G351" s="290" t="n"/>
      <c r="H351" s="295" t="n"/>
      <c r="I351" s="295" t="n"/>
      <c r="J351" s="290" t="n"/>
      <c r="K351" s="347" t="n"/>
      <c r="L351" s="295" t="n"/>
      <c r="M351" s="348" t="n"/>
      <c r="N351" s="295" t="n"/>
      <c r="O351" s="293" t="n"/>
      <c r="P351" s="295" t="n"/>
      <c r="Q351" s="295" t="n"/>
      <c r="R351" s="290" t="n"/>
      <c r="S351" s="295" t="n"/>
      <c r="T351" s="295" t="n"/>
      <c r="U351" s="293" t="n"/>
      <c r="V351" s="295" t="n"/>
      <c r="W351" s="290" t="n"/>
      <c r="X351" s="295" t="n"/>
      <c r="Y351" s="295" t="n"/>
      <c r="Z351" s="295" t="n"/>
      <c r="AA351" s="295" t="n"/>
      <c r="AB351" s="293" t="n"/>
      <c r="AC351" s="295" t="n"/>
      <c r="AD351" s="295" t="n"/>
      <c r="AE351" s="294" t="n"/>
    </row>
    <row r="352">
      <c r="B352" s="279" t="n"/>
      <c r="C352" s="280" t="n"/>
      <c r="D352" s="295" t="n"/>
      <c r="E352" s="295" t="n"/>
      <c r="F352" s="295" t="n"/>
      <c r="G352" s="282" t="n"/>
      <c r="H352" s="295" t="n"/>
      <c r="I352" s="295" t="n"/>
      <c r="J352" s="282" t="n"/>
      <c r="K352" s="345" t="n"/>
      <c r="L352" s="295" t="n"/>
      <c r="M352" s="346" t="n"/>
      <c r="N352" s="295" t="n"/>
      <c r="O352" s="285" t="n"/>
      <c r="P352" s="295" t="n"/>
      <c r="Q352" s="295" t="n"/>
      <c r="R352" s="282" t="n"/>
      <c r="S352" s="295" t="n"/>
      <c r="T352" s="295" t="n"/>
      <c r="U352" s="285" t="n"/>
      <c r="V352" s="295" t="n"/>
      <c r="W352" s="282" t="n"/>
      <c r="X352" s="295" t="n"/>
      <c r="Y352" s="295" t="n"/>
      <c r="Z352" s="295" t="n"/>
      <c r="AA352" s="295" t="n"/>
      <c r="AB352" s="285" t="n"/>
      <c r="AC352" s="295" t="n"/>
      <c r="AD352" s="295" t="n"/>
      <c r="AE352" s="286" t="n"/>
    </row>
    <row r="353">
      <c r="B353" s="287" t="n"/>
      <c r="C353" s="288" t="n"/>
      <c r="D353" s="295" t="n"/>
      <c r="E353" s="295" t="n"/>
      <c r="F353" s="295" t="n"/>
      <c r="G353" s="290" t="n"/>
      <c r="H353" s="295" t="n"/>
      <c r="I353" s="295" t="n"/>
      <c r="J353" s="290" t="n"/>
      <c r="K353" s="347" t="n"/>
      <c r="L353" s="295" t="n"/>
      <c r="M353" s="348" t="n"/>
      <c r="N353" s="295" t="n"/>
      <c r="O353" s="293" t="n"/>
      <c r="P353" s="295" t="n"/>
      <c r="Q353" s="295" t="n"/>
      <c r="R353" s="290" t="n"/>
      <c r="S353" s="295" t="n"/>
      <c r="T353" s="295" t="n"/>
      <c r="U353" s="293" t="n"/>
      <c r="V353" s="295" t="n"/>
      <c r="W353" s="290" t="n"/>
      <c r="X353" s="295" t="n"/>
      <c r="Y353" s="295" t="n"/>
      <c r="Z353" s="295" t="n"/>
      <c r="AA353" s="295" t="n"/>
      <c r="AB353" s="293" t="n"/>
      <c r="AC353" s="295" t="n"/>
      <c r="AD353" s="295" t="n"/>
      <c r="AE353" s="294" t="n"/>
    </row>
    <row r="354">
      <c r="B354" s="279" t="n"/>
      <c r="C354" s="280" t="n"/>
      <c r="D354" s="295" t="n"/>
      <c r="E354" s="295" t="n"/>
      <c r="F354" s="295" t="n"/>
      <c r="G354" s="282" t="n"/>
      <c r="H354" s="295" t="n"/>
      <c r="I354" s="295" t="n"/>
      <c r="J354" s="282" t="n"/>
      <c r="K354" s="345" t="n"/>
      <c r="L354" s="295" t="n"/>
      <c r="M354" s="346" t="n"/>
      <c r="N354" s="295" t="n"/>
      <c r="O354" s="285" t="n"/>
      <c r="P354" s="295" t="n"/>
      <c r="Q354" s="295" t="n"/>
      <c r="R354" s="282" t="n"/>
      <c r="S354" s="295" t="n"/>
      <c r="T354" s="295" t="n"/>
      <c r="U354" s="285" t="n"/>
      <c r="V354" s="295" t="n"/>
      <c r="W354" s="282" t="n"/>
      <c r="X354" s="295" t="n"/>
      <c r="Y354" s="295" t="n"/>
      <c r="Z354" s="295" t="n"/>
      <c r="AA354" s="295" t="n"/>
      <c r="AB354" s="285" t="n"/>
      <c r="AC354" s="295" t="n"/>
      <c r="AD354" s="295" t="n"/>
      <c r="AE354" s="286" t="n"/>
    </row>
    <row r="355">
      <c r="B355" s="287" t="n"/>
      <c r="C355" s="288" t="n"/>
      <c r="D355" s="295" t="n"/>
      <c r="E355" s="295" t="n"/>
      <c r="F355" s="295" t="n"/>
      <c r="G355" s="290" t="n"/>
      <c r="H355" s="295" t="n"/>
      <c r="I355" s="295" t="n"/>
      <c r="J355" s="290" t="n"/>
      <c r="K355" s="347" t="n"/>
      <c r="L355" s="295" t="n"/>
      <c r="M355" s="348" t="n"/>
      <c r="N355" s="295" t="n"/>
      <c r="O355" s="293" t="n"/>
      <c r="P355" s="295" t="n"/>
      <c r="Q355" s="295" t="n"/>
      <c r="R355" s="290" t="n"/>
      <c r="S355" s="295" t="n"/>
      <c r="T355" s="295" t="n"/>
      <c r="U355" s="293" t="n"/>
      <c r="V355" s="295" t="n"/>
      <c r="W355" s="290" t="n"/>
      <c r="X355" s="295" t="n"/>
      <c r="Y355" s="295" t="n"/>
      <c r="Z355" s="295" t="n"/>
      <c r="AA355" s="295" t="n"/>
      <c r="AB355" s="293" t="n"/>
      <c r="AC355" s="295" t="n"/>
      <c r="AD355" s="295" t="n"/>
      <c r="AE355" s="294" t="n"/>
    </row>
    <row r="356">
      <c r="B356" s="279" t="n"/>
      <c r="C356" s="280" t="n"/>
      <c r="D356" s="295" t="n"/>
      <c r="E356" s="295" t="n"/>
      <c r="F356" s="295" t="n"/>
      <c r="G356" s="282" t="n"/>
      <c r="H356" s="295" t="n"/>
      <c r="I356" s="295" t="n"/>
      <c r="J356" s="282" t="n"/>
      <c r="K356" s="345" t="n"/>
      <c r="L356" s="295" t="n"/>
      <c r="M356" s="346" t="n"/>
      <c r="N356" s="295" t="n"/>
      <c r="O356" s="285" t="n"/>
      <c r="P356" s="295" t="n"/>
      <c r="Q356" s="295" t="n"/>
      <c r="R356" s="282" t="n"/>
      <c r="S356" s="295" t="n"/>
      <c r="T356" s="295" t="n"/>
      <c r="U356" s="285" t="n"/>
      <c r="V356" s="295" t="n"/>
      <c r="W356" s="282" t="n"/>
      <c r="X356" s="295" t="n"/>
      <c r="Y356" s="295" t="n"/>
      <c r="Z356" s="295" t="n"/>
      <c r="AA356" s="295" t="n"/>
      <c r="AB356" s="285" t="n"/>
      <c r="AC356" s="295" t="n"/>
      <c r="AD356" s="295" t="n"/>
      <c r="AE356" s="286" t="n"/>
    </row>
    <row r="357">
      <c r="B357" s="287" t="n"/>
      <c r="C357" s="288" t="n"/>
      <c r="D357" s="295" t="n"/>
      <c r="E357" s="295" t="n"/>
      <c r="F357" s="295" t="n"/>
      <c r="G357" s="290" t="n"/>
      <c r="H357" s="295" t="n"/>
      <c r="I357" s="295" t="n"/>
      <c r="J357" s="290" t="n"/>
      <c r="K357" s="347" t="n"/>
      <c r="L357" s="295" t="n"/>
      <c r="M357" s="348" t="n"/>
      <c r="N357" s="295" t="n"/>
      <c r="O357" s="293" t="n"/>
      <c r="P357" s="295" t="n"/>
      <c r="Q357" s="295" t="n"/>
      <c r="R357" s="290" t="n"/>
      <c r="S357" s="295" t="n"/>
      <c r="T357" s="295" t="n"/>
      <c r="U357" s="293" t="n"/>
      <c r="V357" s="295" t="n"/>
      <c r="W357" s="290" t="n"/>
      <c r="X357" s="295" t="n"/>
      <c r="Y357" s="295" t="n"/>
      <c r="Z357" s="295" t="n"/>
      <c r="AA357" s="295" t="n"/>
      <c r="AB357" s="293" t="n"/>
      <c r="AC357" s="295" t="n"/>
      <c r="AD357" s="295" t="n"/>
      <c r="AE357" s="294" t="n"/>
    </row>
    <row r="358">
      <c r="B358" s="279" t="n"/>
      <c r="C358" s="280" t="n"/>
      <c r="D358" s="295" t="n"/>
      <c r="E358" s="295" t="n"/>
      <c r="F358" s="295" t="n"/>
      <c r="G358" s="282" t="n"/>
      <c r="H358" s="295" t="n"/>
      <c r="I358" s="295" t="n"/>
      <c r="J358" s="282" t="n"/>
      <c r="K358" s="345" t="n"/>
      <c r="L358" s="295" t="n"/>
      <c r="M358" s="346" t="n"/>
      <c r="N358" s="295" t="n"/>
      <c r="O358" s="285" t="n"/>
      <c r="P358" s="295" t="n"/>
      <c r="Q358" s="295" t="n"/>
      <c r="R358" s="282" t="n"/>
      <c r="S358" s="295" t="n"/>
      <c r="T358" s="295" t="n"/>
      <c r="U358" s="285" t="n"/>
      <c r="V358" s="295" t="n"/>
      <c r="W358" s="282" t="n"/>
      <c r="X358" s="295" t="n"/>
      <c r="Y358" s="295" t="n"/>
      <c r="Z358" s="295" t="n"/>
      <c r="AA358" s="295" t="n"/>
      <c r="AB358" s="285" t="n"/>
      <c r="AC358" s="295" t="n"/>
      <c r="AD358" s="295" t="n"/>
      <c r="AE358" s="286" t="n"/>
    </row>
    <row r="359">
      <c r="B359" s="287" t="n"/>
      <c r="C359" s="288" t="n"/>
      <c r="D359" s="295" t="n"/>
      <c r="E359" s="295" t="n"/>
      <c r="F359" s="295" t="n"/>
      <c r="G359" s="290" t="n"/>
      <c r="H359" s="295" t="n"/>
      <c r="I359" s="295" t="n"/>
      <c r="J359" s="290" t="n"/>
      <c r="K359" s="347" t="n"/>
      <c r="L359" s="295" t="n"/>
      <c r="M359" s="348" t="n"/>
      <c r="N359" s="295" t="n"/>
      <c r="O359" s="293" t="n"/>
      <c r="P359" s="295" t="n"/>
      <c r="Q359" s="295" t="n"/>
      <c r="R359" s="290" t="n"/>
      <c r="S359" s="295" t="n"/>
      <c r="T359" s="295" t="n"/>
      <c r="U359" s="293" t="n"/>
      <c r="V359" s="295" t="n"/>
      <c r="W359" s="290" t="n"/>
      <c r="X359" s="295" t="n"/>
      <c r="Y359" s="295" t="n"/>
      <c r="Z359" s="295" t="n"/>
      <c r="AA359" s="295" t="n"/>
      <c r="AB359" s="293" t="n"/>
      <c r="AC359" s="295" t="n"/>
      <c r="AD359" s="295" t="n"/>
      <c r="AE359" s="294" t="n"/>
    </row>
    <row r="360">
      <c r="B360" s="279" t="n"/>
      <c r="C360" s="280" t="n"/>
      <c r="D360" s="295" t="n"/>
      <c r="E360" s="295" t="n"/>
      <c r="F360" s="295" t="n"/>
      <c r="G360" s="282" t="n"/>
      <c r="H360" s="295" t="n"/>
      <c r="I360" s="295" t="n"/>
      <c r="J360" s="282" t="n"/>
      <c r="K360" s="345" t="n"/>
      <c r="L360" s="295" t="n"/>
      <c r="M360" s="346" t="n"/>
      <c r="N360" s="295" t="n"/>
      <c r="O360" s="285" t="n"/>
      <c r="P360" s="295" t="n"/>
      <c r="Q360" s="295" t="n"/>
      <c r="R360" s="282" t="n"/>
      <c r="S360" s="295" t="n"/>
      <c r="T360" s="295" t="n"/>
      <c r="U360" s="285" t="n"/>
      <c r="V360" s="295" t="n"/>
      <c r="W360" s="282" t="n"/>
      <c r="X360" s="295" t="n"/>
      <c r="Y360" s="295" t="n"/>
      <c r="Z360" s="295" t="n"/>
      <c r="AA360" s="295" t="n"/>
      <c r="AB360" s="285" t="n"/>
      <c r="AC360" s="295" t="n"/>
      <c r="AD360" s="295" t="n"/>
      <c r="AE360" s="286" t="n"/>
    </row>
    <row r="361">
      <c r="B361" s="287" t="n"/>
      <c r="C361" s="288" t="n"/>
      <c r="D361" s="295" t="n"/>
      <c r="E361" s="295" t="n"/>
      <c r="F361" s="295" t="n"/>
      <c r="G361" s="290" t="n"/>
      <c r="H361" s="295" t="n"/>
      <c r="I361" s="295" t="n"/>
      <c r="J361" s="290" t="n"/>
      <c r="K361" s="347" t="n"/>
      <c r="L361" s="295" t="n"/>
      <c r="M361" s="348" t="n"/>
      <c r="N361" s="295" t="n"/>
      <c r="O361" s="293" t="n"/>
      <c r="P361" s="295" t="n"/>
      <c r="Q361" s="295" t="n"/>
      <c r="R361" s="290" t="n"/>
      <c r="S361" s="295" t="n"/>
      <c r="T361" s="295" t="n"/>
      <c r="U361" s="293" t="n"/>
      <c r="V361" s="295" t="n"/>
      <c r="W361" s="290" t="n"/>
      <c r="X361" s="295" t="n"/>
      <c r="Y361" s="295" t="n"/>
      <c r="Z361" s="295" t="n"/>
      <c r="AA361" s="295" t="n"/>
      <c r="AB361" s="293" t="n"/>
      <c r="AC361" s="295" t="n"/>
      <c r="AD361" s="295" t="n"/>
      <c r="AE361" s="294" t="n"/>
    </row>
    <row r="362">
      <c r="B362" s="279" t="n"/>
      <c r="C362" s="280" t="n"/>
      <c r="D362" s="295" t="n"/>
      <c r="E362" s="295" t="n"/>
      <c r="F362" s="295" t="n"/>
      <c r="G362" s="282" t="n"/>
      <c r="H362" s="295" t="n"/>
      <c r="I362" s="295" t="n"/>
      <c r="J362" s="282" t="n"/>
      <c r="K362" s="345" t="n"/>
      <c r="L362" s="295" t="n"/>
      <c r="M362" s="346" t="n"/>
      <c r="N362" s="295" t="n"/>
      <c r="O362" s="285" t="n"/>
      <c r="P362" s="295" t="n"/>
      <c r="Q362" s="295" t="n"/>
      <c r="R362" s="282" t="n"/>
      <c r="S362" s="295" t="n"/>
      <c r="T362" s="295" t="n"/>
      <c r="U362" s="285" t="n"/>
      <c r="V362" s="295" t="n"/>
      <c r="W362" s="282" t="n"/>
      <c r="X362" s="295" t="n"/>
      <c r="Y362" s="295" t="n"/>
      <c r="Z362" s="295" t="n"/>
      <c r="AA362" s="295" t="n"/>
      <c r="AB362" s="285" t="n"/>
      <c r="AC362" s="295" t="n"/>
      <c r="AD362" s="295" t="n"/>
      <c r="AE362" s="286" t="n"/>
    </row>
    <row r="363">
      <c r="B363" s="287" t="n"/>
      <c r="C363" s="288" t="n"/>
      <c r="D363" s="295" t="n"/>
      <c r="E363" s="295" t="n"/>
      <c r="F363" s="295" t="n"/>
      <c r="G363" s="290" t="n"/>
      <c r="H363" s="295" t="n"/>
      <c r="I363" s="295" t="n"/>
      <c r="J363" s="290" t="n"/>
      <c r="K363" s="347" t="n"/>
      <c r="L363" s="295" t="n"/>
      <c r="M363" s="348" t="n"/>
      <c r="N363" s="295" t="n"/>
      <c r="O363" s="293" t="n"/>
      <c r="P363" s="295" t="n"/>
      <c r="Q363" s="295" t="n"/>
      <c r="R363" s="290" t="n"/>
      <c r="S363" s="295" t="n"/>
      <c r="T363" s="295" t="n"/>
      <c r="U363" s="293" t="n"/>
      <c r="V363" s="295" t="n"/>
      <c r="W363" s="290" t="n"/>
      <c r="X363" s="295" t="n"/>
      <c r="Y363" s="295" t="n"/>
      <c r="Z363" s="295" t="n"/>
      <c r="AA363" s="295" t="n"/>
      <c r="AB363" s="293" t="n"/>
      <c r="AC363" s="295" t="n"/>
      <c r="AD363" s="295" t="n"/>
      <c r="AE363" s="294" t="n"/>
    </row>
    <row r="364">
      <c r="B364" s="279" t="n"/>
      <c r="C364" s="280" t="n"/>
      <c r="D364" s="295" t="n"/>
      <c r="E364" s="295" t="n"/>
      <c r="F364" s="295" t="n"/>
      <c r="G364" s="282" t="n"/>
      <c r="H364" s="295" t="n"/>
      <c r="I364" s="295" t="n"/>
      <c r="J364" s="282" t="n"/>
      <c r="K364" s="345" t="n"/>
      <c r="L364" s="295" t="n"/>
      <c r="M364" s="346" t="n"/>
      <c r="N364" s="295" t="n"/>
      <c r="O364" s="285" t="n"/>
      <c r="P364" s="295" t="n"/>
      <c r="Q364" s="295" t="n"/>
      <c r="R364" s="282" t="n"/>
      <c r="S364" s="295" t="n"/>
      <c r="T364" s="295" t="n"/>
      <c r="U364" s="285" t="n"/>
      <c r="V364" s="295" t="n"/>
      <c r="W364" s="282" t="n"/>
      <c r="X364" s="295" t="n"/>
      <c r="Y364" s="295" t="n"/>
      <c r="Z364" s="295" t="n"/>
      <c r="AA364" s="295" t="n"/>
      <c r="AB364" s="285" t="n"/>
      <c r="AC364" s="295" t="n"/>
      <c r="AD364" s="295" t="n"/>
      <c r="AE364" s="286" t="n"/>
    </row>
    <row r="365">
      <c r="B365" s="287" t="n"/>
      <c r="C365" s="288" t="n"/>
      <c r="D365" s="295" t="n"/>
      <c r="E365" s="295" t="n"/>
      <c r="F365" s="295" t="n"/>
      <c r="G365" s="290" t="n"/>
      <c r="H365" s="295" t="n"/>
      <c r="I365" s="295" t="n"/>
      <c r="J365" s="290" t="n"/>
      <c r="K365" s="347" t="n"/>
      <c r="L365" s="295" t="n"/>
      <c r="M365" s="348" t="n"/>
      <c r="N365" s="295" t="n"/>
      <c r="O365" s="293" t="n"/>
      <c r="P365" s="295" t="n"/>
      <c r="Q365" s="295" t="n"/>
      <c r="R365" s="290" t="n"/>
      <c r="S365" s="295" t="n"/>
      <c r="T365" s="295" t="n"/>
      <c r="U365" s="293" t="n"/>
      <c r="V365" s="295" t="n"/>
      <c r="W365" s="290" t="n"/>
      <c r="X365" s="295" t="n"/>
      <c r="Y365" s="295" t="n"/>
      <c r="Z365" s="295" t="n"/>
      <c r="AA365" s="295" t="n"/>
      <c r="AB365" s="293" t="n"/>
      <c r="AC365" s="295" t="n"/>
      <c r="AD365" s="295" t="n"/>
      <c r="AE365" s="294" t="n"/>
    </row>
    <row r="366">
      <c r="B366" s="279" t="n"/>
      <c r="C366" s="280" t="n"/>
      <c r="D366" s="295" t="n"/>
      <c r="E366" s="295" t="n"/>
      <c r="F366" s="295" t="n"/>
      <c r="G366" s="282" t="n"/>
      <c r="H366" s="295" t="n"/>
      <c r="I366" s="295" t="n"/>
      <c r="J366" s="282" t="n"/>
      <c r="K366" s="345" t="n"/>
      <c r="L366" s="295" t="n"/>
      <c r="M366" s="346" t="n"/>
      <c r="N366" s="295" t="n"/>
      <c r="O366" s="285" t="n"/>
      <c r="P366" s="295" t="n"/>
      <c r="Q366" s="295" t="n"/>
      <c r="R366" s="282" t="n"/>
      <c r="S366" s="295" t="n"/>
      <c r="T366" s="295" t="n"/>
      <c r="U366" s="285" t="n"/>
      <c r="V366" s="295" t="n"/>
      <c r="W366" s="282" t="n"/>
      <c r="X366" s="295" t="n"/>
      <c r="Y366" s="295" t="n"/>
      <c r="Z366" s="295" t="n"/>
      <c r="AA366" s="295" t="n"/>
      <c r="AB366" s="285" t="n"/>
      <c r="AC366" s="295" t="n"/>
      <c r="AD366" s="295" t="n"/>
      <c r="AE366" s="286" t="n"/>
    </row>
    <row r="367">
      <c r="B367" s="287" t="n"/>
      <c r="C367" s="288" t="n"/>
      <c r="D367" s="295" t="n"/>
      <c r="E367" s="295" t="n"/>
      <c r="F367" s="295" t="n"/>
      <c r="G367" s="290" t="n"/>
      <c r="H367" s="295" t="n"/>
      <c r="I367" s="295" t="n"/>
      <c r="J367" s="290" t="n"/>
      <c r="K367" s="347" t="n"/>
      <c r="L367" s="295" t="n"/>
      <c r="M367" s="348" t="n"/>
      <c r="N367" s="295" t="n"/>
      <c r="O367" s="293" t="n"/>
      <c r="P367" s="295" t="n"/>
      <c r="Q367" s="295" t="n"/>
      <c r="R367" s="290" t="n"/>
      <c r="S367" s="295" t="n"/>
      <c r="T367" s="295" t="n"/>
      <c r="U367" s="293" t="n"/>
      <c r="V367" s="295" t="n"/>
      <c r="W367" s="290" t="n"/>
      <c r="X367" s="295" t="n"/>
      <c r="Y367" s="295" t="n"/>
      <c r="Z367" s="295" t="n"/>
      <c r="AA367" s="295" t="n"/>
      <c r="AB367" s="293" t="n"/>
      <c r="AC367" s="295" t="n"/>
      <c r="AD367" s="295" t="n"/>
      <c r="AE367" s="294" t="n"/>
    </row>
    <row r="368">
      <c r="B368" s="279" t="n"/>
      <c r="C368" s="280" t="n"/>
      <c r="D368" s="295" t="n"/>
      <c r="E368" s="295" t="n"/>
      <c r="F368" s="295" t="n"/>
      <c r="G368" s="282" t="n"/>
      <c r="H368" s="295" t="n"/>
      <c r="I368" s="295" t="n"/>
      <c r="J368" s="282" t="n"/>
      <c r="K368" s="345" t="n"/>
      <c r="L368" s="295" t="n"/>
      <c r="M368" s="346" t="n"/>
      <c r="N368" s="295" t="n"/>
      <c r="O368" s="285" t="n"/>
      <c r="P368" s="295" t="n"/>
      <c r="Q368" s="295" t="n"/>
      <c r="R368" s="282" t="n"/>
      <c r="S368" s="295" t="n"/>
      <c r="T368" s="295" t="n"/>
      <c r="U368" s="285" t="n"/>
      <c r="V368" s="295" t="n"/>
      <c r="W368" s="282" t="n"/>
      <c r="X368" s="295" t="n"/>
      <c r="Y368" s="295" t="n"/>
      <c r="Z368" s="295" t="n"/>
      <c r="AA368" s="295" t="n"/>
      <c r="AB368" s="285" t="n"/>
      <c r="AC368" s="295" t="n"/>
      <c r="AD368" s="295" t="n"/>
      <c r="AE368" s="286" t="n"/>
    </row>
    <row r="369">
      <c r="B369" s="287" t="n"/>
      <c r="C369" s="288" t="n"/>
      <c r="D369" s="295" t="n"/>
      <c r="E369" s="295" t="n"/>
      <c r="F369" s="295" t="n"/>
      <c r="G369" s="290" t="n"/>
      <c r="H369" s="295" t="n"/>
      <c r="I369" s="295" t="n"/>
      <c r="J369" s="290" t="n"/>
      <c r="K369" s="347" t="n"/>
      <c r="L369" s="295" t="n"/>
      <c r="M369" s="348" t="n"/>
      <c r="N369" s="295" t="n"/>
      <c r="O369" s="293" t="n"/>
      <c r="P369" s="295" t="n"/>
      <c r="Q369" s="295" t="n"/>
      <c r="R369" s="290" t="n"/>
      <c r="S369" s="295" t="n"/>
      <c r="T369" s="295" t="n"/>
      <c r="U369" s="293" t="n"/>
      <c r="V369" s="295" t="n"/>
      <c r="W369" s="290" t="n"/>
      <c r="X369" s="295" t="n"/>
      <c r="Y369" s="295" t="n"/>
      <c r="Z369" s="295" t="n"/>
      <c r="AA369" s="295" t="n"/>
      <c r="AB369" s="293" t="n"/>
      <c r="AC369" s="295" t="n"/>
      <c r="AD369" s="295" t="n"/>
      <c r="AE369" s="294" t="n"/>
    </row>
    <row r="370">
      <c r="B370" s="279" t="n"/>
      <c r="C370" s="280" t="n"/>
      <c r="D370" s="295" t="n"/>
      <c r="E370" s="295" t="n"/>
      <c r="F370" s="295" t="n"/>
      <c r="G370" s="282" t="n"/>
      <c r="H370" s="295" t="n"/>
      <c r="I370" s="295" t="n"/>
      <c r="J370" s="282" t="n"/>
      <c r="K370" s="345" t="n"/>
      <c r="L370" s="295" t="n"/>
      <c r="M370" s="346" t="n"/>
      <c r="N370" s="295" t="n"/>
      <c r="O370" s="285" t="n"/>
      <c r="P370" s="295" t="n"/>
      <c r="Q370" s="295" t="n"/>
      <c r="R370" s="282" t="n"/>
      <c r="S370" s="295" t="n"/>
      <c r="T370" s="295" t="n"/>
      <c r="U370" s="285" t="n"/>
      <c r="V370" s="295" t="n"/>
      <c r="W370" s="282" t="n"/>
      <c r="X370" s="295" t="n"/>
      <c r="Y370" s="295" t="n"/>
      <c r="Z370" s="295" t="n"/>
      <c r="AA370" s="295" t="n"/>
      <c r="AB370" s="285" t="n"/>
      <c r="AC370" s="295" t="n"/>
      <c r="AD370" s="295" t="n"/>
      <c r="AE370" s="286" t="n"/>
    </row>
    <row r="371">
      <c r="B371" s="287" t="n"/>
      <c r="C371" s="288" t="n"/>
      <c r="D371" s="295" t="n"/>
      <c r="E371" s="295" t="n"/>
      <c r="F371" s="295" t="n"/>
      <c r="G371" s="290" t="n"/>
      <c r="H371" s="295" t="n"/>
      <c r="I371" s="295" t="n"/>
      <c r="J371" s="290" t="n"/>
      <c r="K371" s="347" t="n"/>
      <c r="L371" s="295" t="n"/>
      <c r="M371" s="348" t="n"/>
      <c r="N371" s="295" t="n"/>
      <c r="O371" s="293" t="n"/>
      <c r="P371" s="295" t="n"/>
      <c r="Q371" s="295" t="n"/>
      <c r="R371" s="290" t="n"/>
      <c r="S371" s="295" t="n"/>
      <c r="T371" s="295" t="n"/>
      <c r="U371" s="293" t="n"/>
      <c r="V371" s="295" t="n"/>
      <c r="W371" s="290" t="n"/>
      <c r="X371" s="295" t="n"/>
      <c r="Y371" s="295" t="n"/>
      <c r="Z371" s="295" t="n"/>
      <c r="AA371" s="295" t="n"/>
      <c r="AB371" s="293" t="n"/>
      <c r="AC371" s="295" t="n"/>
      <c r="AD371" s="295" t="n"/>
      <c r="AE371" s="294" t="n"/>
    </row>
    <row r="372">
      <c r="B372" s="279" t="n"/>
      <c r="C372" s="280" t="n"/>
      <c r="D372" s="295" t="n"/>
      <c r="E372" s="295" t="n"/>
      <c r="F372" s="295" t="n"/>
      <c r="G372" s="282" t="n"/>
      <c r="H372" s="295" t="n"/>
      <c r="I372" s="295" t="n"/>
      <c r="J372" s="282" t="n"/>
      <c r="K372" s="345" t="n"/>
      <c r="L372" s="295" t="n"/>
      <c r="M372" s="346" t="n"/>
      <c r="N372" s="295" t="n"/>
      <c r="O372" s="285" t="n"/>
      <c r="P372" s="295" t="n"/>
      <c r="Q372" s="295" t="n"/>
      <c r="R372" s="282" t="n"/>
      <c r="S372" s="295" t="n"/>
      <c r="T372" s="295" t="n"/>
      <c r="U372" s="285" t="n"/>
      <c r="V372" s="295" t="n"/>
      <c r="W372" s="282" t="n"/>
      <c r="X372" s="295" t="n"/>
      <c r="Y372" s="295" t="n"/>
      <c r="Z372" s="295" t="n"/>
      <c r="AA372" s="295" t="n"/>
      <c r="AB372" s="285" t="n"/>
      <c r="AC372" s="295" t="n"/>
      <c r="AD372" s="295" t="n"/>
      <c r="AE372" s="286" t="n"/>
    </row>
    <row r="373">
      <c r="B373" s="287" t="n"/>
      <c r="C373" s="288" t="n"/>
      <c r="D373" s="295" t="n"/>
      <c r="E373" s="295" t="n"/>
      <c r="F373" s="295" t="n"/>
      <c r="G373" s="290" t="n"/>
      <c r="H373" s="295" t="n"/>
      <c r="I373" s="295" t="n"/>
      <c r="J373" s="290" t="n"/>
      <c r="K373" s="347" t="n"/>
      <c r="L373" s="295" t="n"/>
      <c r="M373" s="348" t="n"/>
      <c r="N373" s="295" t="n"/>
      <c r="O373" s="293" t="n"/>
      <c r="P373" s="295" t="n"/>
      <c r="Q373" s="295" t="n"/>
      <c r="R373" s="290" t="n"/>
      <c r="S373" s="295" t="n"/>
      <c r="T373" s="295" t="n"/>
      <c r="U373" s="293" t="n"/>
      <c r="V373" s="295" t="n"/>
      <c r="W373" s="290" t="n"/>
      <c r="X373" s="295" t="n"/>
      <c r="Y373" s="295" t="n"/>
      <c r="Z373" s="295" t="n"/>
      <c r="AA373" s="295" t="n"/>
      <c r="AB373" s="293" t="n"/>
      <c r="AC373" s="295" t="n"/>
      <c r="AD373" s="295" t="n"/>
      <c r="AE373" s="294" t="n"/>
    </row>
    <row r="374">
      <c r="B374" s="279" t="n"/>
      <c r="C374" s="280" t="n"/>
      <c r="D374" s="295" t="n"/>
      <c r="E374" s="295" t="n"/>
      <c r="F374" s="295" t="n"/>
      <c r="G374" s="282" t="n"/>
      <c r="H374" s="295" t="n"/>
      <c r="I374" s="295" t="n"/>
      <c r="J374" s="282" t="n"/>
      <c r="K374" s="345" t="n"/>
      <c r="L374" s="295" t="n"/>
      <c r="M374" s="346" t="n"/>
      <c r="N374" s="295" t="n"/>
      <c r="O374" s="285" t="n"/>
      <c r="P374" s="295" t="n"/>
      <c r="Q374" s="295" t="n"/>
      <c r="R374" s="282" t="n"/>
      <c r="S374" s="295" t="n"/>
      <c r="T374" s="295" t="n"/>
      <c r="U374" s="285" t="n"/>
      <c r="V374" s="295" t="n"/>
      <c r="W374" s="282" t="n"/>
      <c r="X374" s="295" t="n"/>
      <c r="Y374" s="295" t="n"/>
      <c r="Z374" s="295" t="n"/>
      <c r="AA374" s="295" t="n"/>
      <c r="AB374" s="285" t="n"/>
      <c r="AC374" s="295" t="n"/>
      <c r="AD374" s="295" t="n"/>
      <c r="AE374" s="286" t="n"/>
    </row>
    <row r="375">
      <c r="B375" s="287" t="n"/>
      <c r="C375" s="288" t="n"/>
      <c r="D375" s="295" t="n"/>
      <c r="E375" s="295" t="n"/>
      <c r="F375" s="295" t="n"/>
      <c r="G375" s="290" t="n"/>
      <c r="H375" s="295" t="n"/>
      <c r="I375" s="295" t="n"/>
      <c r="J375" s="290" t="n"/>
      <c r="K375" s="347" t="n"/>
      <c r="L375" s="295" t="n"/>
      <c r="M375" s="348" t="n"/>
      <c r="N375" s="295" t="n"/>
      <c r="O375" s="293" t="n"/>
      <c r="P375" s="295" t="n"/>
      <c r="Q375" s="295" t="n"/>
      <c r="R375" s="290" t="n"/>
      <c r="S375" s="295" t="n"/>
      <c r="T375" s="295" t="n"/>
      <c r="U375" s="293" t="n"/>
      <c r="V375" s="295" t="n"/>
      <c r="W375" s="290" t="n"/>
      <c r="X375" s="295" t="n"/>
      <c r="Y375" s="295" t="n"/>
      <c r="Z375" s="295" t="n"/>
      <c r="AA375" s="295" t="n"/>
      <c r="AB375" s="293" t="n"/>
      <c r="AC375" s="295" t="n"/>
      <c r="AD375" s="295" t="n"/>
      <c r="AE375" s="294" t="n"/>
    </row>
    <row r="376">
      <c r="B376" s="279" t="n"/>
      <c r="C376" s="280" t="n"/>
      <c r="D376" s="295" t="n"/>
      <c r="E376" s="295" t="n"/>
      <c r="F376" s="295" t="n"/>
      <c r="G376" s="282" t="n"/>
      <c r="H376" s="295" t="n"/>
      <c r="I376" s="295" t="n"/>
      <c r="J376" s="282" t="n"/>
      <c r="K376" s="345" t="n"/>
      <c r="L376" s="295" t="n"/>
      <c r="M376" s="346" t="n"/>
      <c r="N376" s="295" t="n"/>
      <c r="O376" s="285" t="n"/>
      <c r="P376" s="295" t="n"/>
      <c r="Q376" s="295" t="n"/>
      <c r="R376" s="282" t="n"/>
      <c r="S376" s="295" t="n"/>
      <c r="T376" s="295" t="n"/>
      <c r="U376" s="285" t="n"/>
      <c r="V376" s="295" t="n"/>
      <c r="W376" s="282" t="n"/>
      <c r="X376" s="295" t="n"/>
      <c r="Y376" s="295" t="n"/>
      <c r="Z376" s="295" t="n"/>
      <c r="AA376" s="295" t="n"/>
      <c r="AB376" s="285" t="n"/>
      <c r="AC376" s="295" t="n"/>
      <c r="AD376" s="295" t="n"/>
      <c r="AE376" s="286" t="n"/>
    </row>
    <row r="377">
      <c r="B377" s="287" t="n"/>
      <c r="C377" s="288" t="n"/>
      <c r="D377" s="295" t="n"/>
      <c r="E377" s="295" t="n"/>
      <c r="F377" s="295" t="n"/>
      <c r="G377" s="290" t="n"/>
      <c r="H377" s="295" t="n"/>
      <c r="I377" s="295" t="n"/>
      <c r="J377" s="290" t="n"/>
      <c r="K377" s="347" t="n"/>
      <c r="L377" s="295" t="n"/>
      <c r="M377" s="348" t="n"/>
      <c r="N377" s="295" t="n"/>
      <c r="O377" s="293" t="n"/>
      <c r="P377" s="295" t="n"/>
      <c r="Q377" s="295" t="n"/>
      <c r="R377" s="290" t="n"/>
      <c r="S377" s="295" t="n"/>
      <c r="T377" s="295" t="n"/>
      <c r="U377" s="293" t="n"/>
      <c r="V377" s="295" t="n"/>
      <c r="W377" s="290" t="n"/>
      <c r="X377" s="295" t="n"/>
      <c r="Y377" s="295" t="n"/>
      <c r="Z377" s="295" t="n"/>
      <c r="AA377" s="295" t="n"/>
      <c r="AB377" s="293" t="n"/>
      <c r="AC377" s="295" t="n"/>
      <c r="AD377" s="295" t="n"/>
      <c r="AE377" s="294" t="n"/>
    </row>
    <row r="378">
      <c r="B378" s="279" t="n"/>
      <c r="C378" s="280" t="n"/>
      <c r="D378" s="295" t="n"/>
      <c r="E378" s="295" t="n"/>
      <c r="F378" s="295" t="n"/>
      <c r="G378" s="282" t="n"/>
      <c r="H378" s="295" t="n"/>
      <c r="I378" s="295" t="n"/>
      <c r="J378" s="282" t="n"/>
      <c r="K378" s="345" t="n"/>
      <c r="L378" s="295" t="n"/>
      <c r="M378" s="346" t="n"/>
      <c r="N378" s="295" t="n"/>
      <c r="O378" s="285" t="n"/>
      <c r="P378" s="295" t="n"/>
      <c r="Q378" s="295" t="n"/>
      <c r="R378" s="282" t="n"/>
      <c r="S378" s="295" t="n"/>
      <c r="T378" s="295" t="n"/>
      <c r="U378" s="285" t="n"/>
      <c r="V378" s="295" t="n"/>
      <c r="W378" s="282" t="n"/>
      <c r="X378" s="295" t="n"/>
      <c r="Y378" s="295" t="n"/>
      <c r="Z378" s="295" t="n"/>
      <c r="AA378" s="295" t="n"/>
      <c r="AB378" s="285" t="n"/>
      <c r="AC378" s="295" t="n"/>
      <c r="AD378" s="295" t="n"/>
      <c r="AE378" s="286" t="n"/>
    </row>
    <row r="379">
      <c r="B379" s="287" t="n"/>
      <c r="C379" s="288" t="n"/>
      <c r="D379" s="295" t="n"/>
      <c r="E379" s="295" t="n"/>
      <c r="F379" s="295" t="n"/>
      <c r="G379" s="290" t="n"/>
      <c r="H379" s="295" t="n"/>
      <c r="I379" s="295" t="n"/>
      <c r="J379" s="290" t="n"/>
      <c r="K379" s="347" t="n"/>
      <c r="L379" s="295" t="n"/>
      <c r="M379" s="348" t="n"/>
      <c r="N379" s="295" t="n"/>
      <c r="O379" s="293" t="n"/>
      <c r="P379" s="295" t="n"/>
      <c r="Q379" s="295" t="n"/>
      <c r="R379" s="290" t="n"/>
      <c r="S379" s="295" t="n"/>
      <c r="T379" s="295" t="n"/>
      <c r="U379" s="293" t="n"/>
      <c r="V379" s="295" t="n"/>
      <c r="W379" s="290" t="n"/>
      <c r="X379" s="295" t="n"/>
      <c r="Y379" s="295" t="n"/>
      <c r="Z379" s="295" t="n"/>
      <c r="AA379" s="295" t="n"/>
      <c r="AB379" s="293" t="n"/>
      <c r="AC379" s="295" t="n"/>
      <c r="AD379" s="295" t="n"/>
      <c r="AE379" s="294" t="n"/>
    </row>
    <row r="380">
      <c r="B380" s="279" t="n"/>
      <c r="C380" s="280" t="n"/>
      <c r="D380" s="295" t="n"/>
      <c r="E380" s="295" t="n"/>
      <c r="F380" s="295" t="n"/>
      <c r="G380" s="282" t="n"/>
      <c r="H380" s="295" t="n"/>
      <c r="I380" s="295" t="n"/>
      <c r="J380" s="282" t="n"/>
      <c r="K380" s="345" t="n"/>
      <c r="L380" s="295" t="n"/>
      <c r="M380" s="346" t="n"/>
      <c r="N380" s="295" t="n"/>
      <c r="O380" s="285" t="n"/>
      <c r="P380" s="295" t="n"/>
      <c r="Q380" s="295" t="n"/>
      <c r="R380" s="282" t="n"/>
      <c r="S380" s="295" t="n"/>
      <c r="T380" s="295" t="n"/>
      <c r="U380" s="285" t="n"/>
      <c r="V380" s="295" t="n"/>
      <c r="W380" s="282" t="n"/>
      <c r="X380" s="295" t="n"/>
      <c r="Y380" s="295" t="n"/>
      <c r="Z380" s="295" t="n"/>
      <c r="AA380" s="295" t="n"/>
      <c r="AB380" s="285" t="n"/>
      <c r="AC380" s="295" t="n"/>
      <c r="AD380" s="295" t="n"/>
      <c r="AE380" s="286" t="n"/>
    </row>
    <row r="381">
      <c r="B381" s="287" t="n"/>
      <c r="C381" s="288" t="n"/>
      <c r="D381" s="295" t="n"/>
      <c r="E381" s="295" t="n"/>
      <c r="F381" s="295" t="n"/>
      <c r="G381" s="290" t="n"/>
      <c r="H381" s="295" t="n"/>
      <c r="I381" s="295" t="n"/>
      <c r="J381" s="290" t="n"/>
      <c r="K381" s="347" t="n"/>
      <c r="L381" s="295" t="n"/>
      <c r="M381" s="348" t="n"/>
      <c r="N381" s="295" t="n"/>
      <c r="O381" s="293" t="n"/>
      <c r="P381" s="295" t="n"/>
      <c r="Q381" s="295" t="n"/>
      <c r="R381" s="290" t="n"/>
      <c r="S381" s="295" t="n"/>
      <c r="T381" s="295" t="n"/>
      <c r="U381" s="293" t="n"/>
      <c r="V381" s="295" t="n"/>
      <c r="W381" s="290" t="n"/>
      <c r="X381" s="295" t="n"/>
      <c r="Y381" s="295" t="n"/>
      <c r="Z381" s="295" t="n"/>
      <c r="AA381" s="295" t="n"/>
      <c r="AB381" s="293" t="n"/>
      <c r="AC381" s="295" t="n"/>
      <c r="AD381" s="295" t="n"/>
      <c r="AE381" s="294" t="n"/>
    </row>
    <row r="382">
      <c r="B382" s="279" t="n"/>
      <c r="C382" s="280" t="n"/>
      <c r="D382" s="295" t="n"/>
      <c r="E382" s="295" t="n"/>
      <c r="F382" s="295" t="n"/>
      <c r="G382" s="282" t="n"/>
      <c r="H382" s="295" t="n"/>
      <c r="I382" s="295" t="n"/>
      <c r="J382" s="282" t="n"/>
      <c r="K382" s="345" t="n"/>
      <c r="L382" s="295" t="n"/>
      <c r="M382" s="346" t="n"/>
      <c r="N382" s="295" t="n"/>
      <c r="O382" s="285" t="n"/>
      <c r="P382" s="295" t="n"/>
      <c r="Q382" s="295" t="n"/>
      <c r="R382" s="282" t="n"/>
      <c r="S382" s="295" t="n"/>
      <c r="T382" s="295" t="n"/>
      <c r="U382" s="285" t="n"/>
      <c r="V382" s="295" t="n"/>
      <c r="W382" s="282" t="n"/>
      <c r="X382" s="295" t="n"/>
      <c r="Y382" s="295" t="n"/>
      <c r="Z382" s="295" t="n"/>
      <c r="AA382" s="295" t="n"/>
      <c r="AB382" s="285" t="n"/>
      <c r="AC382" s="295" t="n"/>
      <c r="AD382" s="295" t="n"/>
      <c r="AE382" s="286" t="n"/>
    </row>
    <row r="383">
      <c r="B383" s="287" t="n"/>
      <c r="C383" s="288" t="n"/>
      <c r="D383" s="295" t="n"/>
      <c r="E383" s="295" t="n"/>
      <c r="F383" s="295" t="n"/>
      <c r="G383" s="290" t="n"/>
      <c r="H383" s="295" t="n"/>
      <c r="I383" s="295" t="n"/>
      <c r="J383" s="290" t="n"/>
      <c r="K383" s="347" t="n"/>
      <c r="L383" s="295" t="n"/>
      <c r="M383" s="348" t="n"/>
      <c r="N383" s="295" t="n"/>
      <c r="O383" s="293" t="n"/>
      <c r="P383" s="295" t="n"/>
      <c r="Q383" s="295" t="n"/>
      <c r="R383" s="290" t="n"/>
      <c r="S383" s="295" t="n"/>
      <c r="T383" s="295" t="n"/>
      <c r="U383" s="293" t="n"/>
      <c r="V383" s="295" t="n"/>
      <c r="W383" s="290" t="n"/>
      <c r="X383" s="295" t="n"/>
      <c r="Y383" s="295" t="n"/>
      <c r="Z383" s="295" t="n"/>
      <c r="AA383" s="295" t="n"/>
      <c r="AB383" s="293" t="n"/>
      <c r="AC383" s="295" t="n"/>
      <c r="AD383" s="295" t="n"/>
      <c r="AE383" s="294" t="n"/>
    </row>
    <row r="384">
      <c r="B384" s="279" t="n"/>
      <c r="C384" s="280" t="n"/>
      <c r="D384" s="295" t="n"/>
      <c r="E384" s="295" t="n"/>
      <c r="F384" s="295" t="n"/>
      <c r="G384" s="282" t="n"/>
      <c r="H384" s="295" t="n"/>
      <c r="I384" s="295" t="n"/>
      <c r="J384" s="282" t="n"/>
      <c r="K384" s="345" t="n"/>
      <c r="L384" s="295" t="n"/>
      <c r="M384" s="346" t="n"/>
      <c r="N384" s="295" t="n"/>
      <c r="O384" s="285" t="n"/>
      <c r="P384" s="295" t="n"/>
      <c r="Q384" s="295" t="n"/>
      <c r="R384" s="282" t="n"/>
      <c r="S384" s="295" t="n"/>
      <c r="T384" s="295" t="n"/>
      <c r="U384" s="285" t="n"/>
      <c r="V384" s="295" t="n"/>
      <c r="W384" s="282" t="n"/>
      <c r="X384" s="295" t="n"/>
      <c r="Y384" s="295" t="n"/>
      <c r="Z384" s="295" t="n"/>
      <c r="AA384" s="295" t="n"/>
      <c r="AB384" s="285" t="n"/>
      <c r="AC384" s="295" t="n"/>
      <c r="AD384" s="295" t="n"/>
      <c r="AE384" s="286" t="n"/>
    </row>
    <row r="385">
      <c r="B385" s="287" t="n"/>
      <c r="C385" s="288" t="n"/>
      <c r="D385" s="295" t="n"/>
      <c r="E385" s="295" t="n"/>
      <c r="F385" s="295" t="n"/>
      <c r="G385" s="290" t="n"/>
      <c r="H385" s="295" t="n"/>
      <c r="I385" s="295" t="n"/>
      <c r="J385" s="290" t="n"/>
      <c r="K385" s="347" t="n"/>
      <c r="L385" s="295" t="n"/>
      <c r="M385" s="348" t="n"/>
      <c r="N385" s="295" t="n"/>
      <c r="O385" s="293" t="n"/>
      <c r="P385" s="295" t="n"/>
      <c r="Q385" s="295" t="n"/>
      <c r="R385" s="290" t="n"/>
      <c r="S385" s="295" t="n"/>
      <c r="T385" s="295" t="n"/>
      <c r="U385" s="293" t="n"/>
      <c r="V385" s="295" t="n"/>
      <c r="W385" s="290" t="n"/>
      <c r="X385" s="295" t="n"/>
      <c r="Y385" s="295" t="n"/>
      <c r="Z385" s="295" t="n"/>
      <c r="AA385" s="295" t="n"/>
      <c r="AB385" s="293" t="n"/>
      <c r="AC385" s="295" t="n"/>
      <c r="AD385" s="295" t="n"/>
      <c r="AE385" s="294" t="n"/>
    </row>
    <row r="386">
      <c r="B386" s="279" t="n"/>
      <c r="C386" s="280" t="n"/>
      <c r="D386" s="295" t="n"/>
      <c r="E386" s="295" t="n"/>
      <c r="F386" s="295" t="n"/>
      <c r="G386" s="282" t="n"/>
      <c r="H386" s="295" t="n"/>
      <c r="I386" s="295" t="n"/>
      <c r="J386" s="282" t="n"/>
      <c r="K386" s="345" t="n"/>
      <c r="L386" s="295" t="n"/>
      <c r="M386" s="346" t="n"/>
      <c r="N386" s="295" t="n"/>
      <c r="O386" s="285" t="n"/>
      <c r="P386" s="295" t="n"/>
      <c r="Q386" s="295" t="n"/>
      <c r="R386" s="282" t="n"/>
      <c r="S386" s="295" t="n"/>
      <c r="T386" s="295" t="n"/>
      <c r="U386" s="285" t="n"/>
      <c r="V386" s="295" t="n"/>
      <c r="W386" s="282" t="n"/>
      <c r="X386" s="295" t="n"/>
      <c r="Y386" s="295" t="n"/>
      <c r="Z386" s="295" t="n"/>
      <c r="AA386" s="295" t="n"/>
      <c r="AB386" s="285" t="n"/>
      <c r="AC386" s="295" t="n"/>
      <c r="AD386" s="295" t="n"/>
      <c r="AE386" s="286" t="n"/>
    </row>
    <row r="387">
      <c r="B387" s="287" t="n"/>
      <c r="C387" s="288" t="n"/>
      <c r="D387" s="295" t="n"/>
      <c r="E387" s="295" t="n"/>
      <c r="F387" s="295" t="n"/>
      <c r="G387" s="290" t="n"/>
      <c r="H387" s="295" t="n"/>
      <c r="I387" s="295" t="n"/>
      <c r="J387" s="290" t="n"/>
      <c r="K387" s="347" t="n"/>
      <c r="L387" s="295" t="n"/>
      <c r="M387" s="348" t="n"/>
      <c r="N387" s="295" t="n"/>
      <c r="O387" s="293" t="n"/>
      <c r="P387" s="295" t="n"/>
      <c r="Q387" s="295" t="n"/>
      <c r="R387" s="290" t="n"/>
      <c r="S387" s="295" t="n"/>
      <c r="T387" s="295" t="n"/>
      <c r="U387" s="293" t="n"/>
      <c r="V387" s="295" t="n"/>
      <c r="W387" s="290" t="n"/>
      <c r="X387" s="295" t="n"/>
      <c r="Y387" s="295" t="n"/>
      <c r="Z387" s="295" t="n"/>
      <c r="AA387" s="295" t="n"/>
      <c r="AB387" s="293" t="n"/>
      <c r="AC387" s="295" t="n"/>
      <c r="AD387" s="295" t="n"/>
      <c r="AE387" s="294" t="n"/>
    </row>
    <row r="388">
      <c r="B388" s="279" t="n"/>
      <c r="C388" s="280" t="n"/>
      <c r="D388" s="295" t="n"/>
      <c r="E388" s="295" t="n"/>
      <c r="F388" s="295" t="n"/>
      <c r="G388" s="282" t="n"/>
      <c r="H388" s="295" t="n"/>
      <c r="I388" s="295" t="n"/>
      <c r="J388" s="282" t="n"/>
      <c r="K388" s="345" t="n"/>
      <c r="L388" s="295" t="n"/>
      <c r="M388" s="346" t="n"/>
      <c r="N388" s="295" t="n"/>
      <c r="O388" s="285" t="n"/>
      <c r="P388" s="295" t="n"/>
      <c r="Q388" s="295" t="n"/>
      <c r="R388" s="282" t="n"/>
      <c r="S388" s="295" t="n"/>
      <c r="T388" s="295" t="n"/>
      <c r="U388" s="285" t="n"/>
      <c r="V388" s="295" t="n"/>
      <c r="W388" s="282" t="n"/>
      <c r="X388" s="295" t="n"/>
      <c r="Y388" s="295" t="n"/>
      <c r="Z388" s="295" t="n"/>
      <c r="AA388" s="295" t="n"/>
      <c r="AB388" s="285" t="n"/>
      <c r="AC388" s="295" t="n"/>
      <c r="AD388" s="295" t="n"/>
      <c r="AE388" s="286" t="n"/>
    </row>
    <row r="389">
      <c r="B389" s="287" t="n"/>
      <c r="C389" s="288" t="n"/>
      <c r="D389" s="295" t="n"/>
      <c r="E389" s="295" t="n"/>
      <c r="F389" s="295" t="n"/>
      <c r="G389" s="290" t="n"/>
      <c r="H389" s="295" t="n"/>
      <c r="I389" s="295" t="n"/>
      <c r="J389" s="290" t="n"/>
      <c r="K389" s="347" t="n"/>
      <c r="L389" s="295" t="n"/>
      <c r="M389" s="348" t="n"/>
      <c r="N389" s="295" t="n"/>
      <c r="O389" s="293" t="n"/>
      <c r="P389" s="295" t="n"/>
      <c r="Q389" s="295" t="n"/>
      <c r="R389" s="290" t="n"/>
      <c r="S389" s="295" t="n"/>
      <c r="T389" s="295" t="n"/>
      <c r="U389" s="293" t="n"/>
      <c r="V389" s="295" t="n"/>
      <c r="W389" s="290" t="n"/>
      <c r="X389" s="295" t="n"/>
      <c r="Y389" s="295" t="n"/>
      <c r="Z389" s="295" t="n"/>
      <c r="AA389" s="295" t="n"/>
      <c r="AB389" s="293" t="n"/>
      <c r="AC389" s="295" t="n"/>
      <c r="AD389" s="295" t="n"/>
      <c r="AE389" s="294" t="n"/>
    </row>
    <row r="390">
      <c r="B390" s="279" t="n"/>
      <c r="C390" s="280" t="n"/>
      <c r="D390" s="295" t="n"/>
      <c r="E390" s="295" t="n"/>
      <c r="F390" s="295" t="n"/>
      <c r="G390" s="282" t="n"/>
      <c r="H390" s="295" t="n"/>
      <c r="I390" s="295" t="n"/>
      <c r="J390" s="282" t="n"/>
      <c r="K390" s="345" t="n"/>
      <c r="L390" s="295" t="n"/>
      <c r="M390" s="346" t="n"/>
      <c r="N390" s="295" t="n"/>
      <c r="O390" s="285" t="n"/>
      <c r="P390" s="295" t="n"/>
      <c r="Q390" s="295" t="n"/>
      <c r="R390" s="282" t="n"/>
      <c r="S390" s="295" t="n"/>
      <c r="T390" s="295" t="n"/>
      <c r="U390" s="285" t="n"/>
      <c r="V390" s="295" t="n"/>
      <c r="W390" s="282" t="n"/>
      <c r="X390" s="295" t="n"/>
      <c r="Y390" s="295" t="n"/>
      <c r="Z390" s="295" t="n"/>
      <c r="AA390" s="295" t="n"/>
      <c r="AB390" s="285" t="n"/>
      <c r="AC390" s="295" t="n"/>
      <c r="AD390" s="295" t="n"/>
      <c r="AE390" s="286" t="n"/>
    </row>
    <row r="391">
      <c r="B391" s="287" t="n"/>
      <c r="C391" s="288" t="n"/>
      <c r="D391" s="295" t="n"/>
      <c r="E391" s="295" t="n"/>
      <c r="F391" s="295" t="n"/>
      <c r="G391" s="290" t="n"/>
      <c r="H391" s="295" t="n"/>
      <c r="I391" s="295" t="n"/>
      <c r="J391" s="290" t="n"/>
      <c r="K391" s="347" t="n"/>
      <c r="L391" s="295" t="n"/>
      <c r="M391" s="348" t="n"/>
      <c r="N391" s="295" t="n"/>
      <c r="O391" s="293" t="n"/>
      <c r="P391" s="295" t="n"/>
      <c r="Q391" s="295" t="n"/>
      <c r="R391" s="290" t="n"/>
      <c r="S391" s="295" t="n"/>
      <c r="T391" s="295" t="n"/>
      <c r="U391" s="293" t="n"/>
      <c r="V391" s="295" t="n"/>
      <c r="W391" s="290" t="n"/>
      <c r="X391" s="295" t="n"/>
      <c r="Y391" s="295" t="n"/>
      <c r="Z391" s="295" t="n"/>
      <c r="AA391" s="295" t="n"/>
      <c r="AB391" s="293" t="n"/>
      <c r="AC391" s="295" t="n"/>
      <c r="AD391" s="295" t="n"/>
      <c r="AE391" s="294" t="n"/>
    </row>
    <row r="392">
      <c r="B392" s="279" t="n"/>
      <c r="C392" s="280" t="n"/>
      <c r="D392" s="295" t="n"/>
      <c r="E392" s="295" t="n"/>
      <c r="F392" s="295" t="n"/>
      <c r="G392" s="282" t="n"/>
      <c r="H392" s="295" t="n"/>
      <c r="I392" s="295" t="n"/>
      <c r="J392" s="282" t="n"/>
      <c r="K392" s="345" t="n"/>
      <c r="L392" s="295" t="n"/>
      <c r="M392" s="346" t="n"/>
      <c r="N392" s="295" t="n"/>
      <c r="O392" s="285" t="n"/>
      <c r="P392" s="295" t="n"/>
      <c r="Q392" s="295" t="n"/>
      <c r="R392" s="282" t="n"/>
      <c r="S392" s="295" t="n"/>
      <c r="T392" s="295" t="n"/>
      <c r="U392" s="285" t="n"/>
      <c r="V392" s="295" t="n"/>
      <c r="W392" s="282" t="n"/>
      <c r="X392" s="295" t="n"/>
      <c r="Y392" s="295" t="n"/>
      <c r="Z392" s="295" t="n"/>
      <c r="AA392" s="295" t="n"/>
      <c r="AB392" s="285" t="n"/>
      <c r="AC392" s="295" t="n"/>
      <c r="AD392" s="295" t="n"/>
      <c r="AE392" s="286" t="n"/>
    </row>
    <row r="393">
      <c r="B393" s="287" t="n"/>
      <c r="C393" s="288" t="n"/>
      <c r="D393" s="295" t="n"/>
      <c r="E393" s="295" t="n"/>
      <c r="F393" s="295" t="n"/>
      <c r="G393" s="290" t="n"/>
      <c r="H393" s="295" t="n"/>
      <c r="I393" s="295" t="n"/>
      <c r="J393" s="290" t="n"/>
      <c r="K393" s="347" t="n"/>
      <c r="L393" s="295" t="n"/>
      <c r="M393" s="348" t="n"/>
      <c r="N393" s="295" t="n"/>
      <c r="O393" s="293" t="n"/>
      <c r="P393" s="295" t="n"/>
      <c r="Q393" s="295" t="n"/>
      <c r="R393" s="290" t="n"/>
      <c r="S393" s="295" t="n"/>
      <c r="T393" s="295" t="n"/>
      <c r="U393" s="293" t="n"/>
      <c r="V393" s="295" t="n"/>
      <c r="W393" s="290" t="n"/>
      <c r="X393" s="295" t="n"/>
      <c r="Y393" s="295" t="n"/>
      <c r="Z393" s="295" t="n"/>
      <c r="AA393" s="295" t="n"/>
      <c r="AB393" s="293" t="n"/>
      <c r="AC393" s="295" t="n"/>
      <c r="AD393" s="295" t="n"/>
      <c r="AE393" s="294" t="n"/>
    </row>
    <row r="394">
      <c r="B394" s="279" t="n"/>
      <c r="C394" s="280" t="n"/>
      <c r="D394" s="295" t="n"/>
      <c r="E394" s="295" t="n"/>
      <c r="F394" s="295" t="n"/>
      <c r="G394" s="282" t="n"/>
      <c r="H394" s="295" t="n"/>
      <c r="I394" s="295" t="n"/>
      <c r="J394" s="282" t="n"/>
      <c r="K394" s="345" t="n"/>
      <c r="L394" s="295" t="n"/>
      <c r="M394" s="346" t="n"/>
      <c r="N394" s="295" t="n"/>
      <c r="O394" s="285" t="n"/>
      <c r="P394" s="295" t="n"/>
      <c r="Q394" s="295" t="n"/>
      <c r="R394" s="282" t="n"/>
      <c r="S394" s="295" t="n"/>
      <c r="T394" s="295" t="n"/>
      <c r="U394" s="285" t="n"/>
      <c r="V394" s="295" t="n"/>
      <c r="W394" s="282" t="n"/>
      <c r="X394" s="295" t="n"/>
      <c r="Y394" s="295" t="n"/>
      <c r="Z394" s="295" t="n"/>
      <c r="AA394" s="295" t="n"/>
      <c r="AB394" s="285" t="n"/>
      <c r="AC394" s="295" t="n"/>
      <c r="AD394" s="295" t="n"/>
      <c r="AE394" s="286" t="n"/>
    </row>
    <row r="395">
      <c r="B395" s="287" t="n"/>
      <c r="C395" s="288" t="n"/>
      <c r="D395" s="295" t="n"/>
      <c r="E395" s="295" t="n"/>
      <c r="F395" s="295" t="n"/>
      <c r="G395" s="290" t="n"/>
      <c r="H395" s="295" t="n"/>
      <c r="I395" s="295" t="n"/>
      <c r="J395" s="290" t="n"/>
      <c r="K395" s="347" t="n"/>
      <c r="L395" s="295" t="n"/>
      <c r="M395" s="348" t="n"/>
      <c r="N395" s="295" t="n"/>
      <c r="O395" s="293" t="n"/>
      <c r="P395" s="295" t="n"/>
      <c r="Q395" s="295" t="n"/>
      <c r="R395" s="290" t="n"/>
      <c r="S395" s="295" t="n"/>
      <c r="T395" s="295" t="n"/>
      <c r="U395" s="293" t="n"/>
      <c r="V395" s="295" t="n"/>
      <c r="W395" s="290" t="n"/>
      <c r="X395" s="295" t="n"/>
      <c r="Y395" s="295" t="n"/>
      <c r="Z395" s="295" t="n"/>
      <c r="AA395" s="295" t="n"/>
      <c r="AB395" s="293" t="n"/>
      <c r="AC395" s="295" t="n"/>
      <c r="AD395" s="295" t="n"/>
      <c r="AE395" s="294" t="n"/>
    </row>
    <row r="396">
      <c r="B396" s="279" t="n"/>
      <c r="C396" s="280" t="n"/>
      <c r="D396" s="295" t="n"/>
      <c r="E396" s="295" t="n"/>
      <c r="F396" s="295" t="n"/>
      <c r="G396" s="282" t="n"/>
      <c r="H396" s="295" t="n"/>
      <c r="I396" s="295" t="n"/>
      <c r="J396" s="282" t="n"/>
      <c r="K396" s="345" t="n"/>
      <c r="L396" s="295" t="n"/>
      <c r="M396" s="346" t="n"/>
      <c r="N396" s="295" t="n"/>
      <c r="O396" s="285" t="n"/>
      <c r="P396" s="295" t="n"/>
      <c r="Q396" s="295" t="n"/>
      <c r="R396" s="282" t="n"/>
      <c r="S396" s="295" t="n"/>
      <c r="T396" s="295" t="n"/>
      <c r="U396" s="285" t="n"/>
      <c r="V396" s="295" t="n"/>
      <c r="W396" s="282" t="n"/>
      <c r="X396" s="295" t="n"/>
      <c r="Y396" s="295" t="n"/>
      <c r="Z396" s="295" t="n"/>
      <c r="AA396" s="295" t="n"/>
      <c r="AB396" s="285" t="n"/>
      <c r="AC396" s="295" t="n"/>
      <c r="AD396" s="295" t="n"/>
      <c r="AE396" s="286" t="n"/>
    </row>
    <row r="397">
      <c r="B397" s="287" t="n"/>
      <c r="C397" s="288" t="n"/>
      <c r="D397" s="295" t="n"/>
      <c r="E397" s="295" t="n"/>
      <c r="F397" s="295" t="n"/>
      <c r="G397" s="290" t="n"/>
      <c r="H397" s="295" t="n"/>
      <c r="I397" s="295" t="n"/>
      <c r="J397" s="290" t="n"/>
      <c r="K397" s="347" t="n"/>
      <c r="L397" s="295" t="n"/>
      <c r="M397" s="348" t="n"/>
      <c r="N397" s="295" t="n"/>
      <c r="O397" s="293" t="n"/>
      <c r="P397" s="295" t="n"/>
      <c r="Q397" s="295" t="n"/>
      <c r="R397" s="290" t="n"/>
      <c r="S397" s="295" t="n"/>
      <c r="T397" s="295" t="n"/>
      <c r="U397" s="293" t="n"/>
      <c r="V397" s="295" t="n"/>
      <c r="W397" s="290" t="n"/>
      <c r="X397" s="295" t="n"/>
      <c r="Y397" s="295" t="n"/>
      <c r="Z397" s="295" t="n"/>
      <c r="AA397" s="295" t="n"/>
      <c r="AB397" s="293" t="n"/>
      <c r="AC397" s="295" t="n"/>
      <c r="AD397" s="295" t="n"/>
      <c r="AE397" s="294" t="n"/>
    </row>
    <row r="398">
      <c r="B398" s="279" t="n"/>
      <c r="C398" s="280" t="n"/>
      <c r="D398" s="295" t="n"/>
      <c r="E398" s="295" t="n"/>
      <c r="F398" s="295" t="n"/>
      <c r="G398" s="282" t="n"/>
      <c r="H398" s="295" t="n"/>
      <c r="I398" s="295" t="n"/>
      <c r="J398" s="282" t="n"/>
      <c r="K398" s="345" t="n"/>
      <c r="L398" s="295" t="n"/>
      <c r="M398" s="346" t="n"/>
      <c r="N398" s="295" t="n"/>
      <c r="O398" s="285" t="n"/>
      <c r="P398" s="295" t="n"/>
      <c r="Q398" s="295" t="n"/>
      <c r="R398" s="282" t="n"/>
      <c r="S398" s="295" t="n"/>
      <c r="T398" s="295" t="n"/>
      <c r="U398" s="285" t="n"/>
      <c r="V398" s="295" t="n"/>
      <c r="W398" s="282" t="n"/>
      <c r="X398" s="295" t="n"/>
      <c r="Y398" s="295" t="n"/>
      <c r="Z398" s="295" t="n"/>
      <c r="AA398" s="295" t="n"/>
      <c r="AB398" s="285" t="n"/>
      <c r="AC398" s="295" t="n"/>
      <c r="AD398" s="295" t="n"/>
      <c r="AE398" s="286" t="n"/>
    </row>
    <row r="399">
      <c r="B399" s="287" t="n"/>
      <c r="C399" s="288" t="n"/>
      <c r="D399" s="295" t="n"/>
      <c r="E399" s="295" t="n"/>
      <c r="F399" s="295" t="n"/>
      <c r="G399" s="290" t="n"/>
      <c r="H399" s="295" t="n"/>
      <c r="I399" s="295" t="n"/>
      <c r="J399" s="290" t="n"/>
      <c r="K399" s="347" t="n"/>
      <c r="L399" s="295" t="n"/>
      <c r="M399" s="348" t="n"/>
      <c r="N399" s="295" t="n"/>
      <c r="O399" s="293" t="n"/>
      <c r="P399" s="295" t="n"/>
      <c r="Q399" s="295" t="n"/>
      <c r="R399" s="290" t="n"/>
      <c r="S399" s="295" t="n"/>
      <c r="T399" s="295" t="n"/>
      <c r="U399" s="293" t="n"/>
      <c r="V399" s="295" t="n"/>
      <c r="W399" s="290" t="n"/>
      <c r="X399" s="295" t="n"/>
      <c r="Y399" s="295" t="n"/>
      <c r="Z399" s="295" t="n"/>
      <c r="AA399" s="295" t="n"/>
      <c r="AB399" s="293" t="n"/>
      <c r="AC399" s="295" t="n"/>
      <c r="AD399" s="295" t="n"/>
      <c r="AE399" s="294" t="n"/>
    </row>
    <row r="400">
      <c r="B400" s="279" t="n"/>
      <c r="C400" s="280" t="n"/>
      <c r="D400" s="295" t="n"/>
      <c r="E400" s="295" t="n"/>
      <c r="F400" s="295" t="n"/>
      <c r="G400" s="282" t="n"/>
      <c r="H400" s="295" t="n"/>
      <c r="I400" s="295" t="n"/>
      <c r="J400" s="282" t="n"/>
      <c r="K400" s="345" t="n"/>
      <c r="L400" s="295" t="n"/>
      <c r="M400" s="346" t="n"/>
      <c r="N400" s="295" t="n"/>
      <c r="O400" s="285" t="n"/>
      <c r="P400" s="295" t="n"/>
      <c r="Q400" s="295" t="n"/>
      <c r="R400" s="282" t="n"/>
      <c r="S400" s="295" t="n"/>
      <c r="T400" s="295" t="n"/>
      <c r="U400" s="285" t="n"/>
      <c r="V400" s="295" t="n"/>
      <c r="W400" s="282" t="n"/>
      <c r="X400" s="295" t="n"/>
      <c r="Y400" s="295" t="n"/>
      <c r="Z400" s="295" t="n"/>
      <c r="AA400" s="295" t="n"/>
      <c r="AB400" s="285" t="n"/>
      <c r="AC400" s="295" t="n"/>
      <c r="AD400" s="295" t="n"/>
      <c r="AE400" s="286" t="n"/>
    </row>
    <row r="401">
      <c r="B401" s="287" t="n"/>
      <c r="C401" s="288" t="n"/>
      <c r="D401" s="295" t="n"/>
      <c r="E401" s="295" t="n"/>
      <c r="F401" s="295" t="n"/>
      <c r="G401" s="290" t="n"/>
      <c r="H401" s="295" t="n"/>
      <c r="I401" s="295" t="n"/>
      <c r="J401" s="290" t="n"/>
      <c r="K401" s="347" t="n"/>
      <c r="L401" s="295" t="n"/>
      <c r="M401" s="348" t="n"/>
      <c r="N401" s="295" t="n"/>
      <c r="O401" s="293" t="n"/>
      <c r="P401" s="295" t="n"/>
      <c r="Q401" s="295" t="n"/>
      <c r="R401" s="290" t="n"/>
      <c r="S401" s="295" t="n"/>
      <c r="T401" s="295" t="n"/>
      <c r="U401" s="293" t="n"/>
      <c r="V401" s="295" t="n"/>
      <c r="W401" s="290" t="n"/>
      <c r="X401" s="295" t="n"/>
      <c r="Y401" s="295" t="n"/>
      <c r="Z401" s="295" t="n"/>
      <c r="AA401" s="295" t="n"/>
      <c r="AB401" s="293" t="n"/>
      <c r="AC401" s="295" t="n"/>
      <c r="AD401" s="295" t="n"/>
      <c r="AE401" s="294" t="n"/>
    </row>
    <row r="402">
      <c r="B402" s="279" t="n"/>
      <c r="C402" s="280" t="n"/>
      <c r="D402" s="295" t="n"/>
      <c r="E402" s="295" t="n"/>
      <c r="F402" s="295" t="n"/>
      <c r="G402" s="282" t="n"/>
      <c r="H402" s="295" t="n"/>
      <c r="I402" s="295" t="n"/>
      <c r="J402" s="282" t="n"/>
      <c r="K402" s="345" t="n"/>
      <c r="L402" s="295" t="n"/>
      <c r="M402" s="346" t="n"/>
      <c r="N402" s="295" t="n"/>
      <c r="O402" s="285" t="n"/>
      <c r="P402" s="295" t="n"/>
      <c r="Q402" s="295" t="n"/>
      <c r="R402" s="282" t="n"/>
      <c r="S402" s="295" t="n"/>
      <c r="T402" s="295" t="n"/>
      <c r="U402" s="285" t="n"/>
      <c r="V402" s="295" t="n"/>
      <c r="W402" s="282" t="n"/>
      <c r="X402" s="295" t="n"/>
      <c r="Y402" s="295" t="n"/>
      <c r="Z402" s="295" t="n"/>
      <c r="AA402" s="295" t="n"/>
      <c r="AB402" s="285" t="n"/>
      <c r="AC402" s="295" t="n"/>
      <c r="AD402" s="295" t="n"/>
      <c r="AE402" s="286" t="n"/>
    </row>
    <row r="403">
      <c r="B403" s="287" t="n"/>
      <c r="C403" s="288" t="n"/>
      <c r="D403" s="295" t="n"/>
      <c r="E403" s="295" t="n"/>
      <c r="F403" s="295" t="n"/>
      <c r="G403" s="290" t="n"/>
      <c r="H403" s="295" t="n"/>
      <c r="I403" s="295" t="n"/>
      <c r="J403" s="290" t="n"/>
      <c r="K403" s="347" t="n"/>
      <c r="L403" s="295" t="n"/>
      <c r="M403" s="348" t="n"/>
      <c r="N403" s="295" t="n"/>
      <c r="O403" s="293" t="n"/>
      <c r="P403" s="295" t="n"/>
      <c r="Q403" s="295" t="n"/>
      <c r="R403" s="290" t="n"/>
      <c r="S403" s="295" t="n"/>
      <c r="T403" s="295" t="n"/>
      <c r="U403" s="293" t="n"/>
      <c r="V403" s="295" t="n"/>
      <c r="W403" s="290" t="n"/>
      <c r="X403" s="295" t="n"/>
      <c r="Y403" s="295" t="n"/>
      <c r="Z403" s="295" t="n"/>
      <c r="AA403" s="295" t="n"/>
      <c r="AB403" s="293" t="n"/>
      <c r="AC403" s="295" t="n"/>
      <c r="AD403" s="295" t="n"/>
      <c r="AE403" s="294" t="n"/>
    </row>
    <row r="404">
      <c r="B404" s="279" t="n"/>
      <c r="C404" s="280" t="n"/>
      <c r="D404" s="295" t="n"/>
      <c r="E404" s="295" t="n"/>
      <c r="F404" s="295" t="n"/>
      <c r="G404" s="282" t="n"/>
      <c r="H404" s="295" t="n"/>
      <c r="I404" s="295" t="n"/>
      <c r="J404" s="282" t="n"/>
      <c r="K404" s="345" t="n"/>
      <c r="L404" s="295" t="n"/>
      <c r="M404" s="346" t="n"/>
      <c r="N404" s="295" t="n"/>
      <c r="O404" s="285" t="n"/>
      <c r="P404" s="295" t="n"/>
      <c r="Q404" s="295" t="n"/>
      <c r="R404" s="282" t="n"/>
      <c r="S404" s="295" t="n"/>
      <c r="T404" s="295" t="n"/>
      <c r="U404" s="285" t="n"/>
      <c r="V404" s="295" t="n"/>
      <c r="W404" s="282" t="n"/>
      <c r="X404" s="295" t="n"/>
      <c r="Y404" s="295" t="n"/>
      <c r="Z404" s="295" t="n"/>
      <c r="AA404" s="295" t="n"/>
      <c r="AB404" s="285" t="n"/>
      <c r="AC404" s="295" t="n"/>
      <c r="AD404" s="295" t="n"/>
      <c r="AE404" s="286" t="n"/>
    </row>
    <row r="405">
      <c r="B405" s="287" t="n"/>
      <c r="C405" s="288" t="n"/>
      <c r="D405" s="295" t="n"/>
      <c r="E405" s="295" t="n"/>
      <c r="F405" s="295" t="n"/>
      <c r="G405" s="290" t="n"/>
      <c r="H405" s="295" t="n"/>
      <c r="I405" s="295" t="n"/>
      <c r="J405" s="290" t="n"/>
      <c r="K405" s="347" t="n"/>
      <c r="L405" s="295" t="n"/>
      <c r="M405" s="348" t="n"/>
      <c r="N405" s="295" t="n"/>
      <c r="O405" s="293" t="n"/>
      <c r="P405" s="295" t="n"/>
      <c r="Q405" s="295" t="n"/>
      <c r="R405" s="290" t="n"/>
      <c r="S405" s="295" t="n"/>
      <c r="T405" s="295" t="n"/>
      <c r="U405" s="293" t="n"/>
      <c r="V405" s="295" t="n"/>
      <c r="W405" s="290" t="n"/>
      <c r="X405" s="295" t="n"/>
      <c r="Y405" s="295" t="n"/>
      <c r="Z405" s="295" t="n"/>
      <c r="AA405" s="295" t="n"/>
      <c r="AB405" s="293" t="n"/>
      <c r="AC405" s="295" t="n"/>
      <c r="AD405" s="295" t="n"/>
      <c r="AE405" s="294" t="n"/>
    </row>
    <row r="406">
      <c r="B406" s="279" t="n"/>
      <c r="C406" s="280" t="n"/>
      <c r="D406" s="295" t="n"/>
      <c r="E406" s="295" t="n"/>
      <c r="F406" s="295" t="n"/>
      <c r="G406" s="282" t="n"/>
      <c r="H406" s="295" t="n"/>
      <c r="I406" s="295" t="n"/>
      <c r="J406" s="282" t="n"/>
      <c r="K406" s="345" t="n"/>
      <c r="L406" s="295" t="n"/>
      <c r="M406" s="346" t="n"/>
      <c r="N406" s="295" t="n"/>
      <c r="O406" s="285" t="n"/>
      <c r="P406" s="295" t="n"/>
      <c r="Q406" s="295" t="n"/>
      <c r="R406" s="282" t="n"/>
      <c r="S406" s="295" t="n"/>
      <c r="T406" s="295" t="n"/>
      <c r="U406" s="285" t="n"/>
      <c r="V406" s="295" t="n"/>
      <c r="W406" s="282" t="n"/>
      <c r="X406" s="295" t="n"/>
      <c r="Y406" s="295" t="n"/>
      <c r="Z406" s="295" t="n"/>
      <c r="AA406" s="295" t="n"/>
      <c r="AB406" s="285" t="n"/>
      <c r="AC406" s="295" t="n"/>
      <c r="AD406" s="295" t="n"/>
      <c r="AE406" s="286" t="n"/>
    </row>
    <row r="407">
      <c r="B407" s="287" t="n"/>
      <c r="C407" s="288" t="n"/>
      <c r="D407" s="295" t="n"/>
      <c r="E407" s="295" t="n"/>
      <c r="F407" s="295" t="n"/>
      <c r="G407" s="290" t="n"/>
      <c r="H407" s="295" t="n"/>
      <c r="I407" s="295" t="n"/>
      <c r="J407" s="290" t="n"/>
      <c r="K407" s="347" t="n"/>
      <c r="L407" s="295" t="n"/>
      <c r="M407" s="348" t="n"/>
      <c r="N407" s="295" t="n"/>
      <c r="O407" s="293" t="n"/>
      <c r="P407" s="295" t="n"/>
      <c r="Q407" s="295" t="n"/>
      <c r="R407" s="290" t="n"/>
      <c r="S407" s="295" t="n"/>
      <c r="T407" s="295" t="n"/>
      <c r="U407" s="293" t="n"/>
      <c r="V407" s="295" t="n"/>
      <c r="W407" s="290" t="n"/>
      <c r="X407" s="295" t="n"/>
      <c r="Y407" s="295" t="n"/>
      <c r="Z407" s="295" t="n"/>
      <c r="AA407" s="295" t="n"/>
      <c r="AB407" s="293" t="n"/>
      <c r="AC407" s="295" t="n"/>
      <c r="AD407" s="295" t="n"/>
      <c r="AE407" s="294" t="n"/>
    </row>
    <row r="408">
      <c r="B408" s="279" t="n"/>
      <c r="C408" s="280" t="n"/>
      <c r="D408" s="295" t="n"/>
      <c r="E408" s="295" t="n"/>
      <c r="F408" s="295" t="n"/>
      <c r="G408" s="282" t="n"/>
      <c r="H408" s="295" t="n"/>
      <c r="I408" s="295" t="n"/>
      <c r="J408" s="282" t="n"/>
      <c r="K408" s="345" t="n"/>
      <c r="L408" s="295" t="n"/>
      <c r="M408" s="346" t="n"/>
      <c r="N408" s="295" t="n"/>
      <c r="O408" s="285" t="n"/>
      <c r="P408" s="295" t="n"/>
      <c r="Q408" s="295" t="n"/>
      <c r="R408" s="282" t="n"/>
      <c r="S408" s="295" t="n"/>
      <c r="T408" s="295" t="n"/>
      <c r="U408" s="285" t="n"/>
      <c r="V408" s="295" t="n"/>
      <c r="W408" s="282" t="n"/>
      <c r="X408" s="295" t="n"/>
      <c r="Y408" s="295" t="n"/>
      <c r="Z408" s="295" t="n"/>
      <c r="AA408" s="295" t="n"/>
      <c r="AB408" s="285" t="n"/>
      <c r="AC408" s="295" t="n"/>
      <c r="AD408" s="295" t="n"/>
      <c r="AE408" s="286" t="n"/>
    </row>
    <row r="409">
      <c r="B409" s="287" t="n"/>
      <c r="C409" s="288" t="n"/>
      <c r="D409" s="295" t="n"/>
      <c r="E409" s="295" t="n"/>
      <c r="F409" s="295" t="n"/>
      <c r="G409" s="290" t="n"/>
      <c r="H409" s="295" t="n"/>
      <c r="I409" s="295" t="n"/>
      <c r="J409" s="290" t="n"/>
      <c r="K409" s="347" t="n"/>
      <c r="L409" s="295" t="n"/>
      <c r="M409" s="348" t="n"/>
      <c r="N409" s="295" t="n"/>
      <c r="O409" s="293" t="n"/>
      <c r="P409" s="295" t="n"/>
      <c r="Q409" s="295" t="n"/>
      <c r="R409" s="290" t="n"/>
      <c r="S409" s="295" t="n"/>
      <c r="T409" s="295" t="n"/>
      <c r="U409" s="293" t="n"/>
      <c r="V409" s="295" t="n"/>
      <c r="W409" s="290" t="n"/>
      <c r="X409" s="295" t="n"/>
      <c r="Y409" s="295" t="n"/>
      <c r="Z409" s="295" t="n"/>
      <c r="AA409" s="295" t="n"/>
      <c r="AB409" s="293" t="n"/>
      <c r="AC409" s="295" t="n"/>
      <c r="AD409" s="295" t="n"/>
      <c r="AE409" s="294" t="n"/>
    </row>
    <row r="410">
      <c r="B410" s="279" t="n"/>
      <c r="C410" s="280" t="n"/>
      <c r="D410" s="295" t="n"/>
      <c r="E410" s="295" t="n"/>
      <c r="F410" s="295" t="n"/>
      <c r="G410" s="282" t="n"/>
      <c r="H410" s="295" t="n"/>
      <c r="I410" s="295" t="n"/>
      <c r="J410" s="282" t="n"/>
      <c r="K410" s="345" t="n"/>
      <c r="L410" s="295" t="n"/>
      <c r="M410" s="346" t="n"/>
      <c r="N410" s="295" t="n"/>
      <c r="O410" s="285" t="n"/>
      <c r="P410" s="295" t="n"/>
      <c r="Q410" s="295" t="n"/>
      <c r="R410" s="282" t="n"/>
      <c r="S410" s="295" t="n"/>
      <c r="T410" s="295" t="n"/>
      <c r="U410" s="285" t="n"/>
      <c r="V410" s="295" t="n"/>
      <c r="W410" s="282" t="n"/>
      <c r="X410" s="295" t="n"/>
      <c r="Y410" s="295" t="n"/>
      <c r="Z410" s="295" t="n"/>
      <c r="AA410" s="295" t="n"/>
      <c r="AB410" s="285" t="n"/>
      <c r="AC410" s="295" t="n"/>
      <c r="AD410" s="295" t="n"/>
      <c r="AE410" s="286" t="n"/>
    </row>
    <row r="411">
      <c r="B411" s="287" t="n"/>
      <c r="C411" s="288" t="n"/>
      <c r="D411" s="295" t="n"/>
      <c r="E411" s="295" t="n"/>
      <c r="F411" s="295" t="n"/>
      <c r="G411" s="290" t="n"/>
      <c r="H411" s="295" t="n"/>
      <c r="I411" s="295" t="n"/>
      <c r="J411" s="290" t="n"/>
      <c r="K411" s="347" t="n"/>
      <c r="L411" s="295" t="n"/>
      <c r="M411" s="348" t="n"/>
      <c r="N411" s="295" t="n"/>
      <c r="O411" s="293" t="n"/>
      <c r="P411" s="295" t="n"/>
      <c r="Q411" s="295" t="n"/>
      <c r="R411" s="290" t="n"/>
      <c r="S411" s="295" t="n"/>
      <c r="T411" s="295" t="n"/>
      <c r="U411" s="293" t="n"/>
      <c r="V411" s="295" t="n"/>
      <c r="W411" s="290" t="n"/>
      <c r="X411" s="295" t="n"/>
      <c r="Y411" s="295" t="n"/>
      <c r="Z411" s="295" t="n"/>
      <c r="AA411" s="295" t="n"/>
      <c r="AB411" s="293" t="n"/>
      <c r="AC411" s="295" t="n"/>
      <c r="AD411" s="295" t="n"/>
      <c r="AE411" s="294" t="n"/>
    </row>
    <row r="412">
      <c r="B412" s="279" t="n"/>
      <c r="C412" s="280" t="n"/>
      <c r="D412" s="295" t="n"/>
      <c r="E412" s="295" t="n"/>
      <c r="F412" s="295" t="n"/>
      <c r="G412" s="282" t="n"/>
      <c r="H412" s="295" t="n"/>
      <c r="I412" s="295" t="n"/>
      <c r="J412" s="282" t="n"/>
      <c r="K412" s="345" t="n"/>
      <c r="L412" s="295" t="n"/>
      <c r="M412" s="346" t="n"/>
      <c r="N412" s="295" t="n"/>
      <c r="O412" s="285" t="n"/>
      <c r="P412" s="295" t="n"/>
      <c r="Q412" s="295" t="n"/>
      <c r="R412" s="282" t="n"/>
      <c r="S412" s="295" t="n"/>
      <c r="T412" s="295" t="n"/>
      <c r="U412" s="285" t="n"/>
      <c r="V412" s="295" t="n"/>
      <c r="W412" s="282" t="n"/>
      <c r="X412" s="295" t="n"/>
      <c r="Y412" s="295" t="n"/>
      <c r="Z412" s="295" t="n"/>
      <c r="AA412" s="295" t="n"/>
      <c r="AB412" s="285" t="n"/>
      <c r="AC412" s="295" t="n"/>
      <c r="AD412" s="295" t="n"/>
      <c r="AE412" s="286" t="n"/>
    </row>
    <row r="413">
      <c r="B413" s="287" t="n"/>
      <c r="C413" s="288" t="n"/>
      <c r="D413" s="295" t="n"/>
      <c r="E413" s="295" t="n"/>
      <c r="F413" s="295" t="n"/>
      <c r="G413" s="290" t="n"/>
      <c r="H413" s="295" t="n"/>
      <c r="I413" s="295" t="n"/>
      <c r="J413" s="290" t="n"/>
      <c r="K413" s="347" t="n"/>
      <c r="L413" s="295" t="n"/>
      <c r="M413" s="348" t="n"/>
      <c r="N413" s="295" t="n"/>
      <c r="O413" s="293" t="n"/>
      <c r="P413" s="295" t="n"/>
      <c r="Q413" s="295" t="n"/>
      <c r="R413" s="290" t="n"/>
      <c r="S413" s="295" t="n"/>
      <c r="T413" s="295" t="n"/>
      <c r="U413" s="293" t="n"/>
      <c r="V413" s="295" t="n"/>
      <c r="W413" s="290" t="n"/>
      <c r="X413" s="295" t="n"/>
      <c r="Y413" s="295" t="n"/>
      <c r="Z413" s="295" t="n"/>
      <c r="AA413" s="295" t="n"/>
      <c r="AB413" s="293" t="n"/>
      <c r="AC413" s="295" t="n"/>
      <c r="AD413" s="295" t="n"/>
      <c r="AE413" s="294" t="n"/>
    </row>
    <row r="414">
      <c r="B414" s="279" t="n"/>
      <c r="C414" s="280" t="n"/>
      <c r="D414" s="295" t="n"/>
      <c r="E414" s="295" t="n"/>
      <c r="F414" s="295" t="n"/>
      <c r="G414" s="282" t="n"/>
      <c r="H414" s="295" t="n"/>
      <c r="I414" s="295" t="n"/>
      <c r="J414" s="282" t="n"/>
      <c r="K414" s="345" t="n"/>
      <c r="L414" s="295" t="n"/>
      <c r="M414" s="346" t="n"/>
      <c r="N414" s="295" t="n"/>
      <c r="O414" s="285" t="n"/>
      <c r="P414" s="295" t="n"/>
      <c r="Q414" s="295" t="n"/>
      <c r="R414" s="282" t="n"/>
      <c r="S414" s="295" t="n"/>
      <c r="T414" s="295" t="n"/>
      <c r="U414" s="285" t="n"/>
      <c r="V414" s="295" t="n"/>
      <c r="W414" s="282" t="n"/>
      <c r="X414" s="295" t="n"/>
      <c r="Y414" s="295" t="n"/>
      <c r="Z414" s="295" t="n"/>
      <c r="AA414" s="295" t="n"/>
      <c r="AB414" s="285" t="n"/>
      <c r="AC414" s="295" t="n"/>
      <c r="AD414" s="295" t="n"/>
      <c r="AE414" s="286" t="n"/>
    </row>
    <row r="415">
      <c r="B415" s="287" t="n"/>
      <c r="C415" s="288" t="n"/>
      <c r="D415" s="295" t="n"/>
      <c r="E415" s="295" t="n"/>
      <c r="F415" s="295" t="n"/>
      <c r="G415" s="290" t="n"/>
      <c r="H415" s="295" t="n"/>
      <c r="I415" s="295" t="n"/>
      <c r="J415" s="290" t="n"/>
      <c r="K415" s="347" t="n"/>
      <c r="L415" s="295" t="n"/>
      <c r="M415" s="348" t="n"/>
      <c r="N415" s="295" t="n"/>
      <c r="O415" s="293" t="n"/>
      <c r="P415" s="295" t="n"/>
      <c r="Q415" s="295" t="n"/>
      <c r="R415" s="290" t="n"/>
      <c r="S415" s="295" t="n"/>
      <c r="T415" s="295" t="n"/>
      <c r="U415" s="293" t="n"/>
      <c r="V415" s="295" t="n"/>
      <c r="W415" s="290" t="n"/>
      <c r="X415" s="295" t="n"/>
      <c r="Y415" s="295" t="n"/>
      <c r="Z415" s="295" t="n"/>
      <c r="AA415" s="295" t="n"/>
      <c r="AB415" s="293" t="n"/>
      <c r="AC415" s="295" t="n"/>
      <c r="AD415" s="295" t="n"/>
      <c r="AE415" s="294" t="n"/>
    </row>
    <row r="416">
      <c r="B416" s="279" t="n"/>
      <c r="C416" s="280" t="n"/>
      <c r="D416" s="295" t="n"/>
      <c r="E416" s="295" t="n"/>
      <c r="F416" s="295" t="n"/>
      <c r="G416" s="282" t="n"/>
      <c r="H416" s="295" t="n"/>
      <c r="I416" s="295" t="n"/>
      <c r="J416" s="282" t="n"/>
      <c r="K416" s="345" t="n"/>
      <c r="L416" s="295" t="n"/>
      <c r="M416" s="346" t="n"/>
      <c r="N416" s="295" t="n"/>
      <c r="O416" s="285" t="n"/>
      <c r="P416" s="295" t="n"/>
      <c r="Q416" s="295" t="n"/>
      <c r="R416" s="282" t="n"/>
      <c r="S416" s="295" t="n"/>
      <c r="T416" s="295" t="n"/>
      <c r="U416" s="285" t="n"/>
      <c r="V416" s="295" t="n"/>
      <c r="W416" s="282" t="n"/>
      <c r="X416" s="295" t="n"/>
      <c r="Y416" s="295" t="n"/>
      <c r="Z416" s="295" t="n"/>
      <c r="AA416" s="295" t="n"/>
      <c r="AB416" s="285" t="n"/>
      <c r="AC416" s="295" t="n"/>
      <c r="AD416" s="295" t="n"/>
      <c r="AE416" s="286" t="n"/>
    </row>
    <row r="417">
      <c r="B417" s="287" t="n"/>
      <c r="C417" s="288" t="n"/>
      <c r="D417" s="295" t="n"/>
      <c r="E417" s="295" t="n"/>
      <c r="F417" s="295" t="n"/>
      <c r="G417" s="290" t="n"/>
      <c r="H417" s="295" t="n"/>
      <c r="I417" s="295" t="n"/>
      <c r="J417" s="290" t="n"/>
      <c r="K417" s="347" t="n"/>
      <c r="L417" s="295" t="n"/>
      <c r="M417" s="348" t="n"/>
      <c r="N417" s="295" t="n"/>
      <c r="O417" s="293" t="n"/>
      <c r="P417" s="295" t="n"/>
      <c r="Q417" s="295" t="n"/>
      <c r="R417" s="290" t="n"/>
      <c r="S417" s="295" t="n"/>
      <c r="T417" s="295" t="n"/>
      <c r="U417" s="293" t="n"/>
      <c r="V417" s="295" t="n"/>
      <c r="W417" s="290" t="n"/>
      <c r="X417" s="295" t="n"/>
      <c r="Y417" s="295" t="n"/>
      <c r="Z417" s="295" t="n"/>
      <c r="AA417" s="295" t="n"/>
      <c r="AB417" s="293" t="n"/>
      <c r="AC417" s="295" t="n"/>
      <c r="AD417" s="295" t="n"/>
      <c r="AE417" s="294" t="n"/>
    </row>
    <row r="418">
      <c r="B418" s="279" t="n"/>
      <c r="C418" s="280" t="n"/>
      <c r="D418" s="295" t="n"/>
      <c r="E418" s="295" t="n"/>
      <c r="F418" s="295" t="n"/>
      <c r="G418" s="282" t="n"/>
      <c r="H418" s="295" t="n"/>
      <c r="I418" s="295" t="n"/>
      <c r="J418" s="282" t="n"/>
      <c r="K418" s="345" t="n"/>
      <c r="L418" s="295" t="n"/>
      <c r="M418" s="346" t="n"/>
      <c r="N418" s="295" t="n"/>
      <c r="O418" s="285" t="n"/>
      <c r="P418" s="295" t="n"/>
      <c r="Q418" s="295" t="n"/>
      <c r="R418" s="282" t="n"/>
      <c r="S418" s="295" t="n"/>
      <c r="T418" s="295" t="n"/>
      <c r="U418" s="285" t="n"/>
      <c r="V418" s="295" t="n"/>
      <c r="W418" s="282" t="n"/>
      <c r="X418" s="295" t="n"/>
      <c r="Y418" s="295" t="n"/>
      <c r="Z418" s="295" t="n"/>
      <c r="AA418" s="295" t="n"/>
      <c r="AB418" s="285" t="n"/>
      <c r="AC418" s="295" t="n"/>
      <c r="AD418" s="295" t="n"/>
      <c r="AE418" s="286" t="n"/>
    </row>
    <row r="419">
      <c r="B419" s="287" t="n"/>
      <c r="C419" s="288" t="n"/>
      <c r="D419" s="295" t="n"/>
      <c r="E419" s="295" t="n"/>
      <c r="F419" s="295" t="n"/>
      <c r="G419" s="290" t="n"/>
      <c r="H419" s="295" t="n"/>
      <c r="I419" s="295" t="n"/>
      <c r="J419" s="290" t="n"/>
      <c r="K419" s="347" t="n"/>
      <c r="L419" s="295" t="n"/>
      <c r="M419" s="348" t="n"/>
      <c r="N419" s="295" t="n"/>
      <c r="O419" s="293" t="n"/>
      <c r="P419" s="295" t="n"/>
      <c r="Q419" s="295" t="n"/>
      <c r="R419" s="290" t="n"/>
      <c r="S419" s="295" t="n"/>
      <c r="T419" s="295" t="n"/>
      <c r="U419" s="293" t="n"/>
      <c r="V419" s="295" t="n"/>
      <c r="W419" s="290" t="n"/>
      <c r="X419" s="295" t="n"/>
      <c r="Y419" s="295" t="n"/>
      <c r="Z419" s="295" t="n"/>
      <c r="AA419" s="295" t="n"/>
      <c r="AB419" s="293" t="n"/>
      <c r="AC419" s="295" t="n"/>
      <c r="AD419" s="295" t="n"/>
      <c r="AE419" s="294" t="n"/>
    </row>
    <row r="420">
      <c r="B420" s="279" t="n"/>
      <c r="C420" s="280" t="n"/>
      <c r="D420" s="295" t="n"/>
      <c r="E420" s="295" t="n"/>
      <c r="F420" s="295" t="n"/>
      <c r="G420" s="282" t="n"/>
      <c r="H420" s="295" t="n"/>
      <c r="I420" s="295" t="n"/>
      <c r="J420" s="282" t="n"/>
      <c r="K420" s="345" t="n"/>
      <c r="L420" s="295" t="n"/>
      <c r="M420" s="346" t="n"/>
      <c r="N420" s="295" t="n"/>
      <c r="O420" s="285" t="n"/>
      <c r="P420" s="295" t="n"/>
      <c r="Q420" s="295" t="n"/>
      <c r="R420" s="282" t="n"/>
      <c r="S420" s="295" t="n"/>
      <c r="T420" s="295" t="n"/>
      <c r="U420" s="285" t="n"/>
      <c r="V420" s="295" t="n"/>
      <c r="W420" s="282" t="n"/>
      <c r="X420" s="295" t="n"/>
      <c r="Y420" s="295" t="n"/>
      <c r="Z420" s="295" t="n"/>
      <c r="AA420" s="295" t="n"/>
      <c r="AB420" s="285" t="n"/>
      <c r="AC420" s="295" t="n"/>
      <c r="AD420" s="295" t="n"/>
      <c r="AE420" s="286" t="n"/>
    </row>
    <row r="421">
      <c r="B421" s="287" t="n"/>
      <c r="C421" s="288" t="n"/>
      <c r="D421" s="295" t="n"/>
      <c r="E421" s="295" t="n"/>
      <c r="F421" s="295" t="n"/>
      <c r="G421" s="290" t="n"/>
      <c r="H421" s="295" t="n"/>
      <c r="I421" s="295" t="n"/>
      <c r="J421" s="290" t="n"/>
      <c r="K421" s="347" t="n"/>
      <c r="L421" s="295" t="n"/>
      <c r="M421" s="348" t="n"/>
      <c r="N421" s="295" t="n"/>
      <c r="O421" s="293" t="n"/>
      <c r="P421" s="295" t="n"/>
      <c r="Q421" s="295" t="n"/>
      <c r="R421" s="290" t="n"/>
      <c r="S421" s="295" t="n"/>
      <c r="T421" s="295" t="n"/>
      <c r="U421" s="293" t="n"/>
      <c r="V421" s="295" t="n"/>
      <c r="W421" s="290" t="n"/>
      <c r="X421" s="295" t="n"/>
      <c r="Y421" s="295" t="n"/>
      <c r="Z421" s="295" t="n"/>
      <c r="AA421" s="295" t="n"/>
      <c r="AB421" s="293" t="n"/>
      <c r="AC421" s="295" t="n"/>
      <c r="AD421" s="295" t="n"/>
      <c r="AE421" s="294" t="n"/>
    </row>
    <row r="422">
      <c r="B422" s="279" t="n"/>
      <c r="C422" s="280" t="n"/>
      <c r="D422" s="295" t="n"/>
      <c r="E422" s="295" t="n"/>
      <c r="F422" s="295" t="n"/>
      <c r="G422" s="282" t="n"/>
      <c r="H422" s="295" t="n"/>
      <c r="I422" s="295" t="n"/>
      <c r="J422" s="282" t="n"/>
      <c r="K422" s="345" t="n"/>
      <c r="L422" s="295" t="n"/>
      <c r="M422" s="346" t="n"/>
      <c r="N422" s="295" t="n"/>
      <c r="O422" s="285" t="n"/>
      <c r="P422" s="295" t="n"/>
      <c r="Q422" s="295" t="n"/>
      <c r="R422" s="282" t="n"/>
      <c r="S422" s="295" t="n"/>
      <c r="T422" s="295" t="n"/>
      <c r="U422" s="285" t="n"/>
      <c r="V422" s="295" t="n"/>
      <c r="W422" s="282" t="n"/>
      <c r="X422" s="295" t="n"/>
      <c r="Y422" s="295" t="n"/>
      <c r="Z422" s="295" t="n"/>
      <c r="AA422" s="295" t="n"/>
      <c r="AB422" s="285" t="n"/>
      <c r="AC422" s="295" t="n"/>
      <c r="AD422" s="295" t="n"/>
      <c r="AE422" s="286" t="n"/>
    </row>
    <row r="423">
      <c r="B423" s="287" t="n"/>
      <c r="C423" s="288" t="n"/>
      <c r="D423" s="295" t="n"/>
      <c r="E423" s="295" t="n"/>
      <c r="F423" s="295" t="n"/>
      <c r="G423" s="290" t="n"/>
      <c r="H423" s="295" t="n"/>
      <c r="I423" s="295" t="n"/>
      <c r="J423" s="290" t="n"/>
      <c r="K423" s="347" t="n"/>
      <c r="L423" s="295" t="n"/>
      <c r="M423" s="348" t="n"/>
      <c r="N423" s="295" t="n"/>
      <c r="O423" s="293" t="n"/>
      <c r="P423" s="295" t="n"/>
      <c r="Q423" s="295" t="n"/>
      <c r="R423" s="290" t="n"/>
      <c r="S423" s="295" t="n"/>
      <c r="T423" s="295" t="n"/>
      <c r="U423" s="293" t="n"/>
      <c r="V423" s="295" t="n"/>
      <c r="W423" s="290" t="n"/>
      <c r="X423" s="295" t="n"/>
      <c r="Y423" s="295" t="n"/>
      <c r="Z423" s="295" t="n"/>
      <c r="AA423" s="295" t="n"/>
      <c r="AB423" s="293" t="n"/>
      <c r="AC423" s="295" t="n"/>
      <c r="AD423" s="295" t="n"/>
      <c r="AE423" s="294" t="n"/>
    </row>
    <row r="424">
      <c r="B424" s="279" t="n"/>
      <c r="C424" s="280" t="n"/>
      <c r="D424" s="295" t="n"/>
      <c r="E424" s="295" t="n"/>
      <c r="F424" s="295" t="n"/>
      <c r="G424" s="282" t="n"/>
      <c r="H424" s="295" t="n"/>
      <c r="I424" s="295" t="n"/>
      <c r="J424" s="282" t="n"/>
      <c r="K424" s="345" t="n"/>
      <c r="L424" s="295" t="n"/>
      <c r="M424" s="346" t="n"/>
      <c r="N424" s="295" t="n"/>
      <c r="O424" s="285" t="n"/>
      <c r="P424" s="295" t="n"/>
      <c r="Q424" s="295" t="n"/>
      <c r="R424" s="282" t="n"/>
      <c r="S424" s="295" t="n"/>
      <c r="T424" s="295" t="n"/>
      <c r="U424" s="285" t="n"/>
      <c r="V424" s="295" t="n"/>
      <c r="W424" s="282" t="n"/>
      <c r="X424" s="295" t="n"/>
      <c r="Y424" s="295" t="n"/>
      <c r="Z424" s="295" t="n"/>
      <c r="AA424" s="295" t="n"/>
      <c r="AB424" s="285" t="n"/>
      <c r="AC424" s="295" t="n"/>
      <c r="AD424" s="295" t="n"/>
      <c r="AE424" s="286" t="n"/>
    </row>
    <row r="425">
      <c r="B425" s="287" t="n"/>
      <c r="C425" s="288" t="n"/>
      <c r="D425" s="295" t="n"/>
      <c r="E425" s="295" t="n"/>
      <c r="F425" s="295" t="n"/>
      <c r="G425" s="290" t="n"/>
      <c r="H425" s="295" t="n"/>
      <c r="I425" s="295" t="n"/>
      <c r="J425" s="290" t="n"/>
      <c r="K425" s="347" t="n"/>
      <c r="L425" s="295" t="n"/>
      <c r="M425" s="348" t="n"/>
      <c r="N425" s="295" t="n"/>
      <c r="O425" s="293" t="n"/>
      <c r="P425" s="295" t="n"/>
      <c r="Q425" s="295" t="n"/>
      <c r="R425" s="290" t="n"/>
      <c r="S425" s="295" t="n"/>
      <c r="T425" s="295" t="n"/>
      <c r="U425" s="293" t="n"/>
      <c r="V425" s="295" t="n"/>
      <c r="W425" s="290" t="n"/>
      <c r="X425" s="295" t="n"/>
      <c r="Y425" s="295" t="n"/>
      <c r="Z425" s="295" t="n"/>
      <c r="AA425" s="295" t="n"/>
      <c r="AB425" s="293" t="n"/>
      <c r="AC425" s="295" t="n"/>
      <c r="AD425" s="295" t="n"/>
      <c r="AE425" s="294" t="n"/>
    </row>
    <row r="426">
      <c r="B426" s="279" t="n"/>
      <c r="C426" s="280" t="n"/>
      <c r="D426" s="295" t="n"/>
      <c r="E426" s="295" t="n"/>
      <c r="F426" s="295" t="n"/>
      <c r="G426" s="282" t="n"/>
      <c r="H426" s="295" t="n"/>
      <c r="I426" s="295" t="n"/>
      <c r="J426" s="282" t="n"/>
      <c r="K426" s="345" t="n"/>
      <c r="L426" s="295" t="n"/>
      <c r="M426" s="346" t="n"/>
      <c r="N426" s="295" t="n"/>
      <c r="O426" s="285" t="n"/>
      <c r="P426" s="295" t="n"/>
      <c r="Q426" s="295" t="n"/>
      <c r="R426" s="282" t="n"/>
      <c r="S426" s="295" t="n"/>
      <c r="T426" s="295" t="n"/>
      <c r="U426" s="285" t="n"/>
      <c r="V426" s="295" t="n"/>
      <c r="W426" s="282" t="n"/>
      <c r="X426" s="295" t="n"/>
      <c r="Y426" s="295" t="n"/>
      <c r="Z426" s="295" t="n"/>
      <c r="AA426" s="295" t="n"/>
      <c r="AB426" s="285" t="n"/>
      <c r="AC426" s="295" t="n"/>
      <c r="AD426" s="295" t="n"/>
      <c r="AE426" s="286" t="n"/>
    </row>
    <row r="427">
      <c r="B427" s="287" t="n"/>
      <c r="C427" s="288" t="n"/>
      <c r="D427" s="295" t="n"/>
      <c r="E427" s="295" t="n"/>
      <c r="F427" s="295" t="n"/>
      <c r="G427" s="290" t="n"/>
      <c r="H427" s="295" t="n"/>
      <c r="I427" s="295" t="n"/>
      <c r="J427" s="290" t="n"/>
      <c r="K427" s="347" t="n"/>
      <c r="L427" s="295" t="n"/>
      <c r="M427" s="348" t="n"/>
      <c r="N427" s="295" t="n"/>
      <c r="O427" s="293" t="n"/>
      <c r="P427" s="295" t="n"/>
      <c r="Q427" s="295" t="n"/>
      <c r="R427" s="290" t="n"/>
      <c r="S427" s="295" t="n"/>
      <c r="T427" s="295" t="n"/>
      <c r="U427" s="293" t="n"/>
      <c r="V427" s="295" t="n"/>
      <c r="W427" s="290" t="n"/>
      <c r="X427" s="295" t="n"/>
      <c r="Y427" s="295" t="n"/>
      <c r="Z427" s="295" t="n"/>
      <c r="AA427" s="295" t="n"/>
      <c r="AB427" s="293" t="n"/>
      <c r="AC427" s="295" t="n"/>
      <c r="AD427" s="295" t="n"/>
      <c r="AE427" s="294" t="n"/>
    </row>
    <row r="428">
      <c r="B428" s="279" t="n"/>
      <c r="C428" s="280" t="n"/>
      <c r="D428" s="295" t="n"/>
      <c r="E428" s="295" t="n"/>
      <c r="F428" s="295" t="n"/>
      <c r="G428" s="282" t="n"/>
      <c r="H428" s="295" t="n"/>
      <c r="I428" s="295" t="n"/>
      <c r="J428" s="282" t="n"/>
      <c r="K428" s="345" t="n"/>
      <c r="L428" s="295" t="n"/>
      <c r="M428" s="346" t="n"/>
      <c r="N428" s="295" t="n"/>
      <c r="O428" s="285" t="n"/>
      <c r="P428" s="295" t="n"/>
      <c r="Q428" s="295" t="n"/>
      <c r="R428" s="282" t="n"/>
      <c r="S428" s="295" t="n"/>
      <c r="T428" s="295" t="n"/>
      <c r="U428" s="285" t="n"/>
      <c r="V428" s="295" t="n"/>
      <c r="W428" s="282" t="n"/>
      <c r="X428" s="295" t="n"/>
      <c r="Y428" s="295" t="n"/>
      <c r="Z428" s="295" t="n"/>
      <c r="AA428" s="295" t="n"/>
      <c r="AB428" s="285" t="n"/>
      <c r="AC428" s="295" t="n"/>
      <c r="AD428" s="295" t="n"/>
      <c r="AE428" s="286" t="n"/>
    </row>
    <row r="429">
      <c r="B429" s="287" t="n"/>
      <c r="C429" s="288" t="n"/>
      <c r="D429" s="295" t="n"/>
      <c r="E429" s="295" t="n"/>
      <c r="F429" s="295" t="n"/>
      <c r="G429" s="290" t="n"/>
      <c r="H429" s="295" t="n"/>
      <c r="I429" s="295" t="n"/>
      <c r="J429" s="290" t="n"/>
      <c r="K429" s="347" t="n"/>
      <c r="L429" s="295" t="n"/>
      <c r="M429" s="348" t="n"/>
      <c r="N429" s="295" t="n"/>
      <c r="O429" s="293" t="n"/>
      <c r="P429" s="295" t="n"/>
      <c r="Q429" s="295" t="n"/>
      <c r="R429" s="290" t="n"/>
      <c r="S429" s="295" t="n"/>
      <c r="T429" s="295" t="n"/>
      <c r="U429" s="293" t="n"/>
      <c r="V429" s="295" t="n"/>
      <c r="W429" s="290" t="n"/>
      <c r="X429" s="295" t="n"/>
      <c r="Y429" s="295" t="n"/>
      <c r="Z429" s="295" t="n"/>
      <c r="AA429" s="295" t="n"/>
      <c r="AB429" s="293" t="n"/>
      <c r="AC429" s="295" t="n"/>
      <c r="AD429" s="295" t="n"/>
      <c r="AE429" s="294" t="n"/>
    </row>
    <row r="430">
      <c r="B430" s="279" t="n"/>
      <c r="C430" s="280" t="n"/>
      <c r="D430" s="295" t="n"/>
      <c r="E430" s="295" t="n"/>
      <c r="F430" s="295" t="n"/>
      <c r="G430" s="282" t="n"/>
      <c r="H430" s="295" t="n"/>
      <c r="I430" s="295" t="n"/>
      <c r="J430" s="282" t="n"/>
      <c r="K430" s="345" t="n"/>
      <c r="L430" s="295" t="n"/>
      <c r="M430" s="346" t="n"/>
      <c r="N430" s="295" t="n"/>
      <c r="O430" s="285" t="n"/>
      <c r="P430" s="295" t="n"/>
      <c r="Q430" s="295" t="n"/>
      <c r="R430" s="282" t="n"/>
      <c r="S430" s="295" t="n"/>
      <c r="T430" s="295" t="n"/>
      <c r="U430" s="285" t="n"/>
      <c r="V430" s="295" t="n"/>
      <c r="W430" s="282" t="n"/>
      <c r="X430" s="295" t="n"/>
      <c r="Y430" s="295" t="n"/>
      <c r="Z430" s="295" t="n"/>
      <c r="AA430" s="295" t="n"/>
      <c r="AB430" s="285" t="n"/>
      <c r="AC430" s="295" t="n"/>
      <c r="AD430" s="295" t="n"/>
      <c r="AE430" s="286" t="n"/>
    </row>
    <row r="431">
      <c r="B431" s="287" t="n"/>
      <c r="C431" s="288" t="n"/>
      <c r="D431" s="295" t="n"/>
      <c r="E431" s="295" t="n"/>
      <c r="F431" s="295" t="n"/>
      <c r="G431" s="290" t="n"/>
      <c r="H431" s="295" t="n"/>
      <c r="I431" s="295" t="n"/>
      <c r="J431" s="290" t="n"/>
      <c r="K431" s="347" t="n"/>
      <c r="L431" s="295" t="n"/>
      <c r="M431" s="348" t="n"/>
      <c r="N431" s="295" t="n"/>
      <c r="O431" s="293" t="n"/>
      <c r="P431" s="295" t="n"/>
      <c r="Q431" s="295" t="n"/>
      <c r="R431" s="290" t="n"/>
      <c r="S431" s="295" t="n"/>
      <c r="T431" s="295" t="n"/>
      <c r="U431" s="293" t="n"/>
      <c r="V431" s="295" t="n"/>
      <c r="W431" s="290" t="n"/>
      <c r="X431" s="295" t="n"/>
      <c r="Y431" s="295" t="n"/>
      <c r="Z431" s="295" t="n"/>
      <c r="AA431" s="295" t="n"/>
      <c r="AB431" s="293" t="n"/>
      <c r="AC431" s="295" t="n"/>
      <c r="AD431" s="295" t="n"/>
      <c r="AE431" s="294" t="n"/>
    </row>
    <row r="432">
      <c r="B432" s="279" t="n"/>
      <c r="C432" s="280" t="n"/>
      <c r="D432" s="295" t="n"/>
      <c r="E432" s="295" t="n"/>
      <c r="F432" s="295" t="n"/>
      <c r="G432" s="282" t="n"/>
      <c r="H432" s="295" t="n"/>
      <c r="I432" s="295" t="n"/>
      <c r="J432" s="282" t="n"/>
      <c r="K432" s="345" t="n"/>
      <c r="L432" s="295" t="n"/>
      <c r="M432" s="346" t="n"/>
      <c r="N432" s="295" t="n"/>
      <c r="O432" s="285" t="n"/>
      <c r="P432" s="295" t="n"/>
      <c r="Q432" s="295" t="n"/>
      <c r="R432" s="282" t="n"/>
      <c r="S432" s="295" t="n"/>
      <c r="T432" s="295" t="n"/>
      <c r="U432" s="285" t="n"/>
      <c r="V432" s="295" t="n"/>
      <c r="W432" s="282" t="n"/>
      <c r="X432" s="295" t="n"/>
      <c r="Y432" s="295" t="n"/>
      <c r="Z432" s="295" t="n"/>
      <c r="AA432" s="295" t="n"/>
      <c r="AB432" s="285" t="n"/>
      <c r="AC432" s="295" t="n"/>
      <c r="AD432" s="295" t="n"/>
      <c r="AE432" s="286" t="n"/>
    </row>
    <row r="433">
      <c r="B433" s="287" t="n"/>
      <c r="C433" s="288" t="n"/>
      <c r="D433" s="295" t="n"/>
      <c r="E433" s="295" t="n"/>
      <c r="F433" s="295" t="n"/>
      <c r="G433" s="290" t="n"/>
      <c r="H433" s="295" t="n"/>
      <c r="I433" s="295" t="n"/>
      <c r="J433" s="290" t="n"/>
      <c r="K433" s="347" t="n"/>
      <c r="L433" s="295" t="n"/>
      <c r="M433" s="348" t="n"/>
      <c r="N433" s="295" t="n"/>
      <c r="O433" s="293" t="n"/>
      <c r="P433" s="295" t="n"/>
      <c r="Q433" s="295" t="n"/>
      <c r="R433" s="290" t="n"/>
      <c r="S433" s="295" t="n"/>
      <c r="T433" s="295" t="n"/>
      <c r="U433" s="293" t="n"/>
      <c r="V433" s="295" t="n"/>
      <c r="W433" s="290" t="n"/>
      <c r="X433" s="295" t="n"/>
      <c r="Y433" s="295" t="n"/>
      <c r="Z433" s="295" t="n"/>
      <c r="AA433" s="295" t="n"/>
      <c r="AB433" s="293" t="n"/>
      <c r="AC433" s="295" t="n"/>
      <c r="AD433" s="295" t="n"/>
      <c r="AE433" s="294" t="n"/>
    </row>
    <row r="434">
      <c r="B434" s="279" t="n"/>
      <c r="C434" s="280" t="n"/>
      <c r="D434" s="295" t="n"/>
      <c r="E434" s="295" t="n"/>
      <c r="F434" s="295" t="n"/>
      <c r="G434" s="282" t="n"/>
      <c r="H434" s="295" t="n"/>
      <c r="I434" s="295" t="n"/>
      <c r="J434" s="282" t="n"/>
      <c r="K434" s="345" t="n"/>
      <c r="L434" s="295" t="n"/>
      <c r="M434" s="346" t="n"/>
      <c r="N434" s="295" t="n"/>
      <c r="O434" s="285" t="n"/>
      <c r="P434" s="295" t="n"/>
      <c r="Q434" s="295" t="n"/>
      <c r="R434" s="282" t="n"/>
      <c r="S434" s="295" t="n"/>
      <c r="T434" s="295" t="n"/>
      <c r="U434" s="285" t="n"/>
      <c r="V434" s="295" t="n"/>
      <c r="W434" s="282" t="n"/>
      <c r="X434" s="295" t="n"/>
      <c r="Y434" s="295" t="n"/>
      <c r="Z434" s="295" t="n"/>
      <c r="AA434" s="295" t="n"/>
      <c r="AB434" s="285" t="n"/>
      <c r="AC434" s="295" t="n"/>
      <c r="AD434" s="295" t="n"/>
      <c r="AE434" s="286" t="n"/>
    </row>
    <row r="435">
      <c r="B435" s="287" t="n"/>
      <c r="C435" s="288" t="n"/>
      <c r="D435" s="295" t="n"/>
      <c r="E435" s="295" t="n"/>
      <c r="F435" s="295" t="n"/>
      <c r="G435" s="290" t="n"/>
      <c r="H435" s="295" t="n"/>
      <c r="I435" s="295" t="n"/>
      <c r="J435" s="290" t="n"/>
      <c r="K435" s="347" t="n"/>
      <c r="L435" s="295" t="n"/>
      <c r="M435" s="348" t="n"/>
      <c r="N435" s="295" t="n"/>
      <c r="O435" s="293" t="n"/>
      <c r="P435" s="295" t="n"/>
      <c r="Q435" s="295" t="n"/>
      <c r="R435" s="290" t="n"/>
      <c r="S435" s="295" t="n"/>
      <c r="T435" s="295" t="n"/>
      <c r="U435" s="293" t="n"/>
      <c r="V435" s="295" t="n"/>
      <c r="W435" s="290" t="n"/>
      <c r="X435" s="295" t="n"/>
      <c r="Y435" s="295" t="n"/>
      <c r="Z435" s="295" t="n"/>
      <c r="AA435" s="295" t="n"/>
      <c r="AB435" s="293" t="n"/>
      <c r="AC435" s="295" t="n"/>
      <c r="AD435" s="295" t="n"/>
      <c r="AE435" s="294" t="n"/>
    </row>
    <row r="436">
      <c r="B436" s="279" t="n"/>
      <c r="C436" s="280" t="n"/>
      <c r="D436" s="295" t="n"/>
      <c r="E436" s="295" t="n"/>
      <c r="F436" s="295" t="n"/>
      <c r="G436" s="282" t="n"/>
      <c r="H436" s="295" t="n"/>
      <c r="I436" s="295" t="n"/>
      <c r="J436" s="282" t="n"/>
      <c r="K436" s="345" t="n"/>
      <c r="L436" s="295" t="n"/>
      <c r="M436" s="346" t="n"/>
      <c r="N436" s="295" t="n"/>
      <c r="O436" s="285" t="n"/>
      <c r="P436" s="295" t="n"/>
      <c r="Q436" s="295" t="n"/>
      <c r="R436" s="282" t="n"/>
      <c r="S436" s="295" t="n"/>
      <c r="T436" s="295" t="n"/>
      <c r="U436" s="285" t="n"/>
      <c r="V436" s="295" t="n"/>
      <c r="W436" s="282" t="n"/>
      <c r="X436" s="295" t="n"/>
      <c r="Y436" s="295" t="n"/>
      <c r="Z436" s="295" t="n"/>
      <c r="AA436" s="295" t="n"/>
      <c r="AB436" s="285" t="n"/>
      <c r="AC436" s="295" t="n"/>
      <c r="AD436" s="295" t="n"/>
      <c r="AE436" s="286" t="n"/>
    </row>
    <row r="437">
      <c r="B437" s="287" t="n"/>
      <c r="C437" s="288" t="n"/>
      <c r="D437" s="295" t="n"/>
      <c r="E437" s="295" t="n"/>
      <c r="F437" s="295" t="n"/>
      <c r="G437" s="290" t="n"/>
      <c r="H437" s="295" t="n"/>
      <c r="I437" s="295" t="n"/>
      <c r="J437" s="290" t="n"/>
      <c r="K437" s="347" t="n"/>
      <c r="L437" s="295" t="n"/>
      <c r="M437" s="348" t="n"/>
      <c r="N437" s="295" t="n"/>
      <c r="O437" s="293" t="n"/>
      <c r="P437" s="295" t="n"/>
      <c r="Q437" s="295" t="n"/>
      <c r="R437" s="290" t="n"/>
      <c r="S437" s="295" t="n"/>
      <c r="T437" s="295" t="n"/>
      <c r="U437" s="293" t="n"/>
      <c r="V437" s="295" t="n"/>
      <c r="W437" s="290" t="n"/>
      <c r="X437" s="295" t="n"/>
      <c r="Y437" s="295" t="n"/>
      <c r="Z437" s="295" t="n"/>
      <c r="AA437" s="295" t="n"/>
      <c r="AB437" s="293" t="n"/>
      <c r="AC437" s="295" t="n"/>
      <c r="AD437" s="295" t="n"/>
      <c r="AE437" s="294" t="n"/>
    </row>
    <row r="438">
      <c r="B438" s="279" t="n"/>
      <c r="C438" s="280" t="n"/>
      <c r="D438" s="295" t="n"/>
      <c r="E438" s="295" t="n"/>
      <c r="F438" s="295" t="n"/>
      <c r="G438" s="282" t="n"/>
      <c r="H438" s="295" t="n"/>
      <c r="I438" s="295" t="n"/>
      <c r="J438" s="282" t="n"/>
      <c r="K438" s="345" t="n"/>
      <c r="L438" s="295" t="n"/>
      <c r="M438" s="346" t="n"/>
      <c r="N438" s="295" t="n"/>
      <c r="O438" s="285" t="n"/>
      <c r="P438" s="295" t="n"/>
      <c r="Q438" s="295" t="n"/>
      <c r="R438" s="282" t="n"/>
      <c r="S438" s="295" t="n"/>
      <c r="T438" s="295" t="n"/>
      <c r="U438" s="285" t="n"/>
      <c r="V438" s="295" t="n"/>
      <c r="W438" s="282" t="n"/>
      <c r="X438" s="295" t="n"/>
      <c r="Y438" s="295" t="n"/>
      <c r="Z438" s="295" t="n"/>
      <c r="AA438" s="295" t="n"/>
      <c r="AB438" s="285" t="n"/>
      <c r="AC438" s="295" t="n"/>
      <c r="AD438" s="295" t="n"/>
      <c r="AE438" s="286" t="n"/>
    </row>
    <row r="439">
      <c r="B439" s="287" t="n"/>
      <c r="C439" s="288" t="n"/>
      <c r="D439" s="295" t="n"/>
      <c r="E439" s="295" t="n"/>
      <c r="F439" s="295" t="n"/>
      <c r="G439" s="290" t="n"/>
      <c r="H439" s="295" t="n"/>
      <c r="I439" s="295" t="n"/>
      <c r="J439" s="290" t="n"/>
      <c r="K439" s="347" t="n"/>
      <c r="L439" s="295" t="n"/>
      <c r="M439" s="348" t="n"/>
      <c r="N439" s="295" t="n"/>
      <c r="O439" s="293" t="n"/>
      <c r="P439" s="295" t="n"/>
      <c r="Q439" s="295" t="n"/>
      <c r="R439" s="290" t="n"/>
      <c r="S439" s="295" t="n"/>
      <c r="T439" s="295" t="n"/>
      <c r="U439" s="293" t="n"/>
      <c r="V439" s="295" t="n"/>
      <c r="W439" s="290" t="n"/>
      <c r="X439" s="295" t="n"/>
      <c r="Y439" s="295" t="n"/>
      <c r="Z439" s="295" t="n"/>
      <c r="AA439" s="295" t="n"/>
      <c r="AB439" s="293" t="n"/>
      <c r="AC439" s="295" t="n"/>
      <c r="AD439" s="295" t="n"/>
      <c r="AE439" s="294" t="n"/>
    </row>
    <row r="440">
      <c r="B440" s="279" t="n"/>
      <c r="C440" s="280" t="n"/>
      <c r="D440" s="295" t="n"/>
      <c r="E440" s="295" t="n"/>
      <c r="F440" s="295" t="n"/>
      <c r="G440" s="282" t="n"/>
      <c r="H440" s="295" t="n"/>
      <c r="I440" s="295" t="n"/>
      <c r="J440" s="282" t="n"/>
      <c r="K440" s="345" t="n"/>
      <c r="L440" s="295" t="n"/>
      <c r="M440" s="346" t="n"/>
      <c r="N440" s="295" t="n"/>
      <c r="O440" s="285" t="n"/>
      <c r="P440" s="295" t="n"/>
      <c r="Q440" s="295" t="n"/>
      <c r="R440" s="282" t="n"/>
      <c r="S440" s="295" t="n"/>
      <c r="T440" s="295" t="n"/>
      <c r="U440" s="285" t="n"/>
      <c r="V440" s="295" t="n"/>
      <c r="W440" s="282" t="n"/>
      <c r="X440" s="295" t="n"/>
      <c r="Y440" s="295" t="n"/>
      <c r="Z440" s="295" t="n"/>
      <c r="AA440" s="295" t="n"/>
      <c r="AB440" s="285" t="n"/>
      <c r="AC440" s="295" t="n"/>
      <c r="AD440" s="295" t="n"/>
      <c r="AE440" s="286" t="n"/>
    </row>
    <row r="441">
      <c r="B441" s="287" t="n"/>
      <c r="C441" s="288" t="n"/>
      <c r="D441" s="295" t="n"/>
      <c r="E441" s="295" t="n"/>
      <c r="F441" s="295" t="n"/>
      <c r="G441" s="290" t="n"/>
      <c r="H441" s="295" t="n"/>
      <c r="I441" s="295" t="n"/>
      <c r="J441" s="290" t="n"/>
      <c r="K441" s="347" t="n"/>
      <c r="L441" s="295" t="n"/>
      <c r="M441" s="348" t="n"/>
      <c r="N441" s="295" t="n"/>
      <c r="O441" s="293" t="n"/>
      <c r="P441" s="295" t="n"/>
      <c r="Q441" s="295" t="n"/>
      <c r="R441" s="290" t="n"/>
      <c r="S441" s="295" t="n"/>
      <c r="T441" s="295" t="n"/>
      <c r="U441" s="293" t="n"/>
      <c r="V441" s="295" t="n"/>
      <c r="W441" s="290" t="n"/>
      <c r="X441" s="295" t="n"/>
      <c r="Y441" s="295" t="n"/>
      <c r="Z441" s="295" t="n"/>
      <c r="AA441" s="295" t="n"/>
      <c r="AB441" s="293" t="n"/>
      <c r="AC441" s="295" t="n"/>
      <c r="AD441" s="295" t="n"/>
      <c r="AE441" s="294" t="n"/>
    </row>
    <row r="442">
      <c r="B442" s="279" t="n"/>
      <c r="C442" s="280" t="n"/>
      <c r="D442" s="295" t="n"/>
      <c r="E442" s="295" t="n"/>
      <c r="F442" s="295" t="n"/>
      <c r="G442" s="282" t="n"/>
      <c r="H442" s="295" t="n"/>
      <c r="I442" s="295" t="n"/>
      <c r="J442" s="282" t="n"/>
      <c r="K442" s="345" t="n"/>
      <c r="L442" s="295" t="n"/>
      <c r="M442" s="346" t="n"/>
      <c r="N442" s="295" t="n"/>
      <c r="O442" s="285" t="n"/>
      <c r="P442" s="295" t="n"/>
      <c r="Q442" s="295" t="n"/>
      <c r="R442" s="282" t="n"/>
      <c r="S442" s="295" t="n"/>
      <c r="T442" s="295" t="n"/>
      <c r="U442" s="285" t="n"/>
      <c r="V442" s="295" t="n"/>
      <c r="W442" s="282" t="n"/>
      <c r="X442" s="295" t="n"/>
      <c r="Y442" s="295" t="n"/>
      <c r="Z442" s="295" t="n"/>
      <c r="AA442" s="295" t="n"/>
      <c r="AB442" s="285" t="n"/>
      <c r="AC442" s="295" t="n"/>
      <c r="AD442" s="295" t="n"/>
      <c r="AE442" s="286" t="n"/>
    </row>
    <row r="443">
      <c r="B443" s="287" t="n"/>
      <c r="C443" s="288" t="n"/>
      <c r="D443" s="295" t="n"/>
      <c r="E443" s="295" t="n"/>
      <c r="F443" s="295" t="n"/>
      <c r="G443" s="290" t="n"/>
      <c r="H443" s="295" t="n"/>
      <c r="I443" s="295" t="n"/>
      <c r="J443" s="290" t="n"/>
      <c r="K443" s="347" t="n"/>
      <c r="L443" s="295" t="n"/>
      <c r="M443" s="348" t="n"/>
      <c r="N443" s="295" t="n"/>
      <c r="O443" s="293" t="n"/>
      <c r="P443" s="295" t="n"/>
      <c r="Q443" s="295" t="n"/>
      <c r="R443" s="290" t="n"/>
      <c r="S443" s="295" t="n"/>
      <c r="T443" s="295" t="n"/>
      <c r="U443" s="293" t="n"/>
      <c r="V443" s="295" t="n"/>
      <c r="W443" s="290" t="n"/>
      <c r="X443" s="295" t="n"/>
      <c r="Y443" s="295" t="n"/>
      <c r="Z443" s="295" t="n"/>
      <c r="AA443" s="295" t="n"/>
      <c r="AB443" s="293" t="n"/>
      <c r="AC443" s="295" t="n"/>
      <c r="AD443" s="295" t="n"/>
      <c r="AE443" s="294" t="n"/>
    </row>
    <row r="444">
      <c r="B444" s="279" t="n"/>
      <c r="C444" s="280" t="n"/>
      <c r="D444" s="295" t="n"/>
      <c r="E444" s="295" t="n"/>
      <c r="F444" s="295" t="n"/>
      <c r="G444" s="282" t="n"/>
      <c r="H444" s="295" t="n"/>
      <c r="I444" s="295" t="n"/>
      <c r="J444" s="282" t="n"/>
      <c r="K444" s="345" t="n"/>
      <c r="L444" s="295" t="n"/>
      <c r="M444" s="346" t="n"/>
      <c r="N444" s="295" t="n"/>
      <c r="O444" s="285" t="n"/>
      <c r="P444" s="295" t="n"/>
      <c r="Q444" s="295" t="n"/>
      <c r="R444" s="282" t="n"/>
      <c r="S444" s="295" t="n"/>
      <c r="T444" s="295" t="n"/>
      <c r="U444" s="285" t="n"/>
      <c r="V444" s="295" t="n"/>
      <c r="W444" s="282" t="n"/>
      <c r="X444" s="295" t="n"/>
      <c r="Y444" s="295" t="n"/>
      <c r="Z444" s="295" t="n"/>
      <c r="AA444" s="295" t="n"/>
      <c r="AB444" s="285" t="n"/>
      <c r="AC444" s="295" t="n"/>
      <c r="AD444" s="295" t="n"/>
      <c r="AE444" s="286" t="n"/>
    </row>
    <row r="445">
      <c r="B445" s="279" t="n"/>
      <c r="C445" s="280" t="n"/>
      <c r="D445" s="295" t="n"/>
      <c r="E445" s="295" t="n"/>
      <c r="F445" s="295" t="n"/>
      <c r="G445" s="282" t="n"/>
      <c r="H445" s="295" t="n"/>
      <c r="I445" s="295" t="n"/>
      <c r="J445" s="282" t="n"/>
      <c r="K445" s="345" t="n"/>
      <c r="L445" s="295" t="n"/>
      <c r="M445" s="346" t="n"/>
      <c r="N445" s="295" t="n"/>
      <c r="O445" s="285" t="n"/>
      <c r="P445" s="295" t="n"/>
      <c r="Q445" s="295" t="n"/>
      <c r="R445" s="282" t="n"/>
      <c r="S445" s="295" t="n"/>
      <c r="T445" s="295" t="n"/>
      <c r="U445" s="285" t="n"/>
      <c r="V445" s="295" t="n"/>
      <c r="W445" s="282" t="n"/>
      <c r="X445" s="295" t="n"/>
      <c r="Y445" s="295" t="n"/>
      <c r="Z445" s="295" t="n"/>
      <c r="AA445" s="295" t="n"/>
      <c r="AB445" s="285" t="n"/>
      <c r="AC445" s="295" t="n"/>
      <c r="AD445" s="295" t="n"/>
      <c r="AE445" s="286" t="n"/>
    </row>
    <row r="446">
      <c r="B446" s="287" t="n"/>
      <c r="C446" s="288" t="n"/>
      <c r="D446" s="295" t="n"/>
      <c r="E446" s="295" t="n"/>
      <c r="F446" s="295" t="n"/>
      <c r="G446" s="290" t="n"/>
      <c r="H446" s="295" t="n"/>
      <c r="I446" s="295" t="n"/>
      <c r="J446" s="290" t="n"/>
      <c r="K446" s="347" t="n"/>
      <c r="L446" s="295" t="n"/>
      <c r="M446" s="348" t="n"/>
      <c r="N446" s="295" t="n"/>
      <c r="O446" s="293" t="n"/>
      <c r="P446" s="295" t="n"/>
      <c r="Q446" s="295" t="n"/>
      <c r="R446" s="290" t="n"/>
      <c r="S446" s="295" t="n"/>
      <c r="T446" s="295" t="n"/>
      <c r="U446" s="293" t="n"/>
      <c r="V446" s="295" t="n"/>
      <c r="W446" s="290" t="n"/>
      <c r="X446" s="295" t="n"/>
      <c r="Y446" s="295" t="n"/>
      <c r="Z446" s="295" t="n"/>
      <c r="AA446" s="295" t="n"/>
      <c r="AB446" s="293" t="n"/>
      <c r="AC446" s="295" t="n"/>
      <c r="AD446" s="295" t="n"/>
      <c r="AE446" s="294" t="n"/>
    </row>
    <row r="447">
      <c r="B447" s="279" t="n"/>
      <c r="C447" s="280" t="n"/>
      <c r="D447" s="295" t="n"/>
      <c r="E447" s="295" t="n"/>
      <c r="F447" s="295" t="n"/>
      <c r="G447" s="282" t="n"/>
      <c r="H447" s="295" t="n"/>
      <c r="I447" s="295" t="n"/>
      <c r="J447" s="282" t="n"/>
      <c r="K447" s="345" t="n"/>
      <c r="L447" s="295" t="n"/>
      <c r="M447" s="346" t="n"/>
      <c r="N447" s="295" t="n"/>
      <c r="O447" s="285" t="n"/>
      <c r="P447" s="295" t="n"/>
      <c r="Q447" s="295" t="n"/>
      <c r="R447" s="282" t="n"/>
      <c r="S447" s="295" t="n"/>
      <c r="T447" s="295" t="n"/>
      <c r="U447" s="285" t="n"/>
      <c r="V447" s="295" t="n"/>
      <c r="W447" s="282" t="n"/>
      <c r="X447" s="295" t="n"/>
      <c r="Y447" s="295" t="n"/>
      <c r="Z447" s="295" t="n"/>
      <c r="AA447" s="295" t="n"/>
      <c r="AB447" s="285" t="n"/>
      <c r="AC447" s="295" t="n"/>
      <c r="AD447" s="295" t="n"/>
      <c r="AE447" s="286" t="n"/>
    </row>
    <row r="448">
      <c r="B448" s="287" t="n"/>
      <c r="C448" s="288" t="n"/>
      <c r="D448" s="295" t="n"/>
      <c r="E448" s="295" t="n"/>
      <c r="F448" s="295" t="n"/>
      <c r="G448" s="290" t="n"/>
      <c r="H448" s="295" t="n"/>
      <c r="I448" s="295" t="n"/>
      <c r="J448" s="290" t="n"/>
      <c r="K448" s="347" t="n"/>
      <c r="L448" s="295" t="n"/>
      <c r="M448" s="348" t="n"/>
      <c r="N448" s="295" t="n"/>
      <c r="O448" s="293" t="n"/>
      <c r="P448" s="295" t="n"/>
      <c r="Q448" s="295" t="n"/>
      <c r="R448" s="290" t="n"/>
      <c r="S448" s="295" t="n"/>
      <c r="T448" s="295" t="n"/>
      <c r="U448" s="293" t="n"/>
      <c r="V448" s="295" t="n"/>
      <c r="W448" s="290" t="n"/>
      <c r="X448" s="295" t="n"/>
      <c r="Y448" s="295" t="n"/>
      <c r="Z448" s="295" t="n"/>
      <c r="AA448" s="295" t="n"/>
      <c r="AB448" s="293" t="n"/>
      <c r="AC448" s="295" t="n"/>
      <c r="AD448" s="295" t="n"/>
      <c r="AE448" s="294" t="n"/>
    </row>
    <row r="449">
      <c r="B449" s="279" t="n"/>
      <c r="C449" s="280" t="n"/>
      <c r="D449" s="295" t="n"/>
      <c r="E449" s="295" t="n"/>
      <c r="F449" s="295" t="n"/>
      <c r="G449" s="282" t="n"/>
      <c r="H449" s="295" t="n"/>
      <c r="I449" s="295" t="n"/>
      <c r="J449" s="282" t="n"/>
      <c r="K449" s="345" t="n"/>
      <c r="L449" s="295" t="n"/>
      <c r="M449" s="346" t="n"/>
      <c r="N449" s="295" t="n"/>
      <c r="O449" s="285" t="n"/>
      <c r="P449" s="295" t="n"/>
      <c r="Q449" s="295" t="n"/>
      <c r="R449" s="282" t="n"/>
      <c r="S449" s="295" t="n"/>
      <c r="T449" s="295" t="n"/>
      <c r="U449" s="285" t="n"/>
      <c r="V449" s="295" t="n"/>
      <c r="W449" s="282" t="n"/>
      <c r="X449" s="295" t="n"/>
      <c r="Y449" s="295" t="n"/>
      <c r="Z449" s="295" t="n"/>
      <c r="AA449" s="295" t="n"/>
      <c r="AB449" s="285" t="n"/>
      <c r="AC449" s="295" t="n"/>
      <c r="AD449" s="295" t="n"/>
      <c r="AE449" s="286" t="n"/>
    </row>
    <row r="450">
      <c r="B450" s="287" t="n"/>
      <c r="C450" s="288" t="n"/>
      <c r="D450" s="295" t="n"/>
      <c r="E450" s="295" t="n"/>
      <c r="F450" s="295" t="n"/>
      <c r="G450" s="290" t="n"/>
      <c r="H450" s="295" t="n"/>
      <c r="I450" s="295" t="n"/>
      <c r="J450" s="290" t="n"/>
      <c r="K450" s="347" t="n"/>
      <c r="L450" s="295" t="n"/>
      <c r="M450" s="348" t="n"/>
      <c r="N450" s="295" t="n"/>
      <c r="O450" s="293" t="n"/>
      <c r="P450" s="295" t="n"/>
      <c r="Q450" s="295" t="n"/>
      <c r="R450" s="290" t="n"/>
      <c r="S450" s="295" t="n"/>
      <c r="T450" s="295" t="n"/>
      <c r="U450" s="293" t="n"/>
      <c r="V450" s="295" t="n"/>
      <c r="W450" s="290" t="n"/>
      <c r="X450" s="295" t="n"/>
      <c r="Y450" s="295" t="n"/>
      <c r="Z450" s="295" t="n"/>
      <c r="AA450" s="295" t="n"/>
      <c r="AB450" s="293" t="n"/>
      <c r="AC450" s="295" t="n"/>
      <c r="AD450" s="295" t="n"/>
      <c r="AE450" s="294" t="n"/>
    </row>
    <row r="451">
      <c r="B451" s="279" t="n"/>
      <c r="C451" s="280" t="n"/>
      <c r="D451" s="295" t="n"/>
      <c r="E451" s="295" t="n"/>
      <c r="F451" s="295" t="n"/>
      <c r="G451" s="282" t="n"/>
      <c r="H451" s="295" t="n"/>
      <c r="I451" s="295" t="n"/>
      <c r="J451" s="282" t="n"/>
      <c r="K451" s="345" t="n"/>
      <c r="L451" s="295" t="n"/>
      <c r="M451" s="346" t="n"/>
      <c r="N451" s="295" t="n"/>
      <c r="O451" s="285" t="n"/>
      <c r="P451" s="295" t="n"/>
      <c r="Q451" s="295" t="n"/>
      <c r="R451" s="282" t="n"/>
      <c r="S451" s="295" t="n"/>
      <c r="T451" s="295" t="n"/>
      <c r="U451" s="285" t="n"/>
      <c r="V451" s="295" t="n"/>
      <c r="W451" s="282" t="n"/>
      <c r="X451" s="295" t="n"/>
      <c r="Y451" s="295" t="n"/>
      <c r="Z451" s="295" t="n"/>
      <c r="AA451" s="295" t="n"/>
      <c r="AB451" s="285" t="n"/>
      <c r="AC451" s="295" t="n"/>
      <c r="AD451" s="295" t="n"/>
      <c r="AE451" s="286" t="n"/>
    </row>
    <row r="452">
      <c r="B452" s="287" t="n"/>
      <c r="C452" s="288" t="n"/>
      <c r="D452" s="295" t="n"/>
      <c r="E452" s="295" t="n"/>
      <c r="F452" s="295" t="n"/>
      <c r="G452" s="290" t="n"/>
      <c r="H452" s="295" t="n"/>
      <c r="I452" s="295" t="n"/>
      <c r="J452" s="290" t="n"/>
      <c r="K452" s="347" t="n"/>
      <c r="L452" s="295" t="n"/>
      <c r="M452" s="348" t="n"/>
      <c r="N452" s="295" t="n"/>
      <c r="O452" s="293" t="n"/>
      <c r="P452" s="295" t="n"/>
      <c r="Q452" s="295" t="n"/>
      <c r="R452" s="290" t="n"/>
      <c r="S452" s="295" t="n"/>
      <c r="T452" s="295" t="n"/>
      <c r="U452" s="293" t="n"/>
      <c r="V452" s="295" t="n"/>
      <c r="W452" s="290" t="n"/>
      <c r="X452" s="295" t="n"/>
      <c r="Y452" s="295" t="n"/>
      <c r="Z452" s="295" t="n"/>
      <c r="AA452" s="295" t="n"/>
      <c r="AB452" s="293" t="n"/>
      <c r="AC452" s="295" t="n"/>
      <c r="AD452" s="295" t="n"/>
      <c r="AE452" s="294" t="n"/>
    </row>
    <row r="453">
      <c r="B453" s="279" t="n"/>
      <c r="C453" s="280" t="n"/>
      <c r="D453" s="295" t="n"/>
      <c r="E453" s="295" t="n"/>
      <c r="F453" s="295" t="n"/>
      <c r="G453" s="282" t="n"/>
      <c r="H453" s="295" t="n"/>
      <c r="I453" s="295" t="n"/>
      <c r="J453" s="282" t="n"/>
      <c r="K453" s="345" t="n"/>
      <c r="L453" s="295" t="n"/>
      <c r="M453" s="346" t="n"/>
      <c r="N453" s="295" t="n"/>
      <c r="O453" s="285" t="n"/>
      <c r="P453" s="295" t="n"/>
      <c r="Q453" s="295" t="n"/>
      <c r="R453" s="282" t="n"/>
      <c r="S453" s="295" t="n"/>
      <c r="T453" s="295" t="n"/>
      <c r="U453" s="285" t="n"/>
      <c r="V453" s="295" t="n"/>
      <c r="W453" s="282" t="n"/>
      <c r="X453" s="295" t="n"/>
      <c r="Y453" s="295" t="n"/>
      <c r="Z453" s="295" t="n"/>
      <c r="AA453" s="295" t="n"/>
      <c r="AB453" s="285" t="n"/>
      <c r="AC453" s="295" t="n"/>
      <c r="AD453" s="295" t="n"/>
      <c r="AE453" s="286" t="n"/>
    </row>
    <row r="454">
      <c r="B454" s="287" t="n"/>
      <c r="C454" s="288" t="n"/>
      <c r="D454" s="295" t="n"/>
      <c r="E454" s="295" t="n"/>
      <c r="F454" s="295" t="n"/>
      <c r="G454" s="290" t="n"/>
      <c r="H454" s="295" t="n"/>
      <c r="I454" s="295" t="n"/>
      <c r="J454" s="290" t="n"/>
      <c r="K454" s="347" t="n"/>
      <c r="L454" s="295" t="n"/>
      <c r="M454" s="348" t="n"/>
      <c r="N454" s="295" t="n"/>
      <c r="O454" s="293" t="n"/>
      <c r="P454" s="295" t="n"/>
      <c r="Q454" s="295" t="n"/>
      <c r="R454" s="290" t="n"/>
      <c r="S454" s="295" t="n"/>
      <c r="T454" s="295" t="n"/>
      <c r="U454" s="293" t="n"/>
      <c r="V454" s="295" t="n"/>
      <c r="W454" s="290" t="n"/>
      <c r="X454" s="295" t="n"/>
      <c r="Y454" s="295" t="n"/>
      <c r="Z454" s="295" t="n"/>
      <c r="AA454" s="295" t="n"/>
      <c r="AB454" s="293" t="n"/>
      <c r="AC454" s="295" t="n"/>
      <c r="AD454" s="295" t="n"/>
      <c r="AE454" s="294" t="n"/>
    </row>
    <row r="455">
      <c r="B455" s="279" t="n"/>
      <c r="C455" s="280" t="n"/>
      <c r="D455" s="295" t="n"/>
      <c r="E455" s="295" t="n"/>
      <c r="F455" s="295" t="n"/>
      <c r="G455" s="282" t="n"/>
      <c r="H455" s="295" t="n"/>
      <c r="I455" s="295" t="n"/>
      <c r="J455" s="282" t="n"/>
      <c r="K455" s="345" t="n"/>
      <c r="L455" s="295" t="n"/>
      <c r="M455" s="346" t="n"/>
      <c r="N455" s="295" t="n"/>
      <c r="O455" s="285" t="n"/>
      <c r="P455" s="295" t="n"/>
      <c r="Q455" s="295" t="n"/>
      <c r="R455" s="282" t="n"/>
      <c r="S455" s="295" t="n"/>
      <c r="T455" s="295" t="n"/>
      <c r="U455" s="285" t="n"/>
      <c r="V455" s="295" t="n"/>
      <c r="W455" s="282" t="n"/>
      <c r="X455" s="295" t="n"/>
      <c r="Y455" s="295" t="n"/>
      <c r="Z455" s="295" t="n"/>
      <c r="AA455" s="295" t="n"/>
      <c r="AB455" s="285" t="n"/>
      <c r="AC455" s="295" t="n"/>
      <c r="AD455" s="295" t="n"/>
      <c r="AE455" s="286" t="n"/>
    </row>
    <row r="456">
      <c r="B456" s="152" t="n"/>
      <c r="C456" s="153" t="n"/>
      <c r="G456" s="155" t="n"/>
      <c r="J456" s="155" t="n"/>
      <c r="K456" s="349" t="n"/>
      <c r="M456" s="350" t="n"/>
      <c r="O456" s="158" t="n"/>
      <c r="R456" s="155" t="n"/>
      <c r="U456" s="158" t="n"/>
      <c r="W456" s="155" t="n"/>
      <c r="AB456" s="158" t="n"/>
      <c r="AE456" s="159" t="n"/>
    </row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71"/>
  <mergeCells count="1765">
    <mergeCell ref="U420:V420"/>
    <mergeCell ref="R415:T415"/>
    <mergeCell ref="G288:I288"/>
    <mergeCell ref="W367:AA367"/>
    <mergeCell ref="G323:I323"/>
    <mergeCell ref="G298:I298"/>
    <mergeCell ref="U291:V291"/>
    <mergeCell ref="W359:AA359"/>
    <mergeCell ref="G412:I412"/>
    <mergeCell ref="W369:AA369"/>
    <mergeCell ref="R440:T440"/>
    <mergeCell ref="K302:L302"/>
    <mergeCell ref="P158:Q158"/>
    <mergeCell ref="M358:N358"/>
    <mergeCell ref="U293:V293"/>
    <mergeCell ref="U415:V415"/>
    <mergeCell ref="R439:T439"/>
    <mergeCell ref="G443:I443"/>
    <mergeCell ref="U292:V292"/>
    <mergeCell ref="AB430:AD430"/>
    <mergeCell ref="M366:N366"/>
    <mergeCell ref="M360:N360"/>
    <mergeCell ref="R441:T441"/>
    <mergeCell ref="C368:F368"/>
    <mergeCell ref="R435:T435"/>
    <mergeCell ref="U317:V317"/>
    <mergeCell ref="R312:T312"/>
    <mergeCell ref="M361:N361"/>
    <mergeCell ref="C364:F364"/>
    <mergeCell ref="O425:Q425"/>
    <mergeCell ref="K328:L328"/>
    <mergeCell ref="U319:V319"/>
    <mergeCell ref="U318:V318"/>
    <mergeCell ref="W405:AA405"/>
    <mergeCell ref="M392:N392"/>
    <mergeCell ref="U312:V312"/>
    <mergeCell ref="M386:N386"/>
    <mergeCell ref="D219:F219"/>
    <mergeCell ref="W293:AA293"/>
    <mergeCell ref="U320:V320"/>
    <mergeCell ref="W407:AA407"/>
    <mergeCell ref="M394:N394"/>
    <mergeCell ref="U314:V314"/>
    <mergeCell ref="G367:I367"/>
    <mergeCell ref="M387:N387"/>
    <mergeCell ref="W438:AA438"/>
    <mergeCell ref="R365:T365"/>
    <mergeCell ref="O295:Q295"/>
    <mergeCell ref="G369:I369"/>
    <mergeCell ref="R454:T454"/>
    <mergeCell ref="C419:F419"/>
    <mergeCell ref="AB355:AD355"/>
    <mergeCell ref="G368:I368"/>
    <mergeCell ref="W439:AA439"/>
    <mergeCell ref="W433:AA433"/>
    <mergeCell ref="K341:L341"/>
    <mergeCell ref="G364:I364"/>
    <mergeCell ref="M316:N316"/>
    <mergeCell ref="U373:V373"/>
    <mergeCell ref="W435:AA435"/>
    <mergeCell ref="M405:N405"/>
    <mergeCell ref="AB356:AD356"/>
    <mergeCell ref="R376:T376"/>
    <mergeCell ref="U389:V389"/>
    <mergeCell ref="R378:T378"/>
    <mergeCell ref="O341:Q341"/>
    <mergeCell ref="M157:Q157"/>
    <mergeCell ref="U384:V384"/>
    <mergeCell ref="G408:I408"/>
    <mergeCell ref="W365:AA365"/>
    <mergeCell ref="C279:F279"/>
    <mergeCell ref="K273:L273"/>
    <mergeCell ref="U386:V386"/>
    <mergeCell ref="G410:I410"/>
    <mergeCell ref="C281:F281"/>
    <mergeCell ref="G439:I439"/>
    <mergeCell ref="F192:I192"/>
    <mergeCell ref="M331:N331"/>
    <mergeCell ref="L50:M50"/>
    <mergeCell ref="L25:M25"/>
    <mergeCell ref="O395:Q395"/>
    <mergeCell ref="R437:T437"/>
    <mergeCell ref="O367:Q367"/>
    <mergeCell ref="AB428:AD428"/>
    <mergeCell ref="G441:I441"/>
    <mergeCell ref="G435:I435"/>
    <mergeCell ref="L52:M52"/>
    <mergeCell ref="G312:I312"/>
    <mergeCell ref="G434:I434"/>
    <mergeCell ref="O396:Q396"/>
    <mergeCell ref="O390:Q390"/>
    <mergeCell ref="K413:L413"/>
    <mergeCell ref="AB423:AD423"/>
    <mergeCell ref="G436:I436"/>
    <mergeCell ref="U404:V404"/>
    <mergeCell ref="O398:Q398"/>
    <mergeCell ref="W376:AA376"/>
    <mergeCell ref="H256:I256"/>
    <mergeCell ref="K415:L415"/>
    <mergeCell ref="U397:V397"/>
    <mergeCell ref="U316:V316"/>
    <mergeCell ref="W378:AA378"/>
    <mergeCell ref="U310:V310"/>
    <mergeCell ref="K286:L286"/>
    <mergeCell ref="AB297:AD297"/>
    <mergeCell ref="AB299:AD299"/>
    <mergeCell ref="K410:L410"/>
    <mergeCell ref="O414:Q414"/>
    <mergeCell ref="O291:Q291"/>
    <mergeCell ref="R450:T450"/>
    <mergeCell ref="AB292:AD292"/>
    <mergeCell ref="G454:I454"/>
    <mergeCell ref="O293:Q293"/>
    <mergeCell ref="R452:T452"/>
    <mergeCell ref="AB294:AD294"/>
    <mergeCell ref="O409:Q409"/>
    <mergeCell ref="K337:L337"/>
    <mergeCell ref="K312:L312"/>
    <mergeCell ref="AB404:AD404"/>
    <mergeCell ref="H267:I267"/>
    <mergeCell ref="G449:I449"/>
    <mergeCell ref="K339:L339"/>
    <mergeCell ref="K314:L314"/>
    <mergeCell ref="M401:N401"/>
    <mergeCell ref="M395:N395"/>
    <mergeCell ref="U452:V452"/>
    <mergeCell ref="L2:M2"/>
    <mergeCell ref="C380:F380"/>
    <mergeCell ref="U329:V329"/>
    <mergeCell ref="M403:N403"/>
    <mergeCell ref="W432:AA432"/>
    <mergeCell ref="L3:M3"/>
    <mergeCell ref="C434:F434"/>
    <mergeCell ref="M398:N398"/>
    <mergeCell ref="L5:M5"/>
    <mergeCell ref="U380:V380"/>
    <mergeCell ref="M423:N423"/>
    <mergeCell ref="K350:L350"/>
    <mergeCell ref="W450:AA450"/>
    <mergeCell ref="U382:V382"/>
    <mergeCell ref="U357:V357"/>
    <mergeCell ref="M431:N431"/>
    <mergeCell ref="K352:L352"/>
    <mergeCell ref="M414:N414"/>
    <mergeCell ref="C277:F277"/>
    <mergeCell ref="M424:N424"/>
    <mergeCell ref="L21:M21"/>
    <mergeCell ref="C276:F276"/>
    <mergeCell ref="M416:N416"/>
    <mergeCell ref="C278:F278"/>
    <mergeCell ref="K376:L376"/>
    <mergeCell ref="O392:Q392"/>
    <mergeCell ref="L16:M16"/>
    <mergeCell ref="K384:L384"/>
    <mergeCell ref="K378:L378"/>
    <mergeCell ref="O394:Q394"/>
    <mergeCell ref="U393:V393"/>
    <mergeCell ref="M442:N442"/>
    <mergeCell ref="C288:F288"/>
    <mergeCell ref="K379:L379"/>
    <mergeCell ref="U395:V395"/>
    <mergeCell ref="R273:T273"/>
    <mergeCell ref="K406:L406"/>
    <mergeCell ref="G277:I277"/>
    <mergeCell ref="I33:J33"/>
    <mergeCell ref="U426:V426"/>
    <mergeCell ref="O376:Q376"/>
    <mergeCell ref="L44:M44"/>
    <mergeCell ref="K437:L437"/>
    <mergeCell ref="C291:F291"/>
    <mergeCell ref="M284:N284"/>
    <mergeCell ref="AB290:AD290"/>
    <mergeCell ref="O378:Q378"/>
    <mergeCell ref="O405:Q405"/>
    <mergeCell ref="U421:V421"/>
    <mergeCell ref="G445:I445"/>
    <mergeCell ref="C347:F347"/>
    <mergeCell ref="O407:Q407"/>
    <mergeCell ref="K310:L310"/>
    <mergeCell ref="K432:L432"/>
    <mergeCell ref="U423:V423"/>
    <mergeCell ref="K424:L424"/>
    <mergeCell ref="C342:F342"/>
    <mergeCell ref="R292:T292"/>
    <mergeCell ref="C344:F344"/>
    <mergeCell ref="O433:Q433"/>
    <mergeCell ref="K450:L450"/>
    <mergeCell ref="O435:Q435"/>
    <mergeCell ref="W273:AA273"/>
    <mergeCell ref="K452:L452"/>
    <mergeCell ref="AB334:AD334"/>
    <mergeCell ref="G347:I347"/>
    <mergeCell ref="AB336:AD336"/>
    <mergeCell ref="AB329:AD329"/>
    <mergeCell ref="W413:AA413"/>
    <mergeCell ref="AB337:AD337"/>
    <mergeCell ref="AB331:AD331"/>
    <mergeCell ref="K380:L380"/>
    <mergeCell ref="W415:AA415"/>
    <mergeCell ref="M438:N438"/>
    <mergeCell ref="W286:AA286"/>
    <mergeCell ref="K375:L375"/>
    <mergeCell ref="C417:F417"/>
    <mergeCell ref="M440:N440"/>
    <mergeCell ref="C383:F383"/>
    <mergeCell ref="R358:T358"/>
    <mergeCell ref="G362:I362"/>
    <mergeCell ref="M435:N435"/>
    <mergeCell ref="R360:T360"/>
    <mergeCell ref="C287:F287"/>
    <mergeCell ref="G414:I414"/>
    <mergeCell ref="M280:N280"/>
    <mergeCell ref="U417:V417"/>
    <mergeCell ref="C289:F289"/>
    <mergeCell ref="K393:L393"/>
    <mergeCell ref="G416:I416"/>
    <mergeCell ref="U419:V419"/>
    <mergeCell ref="M275:N275"/>
    <mergeCell ref="M311:N311"/>
    <mergeCell ref="C314:F314"/>
    <mergeCell ref="O347:Q347"/>
    <mergeCell ref="C313:F313"/>
    <mergeCell ref="M277:N277"/>
    <mergeCell ref="AB279:AD279"/>
    <mergeCell ref="AB401:AD401"/>
    <mergeCell ref="G286:I286"/>
    <mergeCell ref="C315:F315"/>
    <mergeCell ref="O429:Q429"/>
    <mergeCell ref="R290:T290"/>
    <mergeCell ref="AB281:AD281"/>
    <mergeCell ref="AB403:AD403"/>
    <mergeCell ref="O431:Q431"/>
    <mergeCell ref="AB274:AD274"/>
    <mergeCell ref="G287:I287"/>
    <mergeCell ref="E192:E193"/>
    <mergeCell ref="U430:V430"/>
    <mergeCell ref="W358:AA358"/>
    <mergeCell ref="U290:V290"/>
    <mergeCell ref="R285:T285"/>
    <mergeCell ref="G289:I289"/>
    <mergeCell ref="K416:L416"/>
    <mergeCell ref="W360:AA360"/>
    <mergeCell ref="R316:T316"/>
    <mergeCell ref="G314:I314"/>
    <mergeCell ref="C326:F326"/>
    <mergeCell ref="AB300:AD300"/>
    <mergeCell ref="R274:T274"/>
    <mergeCell ref="O273:Q273"/>
    <mergeCell ref="G305:I305"/>
    <mergeCell ref="R311:T311"/>
    <mergeCell ref="H247:I247"/>
    <mergeCell ref="AB327:AD327"/>
    <mergeCell ref="U308:V308"/>
    <mergeCell ref="O442:Q442"/>
    <mergeCell ref="R303:T303"/>
    <mergeCell ref="W411:AA411"/>
    <mergeCell ref="W282:AA282"/>
    <mergeCell ref="AB447:AD447"/>
    <mergeCell ref="U309:V309"/>
    <mergeCell ref="C413:F413"/>
    <mergeCell ref="R300:T300"/>
    <mergeCell ref="C379:F379"/>
    <mergeCell ref="W283:AA283"/>
    <mergeCell ref="C415:F415"/>
    <mergeCell ref="R329:T329"/>
    <mergeCell ref="O284:Q284"/>
    <mergeCell ref="G358:I358"/>
    <mergeCell ref="C408:F408"/>
    <mergeCell ref="R295:T295"/>
    <mergeCell ref="R331:T331"/>
    <mergeCell ref="W308:AA308"/>
    <mergeCell ref="O286:Q286"/>
    <mergeCell ref="G360:I360"/>
    <mergeCell ref="C410:F410"/>
    <mergeCell ref="AB346:AD346"/>
    <mergeCell ref="W316:AA316"/>
    <mergeCell ref="G353:I353"/>
    <mergeCell ref="W310:AA310"/>
    <mergeCell ref="W309:AA309"/>
    <mergeCell ref="C397:F397"/>
    <mergeCell ref="AB371:AD371"/>
    <mergeCell ref="G384:I384"/>
    <mergeCell ref="W311:AA311"/>
    <mergeCell ref="R382:T382"/>
    <mergeCell ref="C426:F426"/>
    <mergeCell ref="M273:N273"/>
    <mergeCell ref="AB372:AD372"/>
    <mergeCell ref="C428:F428"/>
    <mergeCell ref="M302:N302"/>
    <mergeCell ref="K358:L358"/>
    <mergeCell ref="AB374:AD374"/>
    <mergeCell ref="AB399:AD399"/>
    <mergeCell ref="W452:AA452"/>
    <mergeCell ref="G283:I283"/>
    <mergeCell ref="M299:N299"/>
    <mergeCell ref="G253:G254"/>
    <mergeCell ref="G285:I285"/>
    <mergeCell ref="C454:F454"/>
    <mergeCell ref="M328:N328"/>
    <mergeCell ref="R393:T393"/>
    <mergeCell ref="G397:I397"/>
    <mergeCell ref="AB425:AD425"/>
    <mergeCell ref="W324:AA324"/>
    <mergeCell ref="R401:T401"/>
    <mergeCell ref="R395:T395"/>
    <mergeCell ref="AB296:AD296"/>
    <mergeCell ref="AB427:AD427"/>
    <mergeCell ref="W380:AA380"/>
    <mergeCell ref="O358:Q358"/>
    <mergeCell ref="L51:M51"/>
    <mergeCell ref="M317:N317"/>
    <mergeCell ref="AB298:AD298"/>
    <mergeCell ref="G311:I311"/>
    <mergeCell ref="R396:T396"/>
    <mergeCell ref="AB456:AD456"/>
    <mergeCell ref="W382:AA382"/>
    <mergeCell ref="K430:L430"/>
    <mergeCell ref="U272:V272"/>
    <mergeCell ref="M346:N346"/>
    <mergeCell ref="G296:I296"/>
    <mergeCell ref="M318:N318"/>
    <mergeCell ref="K283:L283"/>
    <mergeCell ref="AB443:AD443"/>
    <mergeCell ref="M312:N312"/>
    <mergeCell ref="R421:T421"/>
    <mergeCell ref="U299:V299"/>
    <mergeCell ref="U274:V274"/>
    <mergeCell ref="M348:N348"/>
    <mergeCell ref="W377:AA377"/>
    <mergeCell ref="K285:L285"/>
    <mergeCell ref="M347:N347"/>
    <mergeCell ref="M314:N314"/>
    <mergeCell ref="R325:T325"/>
    <mergeCell ref="R456:T456"/>
    <mergeCell ref="G451:I451"/>
    <mergeCell ref="G329:I329"/>
    <mergeCell ref="AB438:AD438"/>
    <mergeCell ref="C352:F352"/>
    <mergeCell ref="K272:L272"/>
    <mergeCell ref="R327:T327"/>
    <mergeCell ref="G322:I322"/>
    <mergeCell ref="AB440:AD440"/>
    <mergeCell ref="C381:F381"/>
    <mergeCell ref="W393:AA393"/>
    <mergeCell ref="M374:N374"/>
    <mergeCell ref="K301:L301"/>
    <mergeCell ref="G324:I324"/>
    <mergeCell ref="W395:AA395"/>
    <mergeCell ref="D255:D256"/>
    <mergeCell ref="U327:V327"/>
    <mergeCell ref="K303:L303"/>
    <mergeCell ref="B192:B193"/>
    <mergeCell ref="U335:V335"/>
    <mergeCell ref="K296:L296"/>
    <mergeCell ref="O308:Q308"/>
    <mergeCell ref="G382:I382"/>
    <mergeCell ref="U328:V328"/>
    <mergeCell ref="O397:Q397"/>
    <mergeCell ref="AB368:AD368"/>
    <mergeCell ref="O310:Q310"/>
    <mergeCell ref="R338:T338"/>
    <mergeCell ref="W421:AA421"/>
    <mergeCell ref="O309:Q309"/>
    <mergeCell ref="K354:L354"/>
    <mergeCell ref="AB370:AD370"/>
    <mergeCell ref="AB364:AD364"/>
    <mergeCell ref="G377:I377"/>
    <mergeCell ref="U345:V345"/>
    <mergeCell ref="R340:T340"/>
    <mergeCell ref="O339:Q339"/>
    <mergeCell ref="W448:AA448"/>
    <mergeCell ref="W423:AA423"/>
    <mergeCell ref="C425:F425"/>
    <mergeCell ref="K356:L356"/>
    <mergeCell ref="M418:N418"/>
    <mergeCell ref="W325:AA325"/>
    <mergeCell ref="K349:L349"/>
    <mergeCell ref="U346:V346"/>
    <mergeCell ref="U340:V340"/>
    <mergeCell ref="C450:F450"/>
    <mergeCell ref="M413:N413"/>
    <mergeCell ref="U348:V348"/>
    <mergeCell ref="C452:F452"/>
    <mergeCell ref="W320:AA320"/>
    <mergeCell ref="L20:M20"/>
    <mergeCell ref="G395:I395"/>
    <mergeCell ref="C451:F451"/>
    <mergeCell ref="M415:N415"/>
    <mergeCell ref="C445:F445"/>
    <mergeCell ref="K382:L382"/>
    <mergeCell ref="L22:M22"/>
    <mergeCell ref="C453:F453"/>
    <mergeCell ref="R392:T392"/>
    <mergeCell ref="O322:Q322"/>
    <mergeCell ref="AB383:AD383"/>
    <mergeCell ref="G396:I396"/>
    <mergeCell ref="G390:I390"/>
    <mergeCell ref="U399:V399"/>
    <mergeCell ref="W338:AA338"/>
    <mergeCell ref="K368:L368"/>
    <mergeCell ref="W373:AA373"/>
    <mergeCell ref="C255:C256"/>
    <mergeCell ref="C375:F375"/>
    <mergeCell ref="M339:N339"/>
    <mergeCell ref="K395:L395"/>
    <mergeCell ref="O411:Q411"/>
    <mergeCell ref="C377:F377"/>
    <mergeCell ref="L35:M35"/>
    <mergeCell ref="U427:V427"/>
    <mergeCell ref="G320:I320"/>
    <mergeCell ref="G295:I295"/>
    <mergeCell ref="G409:I409"/>
    <mergeCell ref="U298:V298"/>
    <mergeCell ref="U418:V418"/>
    <mergeCell ref="U412:V412"/>
    <mergeCell ref="O406:Q406"/>
    <mergeCell ref="H264:I264"/>
    <mergeCell ref="M365:N365"/>
    <mergeCell ref="R430:T430"/>
    <mergeCell ref="M373:N373"/>
    <mergeCell ref="R438:T438"/>
    <mergeCell ref="O393:Q393"/>
    <mergeCell ref="K294:L294"/>
    <mergeCell ref="U413:V413"/>
    <mergeCell ref="O423:Q423"/>
    <mergeCell ref="O422:Q422"/>
    <mergeCell ref="K325:L325"/>
    <mergeCell ref="H255:I255"/>
    <mergeCell ref="U438:V438"/>
    <mergeCell ref="R433:T433"/>
    <mergeCell ref="AB449:AD449"/>
    <mergeCell ref="K318:L318"/>
    <mergeCell ref="O424:Q424"/>
    <mergeCell ref="C390:F390"/>
    <mergeCell ref="M383:N383"/>
    <mergeCell ref="U440:V440"/>
    <mergeCell ref="G333:I333"/>
    <mergeCell ref="K320:L320"/>
    <mergeCell ref="U342:V342"/>
    <mergeCell ref="M385:N385"/>
    <mergeCell ref="M384:N384"/>
    <mergeCell ref="U344:V344"/>
    <mergeCell ref="M411:N411"/>
    <mergeCell ref="R364:T364"/>
    <mergeCell ref="G359:I359"/>
    <mergeCell ref="W430:AA430"/>
    <mergeCell ref="W290:AA290"/>
    <mergeCell ref="K338:L338"/>
    <mergeCell ref="O354:Q354"/>
    <mergeCell ref="O348:Q348"/>
    <mergeCell ref="U370:V370"/>
    <mergeCell ref="O320:Q320"/>
    <mergeCell ref="K340:L340"/>
    <mergeCell ref="M437:N437"/>
    <mergeCell ref="K333:L333"/>
    <mergeCell ref="U355:V355"/>
    <mergeCell ref="U365:V365"/>
    <mergeCell ref="K366:L366"/>
    <mergeCell ref="M397:N397"/>
    <mergeCell ref="M310:N310"/>
    <mergeCell ref="L29:M29"/>
    <mergeCell ref="G448:I448"/>
    <mergeCell ref="L4:M4"/>
    <mergeCell ref="O374:Q374"/>
    <mergeCell ref="K391:L391"/>
    <mergeCell ref="W274:AA274"/>
    <mergeCell ref="W301:AA301"/>
    <mergeCell ref="O382:Q382"/>
    <mergeCell ref="L31:M31"/>
    <mergeCell ref="O375:Q375"/>
    <mergeCell ref="M455:N455"/>
    <mergeCell ref="W303:AA303"/>
    <mergeCell ref="K392:L392"/>
    <mergeCell ref="U383:V383"/>
    <mergeCell ref="O377:Q377"/>
    <mergeCell ref="K394:L394"/>
    <mergeCell ref="M450:N450"/>
    <mergeCell ref="U385:V385"/>
    <mergeCell ref="W357:AA357"/>
    <mergeCell ref="L57:M57"/>
    <mergeCell ref="AB276:AD276"/>
    <mergeCell ref="M452:N452"/>
    <mergeCell ref="C304:F304"/>
    <mergeCell ref="AB278:AD278"/>
    <mergeCell ref="L42:M42"/>
    <mergeCell ref="H251:I251"/>
    <mergeCell ref="R429:T429"/>
    <mergeCell ref="O359:Q359"/>
    <mergeCell ref="K404:L404"/>
    <mergeCell ref="G433:I433"/>
    <mergeCell ref="U305:V305"/>
    <mergeCell ref="U436:V436"/>
    <mergeCell ref="R431:T431"/>
    <mergeCell ref="M292:N292"/>
    <mergeCell ref="K316:L316"/>
    <mergeCell ref="U313:V313"/>
    <mergeCell ref="H246:I246"/>
    <mergeCell ref="U307:V307"/>
    <mergeCell ref="K405:L405"/>
    <mergeCell ref="C330:F330"/>
    <mergeCell ref="M380:N380"/>
    <mergeCell ref="U437:V437"/>
    <mergeCell ref="H248:I248"/>
    <mergeCell ref="K407:L407"/>
    <mergeCell ref="AB418:AD418"/>
    <mergeCell ref="C332:F332"/>
    <mergeCell ref="I59:J59"/>
    <mergeCell ref="O446:Q446"/>
    <mergeCell ref="M382:N382"/>
    <mergeCell ref="AB420:AD420"/>
    <mergeCell ref="O448:Q448"/>
    <mergeCell ref="AB291:AD291"/>
    <mergeCell ref="U447:V447"/>
    <mergeCell ref="R302:T302"/>
    <mergeCell ref="U455:V455"/>
    <mergeCell ref="U449:V449"/>
    <mergeCell ref="C343:F343"/>
    <mergeCell ref="K331:L331"/>
    <mergeCell ref="M393:N393"/>
    <mergeCell ref="R291:T291"/>
    <mergeCell ref="U450:V450"/>
    <mergeCell ref="C345:F345"/>
    <mergeCell ref="R284:T284"/>
    <mergeCell ref="W299:AA299"/>
    <mergeCell ref="C272:F272"/>
    <mergeCell ref="K357:L357"/>
    <mergeCell ref="O373:Q373"/>
    <mergeCell ref="M421:N421"/>
    <mergeCell ref="O301:Q301"/>
    <mergeCell ref="AB362:AD362"/>
    <mergeCell ref="W302:AA302"/>
    <mergeCell ref="C275:F275"/>
    <mergeCell ref="L55:M55"/>
    <mergeCell ref="O389:Q389"/>
    <mergeCell ref="C427:F427"/>
    <mergeCell ref="AB363:AD363"/>
    <mergeCell ref="W327:AA327"/>
    <mergeCell ref="O391:Q391"/>
    <mergeCell ref="O357:Q357"/>
    <mergeCell ref="K401:L401"/>
    <mergeCell ref="W284:AA284"/>
    <mergeCell ref="R399:T399"/>
    <mergeCell ref="G272:I272"/>
    <mergeCell ref="C295:F295"/>
    <mergeCell ref="C409:F409"/>
    <mergeCell ref="K403:L403"/>
    <mergeCell ref="C328:F328"/>
    <mergeCell ref="U276:V276"/>
    <mergeCell ref="AB287:AD287"/>
    <mergeCell ref="C323:F323"/>
    <mergeCell ref="U278:V278"/>
    <mergeCell ref="W340:AA340"/>
    <mergeCell ref="AB289:AD289"/>
    <mergeCell ref="G302:I302"/>
    <mergeCell ref="K307:L307"/>
    <mergeCell ref="K429:L429"/>
    <mergeCell ref="K431:L431"/>
    <mergeCell ref="R412:T412"/>
    <mergeCell ref="AB313:AD313"/>
    <mergeCell ref="U446:V446"/>
    <mergeCell ref="AB444:AD444"/>
    <mergeCell ref="C341:F341"/>
    <mergeCell ref="AB321:AD321"/>
    <mergeCell ref="AB315:AD315"/>
    <mergeCell ref="G328:I328"/>
    <mergeCell ref="U448:V448"/>
    <mergeCell ref="O430:Q430"/>
    <mergeCell ref="K447:L447"/>
    <mergeCell ref="C370:F370"/>
    <mergeCell ref="M363:N363"/>
    <mergeCell ref="W392:AA392"/>
    <mergeCell ref="AB316:AD316"/>
    <mergeCell ref="M329:N329"/>
    <mergeCell ref="W394:AA394"/>
    <mergeCell ref="K442:L442"/>
    <mergeCell ref="C367:F367"/>
    <mergeCell ref="R342:T342"/>
    <mergeCell ref="O272:Q272"/>
    <mergeCell ref="AB455:AD455"/>
    <mergeCell ref="C369:F369"/>
    <mergeCell ref="C396:F396"/>
    <mergeCell ref="R344:T344"/>
    <mergeCell ref="AB326:AD326"/>
    <mergeCell ref="O299:Q299"/>
    <mergeCell ref="O274:Q274"/>
    <mergeCell ref="C398:F398"/>
    <mergeCell ref="R337:T337"/>
    <mergeCell ref="G341:I341"/>
    <mergeCell ref="K284:L284"/>
    <mergeCell ref="W412:AA412"/>
    <mergeCell ref="R339:T339"/>
    <mergeCell ref="K372:L372"/>
    <mergeCell ref="R326:T326"/>
    <mergeCell ref="M430:N430"/>
    <mergeCell ref="O327:Q327"/>
    <mergeCell ref="M290:N290"/>
    <mergeCell ref="C293:F293"/>
    <mergeCell ref="R355:T355"/>
    <mergeCell ref="AB387:AD387"/>
    <mergeCell ref="R357:T357"/>
    <mergeCell ref="O356:Q356"/>
    <mergeCell ref="C294:F294"/>
    <mergeCell ref="W336:AA336"/>
    <mergeCell ref="G273:I273"/>
    <mergeCell ref="AB382:AD382"/>
    <mergeCell ref="U363:V363"/>
    <mergeCell ref="M272:N272"/>
    <mergeCell ref="W337:AA337"/>
    <mergeCell ref="R383:T383"/>
    <mergeCell ref="M274:N274"/>
    <mergeCell ref="O338:Q338"/>
    <mergeCell ref="W339:AA339"/>
    <mergeCell ref="R410:T410"/>
    <mergeCell ref="C312:F312"/>
    <mergeCell ref="O340:Q340"/>
    <mergeCell ref="R287:T287"/>
    <mergeCell ref="AB400:AD400"/>
    <mergeCell ref="G413:I413"/>
    <mergeCell ref="G407:I407"/>
    <mergeCell ref="W364:AA364"/>
    <mergeCell ref="P159:Q159"/>
    <mergeCell ref="R411:T411"/>
    <mergeCell ref="G284:I284"/>
    <mergeCell ref="C307:F307"/>
    <mergeCell ref="AB402:AD402"/>
    <mergeCell ref="G415:I415"/>
    <mergeCell ref="M300:N300"/>
    <mergeCell ref="W355:AA355"/>
    <mergeCell ref="U287:V287"/>
    <mergeCell ref="R282:T282"/>
    <mergeCell ref="U289:V289"/>
    <mergeCell ref="U411:V411"/>
    <mergeCell ref="R307:T307"/>
    <mergeCell ref="K440:L440"/>
    <mergeCell ref="AB426:AD426"/>
    <mergeCell ref="W350:AA350"/>
    <mergeCell ref="C392:F392"/>
    <mergeCell ref="M356:N356"/>
    <mergeCell ref="AB453:AD453"/>
    <mergeCell ref="C394:F394"/>
    <mergeCell ref="R308:T308"/>
    <mergeCell ref="AB330:AD330"/>
    <mergeCell ref="G337:I337"/>
    <mergeCell ref="R422:T422"/>
    <mergeCell ref="K280:L280"/>
    <mergeCell ref="W408:AA408"/>
    <mergeCell ref="U315:V315"/>
    <mergeCell ref="R335:T335"/>
    <mergeCell ref="R310:T310"/>
    <mergeCell ref="H253:I254"/>
    <mergeCell ref="G339:I339"/>
    <mergeCell ref="M372:N372"/>
    <mergeCell ref="K309:L309"/>
    <mergeCell ref="W403:AA403"/>
    <mergeCell ref="R449:T449"/>
    <mergeCell ref="C376:F376"/>
    <mergeCell ref="W434:AA434"/>
    <mergeCell ref="C378:F378"/>
    <mergeCell ref="O439:Q439"/>
    <mergeCell ref="AB352:AD352"/>
    <mergeCell ref="G365:I365"/>
    <mergeCell ref="W305:AA305"/>
    <mergeCell ref="C407:F407"/>
    <mergeCell ref="U326:V326"/>
    <mergeCell ref="M400:N400"/>
    <mergeCell ref="G350:I350"/>
    <mergeCell ref="W307:AA307"/>
    <mergeCell ref="W429:AA429"/>
    <mergeCell ref="AB353:AD353"/>
    <mergeCell ref="R348:T348"/>
    <mergeCell ref="W437:AA437"/>
    <mergeCell ref="W431:AA431"/>
    <mergeCell ref="U361:V361"/>
    <mergeCell ref="R379:T379"/>
    <mergeCell ref="W422:AA422"/>
    <mergeCell ref="U354:V354"/>
    <mergeCell ref="C433:F433"/>
    <mergeCell ref="W335:AA335"/>
    <mergeCell ref="R381:T381"/>
    <mergeCell ref="G376:I376"/>
    <mergeCell ref="O336:Q336"/>
    <mergeCell ref="U356:V356"/>
    <mergeCell ref="W447:AA447"/>
    <mergeCell ref="R380:T380"/>
    <mergeCell ref="C435:F435"/>
    <mergeCell ref="R374:T374"/>
    <mergeCell ref="K355:L355"/>
    <mergeCell ref="G378:I378"/>
    <mergeCell ref="O365:Q365"/>
    <mergeCell ref="W449:AA449"/>
    <mergeCell ref="O337:Q337"/>
    <mergeCell ref="G411:I411"/>
    <mergeCell ref="O331:Q331"/>
    <mergeCell ref="M296:N296"/>
    <mergeCell ref="W442:AA442"/>
    <mergeCell ref="O366:Q366"/>
    <mergeCell ref="M298:N298"/>
    <mergeCell ref="M325:N325"/>
    <mergeCell ref="M456:N456"/>
    <mergeCell ref="G406:I406"/>
    <mergeCell ref="W346:AA346"/>
    <mergeCell ref="G307:I307"/>
    <mergeCell ref="M327:N327"/>
    <mergeCell ref="L46:M46"/>
    <mergeCell ref="O363:Q363"/>
    <mergeCell ref="AB424:AD424"/>
    <mergeCell ref="G437:I437"/>
    <mergeCell ref="W348:AA348"/>
    <mergeCell ref="O355:Q355"/>
    <mergeCell ref="L48:M48"/>
    <mergeCell ref="AB295:AD295"/>
    <mergeCell ref="G308:I308"/>
    <mergeCell ref="G422:I422"/>
    <mergeCell ref="U311:V311"/>
    <mergeCell ref="R306:T306"/>
    <mergeCell ref="K281:L281"/>
    <mergeCell ref="G310:I310"/>
    <mergeCell ref="U400:V400"/>
    <mergeCell ref="R420:T420"/>
    <mergeCell ref="W372:AA372"/>
    <mergeCell ref="L43:M43"/>
    <mergeCell ref="H252:I252"/>
    <mergeCell ref="K411:L411"/>
    <mergeCell ref="W374:AA374"/>
    <mergeCell ref="U306:V306"/>
    <mergeCell ref="K282:L282"/>
    <mergeCell ref="U297:V297"/>
    <mergeCell ref="M340:N340"/>
    <mergeCell ref="O404:Q404"/>
    <mergeCell ref="R446:T446"/>
    <mergeCell ref="O323:Q323"/>
    <mergeCell ref="G450:I450"/>
    <mergeCell ref="O437:Q437"/>
    <mergeCell ref="R448:T448"/>
    <mergeCell ref="G452:I452"/>
    <mergeCell ref="U330:V330"/>
    <mergeCell ref="H263:I263"/>
    <mergeCell ref="U324:V324"/>
    <mergeCell ref="R319:T319"/>
    <mergeCell ref="K422:L422"/>
    <mergeCell ref="W427:AA427"/>
    <mergeCell ref="K335:L335"/>
    <mergeCell ref="H265:I265"/>
    <mergeCell ref="W298:AA298"/>
    <mergeCell ref="O305:Q305"/>
    <mergeCell ref="U325:V325"/>
    <mergeCell ref="M399:N399"/>
    <mergeCell ref="G372:I372"/>
    <mergeCell ref="O307:Q307"/>
    <mergeCell ref="C431:F431"/>
    <mergeCell ref="K351:L351"/>
    <mergeCell ref="G380:I380"/>
    <mergeCell ref="O300:Q300"/>
    <mergeCell ref="G374:I374"/>
    <mergeCell ref="W445:AA445"/>
    <mergeCell ref="C432:F432"/>
    <mergeCell ref="K346:L346"/>
    <mergeCell ref="G375:I375"/>
    <mergeCell ref="U343:V343"/>
    <mergeCell ref="W446:AA446"/>
    <mergeCell ref="W440:AA440"/>
    <mergeCell ref="K348:L348"/>
    <mergeCell ref="D245:G245"/>
    <mergeCell ref="C273:F273"/>
    <mergeCell ref="W317:AA317"/>
    <mergeCell ref="L17:M17"/>
    <mergeCell ref="U338:V338"/>
    <mergeCell ref="M412:N412"/>
    <mergeCell ref="C442:F442"/>
    <mergeCell ref="L19:M19"/>
    <mergeCell ref="C414:F414"/>
    <mergeCell ref="R389:T389"/>
    <mergeCell ref="L12:M12"/>
    <mergeCell ref="G393:I393"/>
    <mergeCell ref="K374:L374"/>
    <mergeCell ref="U396:V396"/>
    <mergeCell ref="R385:T385"/>
    <mergeCell ref="L39:M39"/>
    <mergeCell ref="L14:M14"/>
    <mergeCell ref="K276:L276"/>
    <mergeCell ref="U398:V398"/>
    <mergeCell ref="K278:L278"/>
    <mergeCell ref="U391:V391"/>
    <mergeCell ref="C286:F286"/>
    <mergeCell ref="M336:N336"/>
    <mergeCell ref="O372:Q372"/>
    <mergeCell ref="G446:I446"/>
    <mergeCell ref="O408:Q408"/>
    <mergeCell ref="O402:Q402"/>
    <mergeCell ref="O401:Q401"/>
    <mergeCell ref="K418:L418"/>
    <mergeCell ref="U409:V409"/>
    <mergeCell ref="O403:Q403"/>
    <mergeCell ref="H261:I261"/>
    <mergeCell ref="M362:N362"/>
    <mergeCell ref="K420:L420"/>
    <mergeCell ref="U321:V321"/>
    <mergeCell ref="M364:N364"/>
    <mergeCell ref="K291:L291"/>
    <mergeCell ref="U323:V323"/>
    <mergeCell ref="W385:AA385"/>
    <mergeCell ref="AB304:AD304"/>
    <mergeCell ref="O421:Q421"/>
    <mergeCell ref="K446:L446"/>
    <mergeCell ref="O456:Q456"/>
    <mergeCell ref="K317:L317"/>
    <mergeCell ref="C64:H64"/>
    <mergeCell ref="K448:L448"/>
    <mergeCell ref="K319:L319"/>
    <mergeCell ref="G373:I373"/>
    <mergeCell ref="C358:F358"/>
    <mergeCell ref="D2:D3"/>
    <mergeCell ref="R272:T272"/>
    <mergeCell ref="U334:V334"/>
    <mergeCell ref="AB332:AD332"/>
    <mergeCell ref="O447:Q447"/>
    <mergeCell ref="C351:F351"/>
    <mergeCell ref="U336:V336"/>
    <mergeCell ref="L8:M8"/>
    <mergeCell ref="K370:L370"/>
    <mergeCell ref="W280:AA280"/>
    <mergeCell ref="L10:M10"/>
    <mergeCell ref="C384:F384"/>
    <mergeCell ref="C441:F441"/>
    <mergeCell ref="M434:N434"/>
    <mergeCell ref="U362:V362"/>
    <mergeCell ref="M436:N436"/>
    <mergeCell ref="AB343:AD343"/>
    <mergeCell ref="K373:L373"/>
    <mergeCell ref="U364:V364"/>
    <mergeCell ref="R354:T354"/>
    <mergeCell ref="AB345:AD345"/>
    <mergeCell ref="K388:L388"/>
    <mergeCell ref="R356:T356"/>
    <mergeCell ref="C283:F283"/>
    <mergeCell ref="M276:N276"/>
    <mergeCell ref="W300:AA300"/>
    <mergeCell ref="C285:F285"/>
    <mergeCell ref="W272:AA272"/>
    <mergeCell ref="K389:L389"/>
    <mergeCell ref="K383:L383"/>
    <mergeCell ref="M278:N278"/>
    <mergeCell ref="O399:Q399"/>
    <mergeCell ref="L23:M23"/>
    <mergeCell ref="K385:L385"/>
    <mergeCell ref="M447:N447"/>
    <mergeCell ref="R372:T372"/>
    <mergeCell ref="P160:Q160"/>
    <mergeCell ref="L54:M54"/>
    <mergeCell ref="U444:V444"/>
    <mergeCell ref="C309:F309"/>
    <mergeCell ref="M449:N449"/>
    <mergeCell ref="C301:F301"/>
    <mergeCell ref="L56:M56"/>
    <mergeCell ref="AB275:AD275"/>
    <mergeCell ref="K386:L386"/>
    <mergeCell ref="C311:F311"/>
    <mergeCell ref="U402:V402"/>
    <mergeCell ref="R426:T426"/>
    <mergeCell ref="C303:F303"/>
    <mergeCell ref="L49:M49"/>
    <mergeCell ref="G430:I430"/>
    <mergeCell ref="AB277:AD277"/>
    <mergeCell ref="U433:V433"/>
    <mergeCell ref="O427:Q427"/>
    <mergeCell ref="K444:L444"/>
    <mergeCell ref="W354:AA354"/>
    <mergeCell ref="U435:V435"/>
    <mergeCell ref="M291:N291"/>
    <mergeCell ref="O412:Q412"/>
    <mergeCell ref="U434:V434"/>
    <mergeCell ref="U428:V428"/>
    <mergeCell ref="W356:AA356"/>
    <mergeCell ref="AB328:AD328"/>
    <mergeCell ref="O443:Q443"/>
    <mergeCell ref="R298:T298"/>
    <mergeCell ref="C322:F322"/>
    <mergeCell ref="AB417:AD417"/>
    <mergeCell ref="R297:T297"/>
    <mergeCell ref="O445:Q445"/>
    <mergeCell ref="AB288:AD288"/>
    <mergeCell ref="G301:I301"/>
    <mergeCell ref="C349:F349"/>
    <mergeCell ref="C324:F324"/>
    <mergeCell ref="AB419:AD419"/>
    <mergeCell ref="O438:Q438"/>
    <mergeCell ref="U304:V304"/>
    <mergeCell ref="R299:T299"/>
    <mergeCell ref="G303:I303"/>
    <mergeCell ref="K455:L455"/>
    <mergeCell ref="O440:Q440"/>
    <mergeCell ref="W278:AA278"/>
    <mergeCell ref="R296:T296"/>
    <mergeCell ref="U358:V358"/>
    <mergeCell ref="C411:F411"/>
    <mergeCell ref="U360:V360"/>
    <mergeCell ref="AB347:AD347"/>
    <mergeCell ref="O280:Q280"/>
    <mergeCell ref="AB341:AD341"/>
    <mergeCell ref="G354:I354"/>
    <mergeCell ref="O282:Q282"/>
    <mergeCell ref="G356:I356"/>
    <mergeCell ref="W296:AA296"/>
    <mergeCell ref="C406:F406"/>
    <mergeCell ref="AB342:AD342"/>
    <mergeCell ref="G349:I349"/>
    <mergeCell ref="W306:AA306"/>
    <mergeCell ref="O370:Q370"/>
    <mergeCell ref="W420:AA420"/>
    <mergeCell ref="AB344:AD344"/>
    <mergeCell ref="C393:F393"/>
    <mergeCell ref="W297:AA297"/>
    <mergeCell ref="W291:AA291"/>
    <mergeCell ref="R368:T368"/>
    <mergeCell ref="C422:F422"/>
    <mergeCell ref="U371:V371"/>
    <mergeCell ref="AB369:AD369"/>
    <mergeCell ref="C388:F388"/>
    <mergeCell ref="C424:F424"/>
    <mergeCell ref="R363:T363"/>
    <mergeCell ref="L47:M47"/>
    <mergeCell ref="W319:AA319"/>
    <mergeCell ref="M287:N287"/>
    <mergeCell ref="C325:F325"/>
    <mergeCell ref="G423:I423"/>
    <mergeCell ref="R391:T391"/>
    <mergeCell ref="C318:F318"/>
    <mergeCell ref="M282:N282"/>
    <mergeCell ref="AB388:AD388"/>
    <mergeCell ref="AB413:AD413"/>
    <mergeCell ref="G297:I297"/>
    <mergeCell ref="C320:F320"/>
    <mergeCell ref="AB415:AD415"/>
    <mergeCell ref="M313:N313"/>
    <mergeCell ref="C356:F356"/>
    <mergeCell ref="G299:I299"/>
    <mergeCell ref="AB408:AD408"/>
    <mergeCell ref="G293:I293"/>
    <mergeCell ref="K426:L426"/>
    <mergeCell ref="M342:N342"/>
    <mergeCell ref="G292:I292"/>
    <mergeCell ref="AB410:AD410"/>
    <mergeCell ref="K428:L428"/>
    <mergeCell ref="M308:N308"/>
    <mergeCell ref="W363:AA363"/>
    <mergeCell ref="AB439:AD439"/>
    <mergeCell ref="M344:N344"/>
    <mergeCell ref="R409:T409"/>
    <mergeCell ref="G294:I294"/>
    <mergeCell ref="AB441:AD441"/>
    <mergeCell ref="C338:F338"/>
    <mergeCell ref="R321:T321"/>
    <mergeCell ref="AB312:AD312"/>
    <mergeCell ref="G325:I325"/>
    <mergeCell ref="AB434:AD434"/>
    <mergeCell ref="R404:T404"/>
    <mergeCell ref="C340:F340"/>
    <mergeCell ref="R323:T323"/>
    <mergeCell ref="G318:I318"/>
    <mergeCell ref="O278:Q278"/>
    <mergeCell ref="AB314:AD314"/>
    <mergeCell ref="AB436:AD436"/>
    <mergeCell ref="W389:AA389"/>
    <mergeCell ref="C333:F333"/>
    <mergeCell ref="K297:L297"/>
    <mergeCell ref="M326:N326"/>
    <mergeCell ref="AB307:AD307"/>
    <mergeCell ref="U288:V288"/>
    <mergeCell ref="W391:AA391"/>
    <mergeCell ref="K299:L299"/>
    <mergeCell ref="K293:L293"/>
    <mergeCell ref="O449:Q449"/>
    <mergeCell ref="M355:N355"/>
    <mergeCell ref="M357:N357"/>
    <mergeCell ref="R305:T305"/>
    <mergeCell ref="O296:Q296"/>
    <mergeCell ref="C359:F359"/>
    <mergeCell ref="AB454:AD454"/>
    <mergeCell ref="C420:F420"/>
    <mergeCell ref="C395:F395"/>
    <mergeCell ref="O306:Q306"/>
    <mergeCell ref="R334:T334"/>
    <mergeCell ref="G363:I363"/>
    <mergeCell ref="G338:I338"/>
    <mergeCell ref="AB366:AD366"/>
    <mergeCell ref="O297:Q297"/>
    <mergeCell ref="R336:T336"/>
    <mergeCell ref="O335:Q335"/>
    <mergeCell ref="G340:I340"/>
    <mergeCell ref="AB351:AD351"/>
    <mergeCell ref="W321:AA321"/>
    <mergeCell ref="W315:AA315"/>
    <mergeCell ref="W404:AA404"/>
    <mergeCell ref="G366:I366"/>
    <mergeCell ref="W323:AA323"/>
    <mergeCell ref="C448:F448"/>
    <mergeCell ref="AB384:AD384"/>
    <mergeCell ref="O317:Q317"/>
    <mergeCell ref="AB378:AD378"/>
    <mergeCell ref="G391:I391"/>
    <mergeCell ref="D260:E260"/>
    <mergeCell ref="M289:N289"/>
    <mergeCell ref="C439:F439"/>
    <mergeCell ref="O325:Q325"/>
    <mergeCell ref="O319:Q319"/>
    <mergeCell ref="W333:AA333"/>
    <mergeCell ref="C405:F405"/>
    <mergeCell ref="K363:L363"/>
    <mergeCell ref="AB379:AD379"/>
    <mergeCell ref="G392:I392"/>
    <mergeCell ref="G386:I386"/>
    <mergeCell ref="K365:L365"/>
    <mergeCell ref="AB381:AD381"/>
    <mergeCell ref="G394:I394"/>
    <mergeCell ref="W334:AA334"/>
    <mergeCell ref="M315:N315"/>
    <mergeCell ref="M429:N429"/>
    <mergeCell ref="AB437:AD437"/>
    <mergeCell ref="L30:M30"/>
    <mergeCell ref="G321:I321"/>
    <mergeCell ref="M335:N335"/>
    <mergeCell ref="R400:T400"/>
    <mergeCell ref="AB397:AD397"/>
    <mergeCell ref="G404:I404"/>
    <mergeCell ref="AB432:AD432"/>
    <mergeCell ref="R408:T408"/>
    <mergeCell ref="C373:F373"/>
    <mergeCell ref="R402:T402"/>
    <mergeCell ref="AB309:AD309"/>
    <mergeCell ref="M322:N322"/>
    <mergeCell ref="G316:I316"/>
    <mergeCell ref="U284:V284"/>
    <mergeCell ref="W387:AA387"/>
    <mergeCell ref="G405:I405"/>
    <mergeCell ref="M324:N324"/>
    <mergeCell ref="M351:N351"/>
    <mergeCell ref="U286:V286"/>
    <mergeCell ref="U408:V408"/>
    <mergeCell ref="C360:F360"/>
    <mergeCell ref="U279:V279"/>
    <mergeCell ref="M353:N353"/>
    <mergeCell ref="U410:V410"/>
    <mergeCell ref="R434:T434"/>
    <mergeCell ref="R428:T428"/>
    <mergeCell ref="K290:L290"/>
    <mergeCell ref="AB450:AD450"/>
    <mergeCell ref="M319:N319"/>
    <mergeCell ref="C355:F355"/>
    <mergeCell ref="U281:V281"/>
    <mergeCell ref="C391:F391"/>
    <mergeCell ref="O302:Q302"/>
    <mergeCell ref="R436:T436"/>
    <mergeCell ref="G334:I334"/>
    <mergeCell ref="AB452:AD452"/>
    <mergeCell ref="M354:N354"/>
    <mergeCell ref="C357:F357"/>
    <mergeCell ref="K321:L321"/>
    <mergeCell ref="O418:Q418"/>
    <mergeCell ref="AB451:AD451"/>
    <mergeCell ref="AB445:AD445"/>
    <mergeCell ref="G336:I336"/>
    <mergeCell ref="O420:Q420"/>
    <mergeCell ref="C386:F386"/>
    <mergeCell ref="K323:L323"/>
    <mergeCell ref="K279:L279"/>
    <mergeCell ref="M379:N379"/>
    <mergeCell ref="U339:V339"/>
    <mergeCell ref="W400:AA400"/>
    <mergeCell ref="M381:N381"/>
    <mergeCell ref="K308:L308"/>
    <mergeCell ref="G331:I331"/>
    <mergeCell ref="K274:L274"/>
    <mergeCell ref="W402:AA402"/>
    <mergeCell ref="W401:AA401"/>
    <mergeCell ref="O349:Q349"/>
    <mergeCell ref="R447:T447"/>
    <mergeCell ref="M338:N338"/>
    <mergeCell ref="K305:L305"/>
    <mergeCell ref="O321:Q321"/>
    <mergeCell ref="O315:Q315"/>
    <mergeCell ref="W426:AA426"/>
    <mergeCell ref="K334:L334"/>
    <mergeCell ref="G357:I357"/>
    <mergeCell ref="O344:Q344"/>
    <mergeCell ref="K300:L300"/>
    <mergeCell ref="W428:AA428"/>
    <mergeCell ref="O316:Q316"/>
    <mergeCell ref="K361:L361"/>
    <mergeCell ref="K336:L336"/>
    <mergeCell ref="U352:V352"/>
    <mergeCell ref="U351:V351"/>
    <mergeCell ref="M425:N425"/>
    <mergeCell ref="E255:E256"/>
    <mergeCell ref="U353:V353"/>
    <mergeCell ref="M427:N427"/>
    <mergeCell ref="W456:AA456"/>
    <mergeCell ref="M306:N306"/>
    <mergeCell ref="R371:T371"/>
    <mergeCell ref="O326:Q326"/>
    <mergeCell ref="M420:N420"/>
    <mergeCell ref="O334:Q334"/>
    <mergeCell ref="L27:M27"/>
    <mergeCell ref="O364:Q364"/>
    <mergeCell ref="M451:N451"/>
    <mergeCell ref="G401:I401"/>
    <mergeCell ref="M295:N295"/>
    <mergeCell ref="U379:V379"/>
    <mergeCell ref="M453:N453"/>
    <mergeCell ref="AB390:AD390"/>
    <mergeCell ref="G403:I403"/>
    <mergeCell ref="M446:N446"/>
    <mergeCell ref="U406:V406"/>
    <mergeCell ref="U381:V381"/>
    <mergeCell ref="B157:B158"/>
    <mergeCell ref="G432:I432"/>
    <mergeCell ref="AB421:AD421"/>
    <mergeCell ref="G428:I428"/>
    <mergeCell ref="M448:N448"/>
    <mergeCell ref="L45:M45"/>
    <mergeCell ref="R432:T432"/>
    <mergeCell ref="AB414:AD414"/>
    <mergeCell ref="O362:Q362"/>
    <mergeCell ref="L38:M38"/>
    <mergeCell ref="C302:F302"/>
    <mergeCell ref="AB416:AD416"/>
    <mergeCell ref="G429:I429"/>
    <mergeCell ref="O385:Q385"/>
    <mergeCell ref="L40:M40"/>
    <mergeCell ref="G421:I421"/>
    <mergeCell ref="H249:I249"/>
    <mergeCell ref="U432:V432"/>
    <mergeCell ref="R427:T427"/>
    <mergeCell ref="G300:I300"/>
    <mergeCell ref="K408:L408"/>
    <mergeCell ref="K402:L402"/>
    <mergeCell ref="G431:I431"/>
    <mergeCell ref="W371:AA371"/>
    <mergeCell ref="U303:V303"/>
    <mergeCell ref="M377:N377"/>
    <mergeCell ref="U425:V425"/>
    <mergeCell ref="R443:T443"/>
    <mergeCell ref="G447:I447"/>
    <mergeCell ref="R445:T445"/>
    <mergeCell ref="O444:Q444"/>
    <mergeCell ref="K330:L330"/>
    <mergeCell ref="W424:AA424"/>
    <mergeCell ref="G442:I442"/>
    <mergeCell ref="K332:L332"/>
    <mergeCell ref="U451:V451"/>
    <mergeCell ref="H262:I262"/>
    <mergeCell ref="U445:V445"/>
    <mergeCell ref="K421:L421"/>
    <mergeCell ref="U322:V322"/>
    <mergeCell ref="K456:L456"/>
    <mergeCell ref="M396:N396"/>
    <mergeCell ref="U453:V453"/>
    <mergeCell ref="M390:N390"/>
    <mergeCell ref="W425:AA425"/>
    <mergeCell ref="K327:L327"/>
    <mergeCell ref="M389:N389"/>
    <mergeCell ref="AB305:AD305"/>
    <mergeCell ref="G371:I371"/>
    <mergeCell ref="R280:T280"/>
    <mergeCell ref="M391:N391"/>
    <mergeCell ref="O455:Q455"/>
    <mergeCell ref="C423:F423"/>
    <mergeCell ref="K343:L343"/>
    <mergeCell ref="AB359:AD359"/>
    <mergeCell ref="W443:AA443"/>
    <mergeCell ref="U375:V375"/>
    <mergeCell ref="K345:L345"/>
    <mergeCell ref="U377:V377"/>
    <mergeCell ref="M409:N409"/>
    <mergeCell ref="M444:N444"/>
    <mergeCell ref="O386:Q386"/>
    <mergeCell ref="O352:Q352"/>
    <mergeCell ref="L9:M9"/>
    <mergeCell ref="M404:N404"/>
    <mergeCell ref="W279:AA279"/>
    <mergeCell ref="K371:L371"/>
    <mergeCell ref="G425:I425"/>
    <mergeCell ref="O387:Q387"/>
    <mergeCell ref="O381:Q381"/>
    <mergeCell ref="L11:M11"/>
    <mergeCell ref="AB361:AD361"/>
    <mergeCell ref="O353:Q353"/>
    <mergeCell ref="K398:L398"/>
    <mergeCell ref="U388:V388"/>
    <mergeCell ref="G456:I456"/>
    <mergeCell ref="K399:L399"/>
    <mergeCell ref="U390:V390"/>
    <mergeCell ref="U302:V302"/>
    <mergeCell ref="C284:F284"/>
    <mergeCell ref="O371:Q371"/>
    <mergeCell ref="AB283:AD283"/>
    <mergeCell ref="G438:I438"/>
    <mergeCell ref="AB285:AD285"/>
    <mergeCell ref="O400:Q400"/>
    <mergeCell ref="H258:I258"/>
    <mergeCell ref="U416:V416"/>
    <mergeCell ref="K417:L417"/>
    <mergeCell ref="G440:I440"/>
    <mergeCell ref="K427:L427"/>
    <mergeCell ref="K298:L298"/>
    <mergeCell ref="AB301:AD301"/>
    <mergeCell ref="K412:L412"/>
    <mergeCell ref="C337:F337"/>
    <mergeCell ref="R276:T276"/>
    <mergeCell ref="O451:Q451"/>
    <mergeCell ref="AB311:AD311"/>
    <mergeCell ref="AB303:AD303"/>
    <mergeCell ref="K443:L443"/>
    <mergeCell ref="C339:F339"/>
    <mergeCell ref="C366:F366"/>
    <mergeCell ref="O453:Q453"/>
    <mergeCell ref="O428:Q428"/>
    <mergeCell ref="G309:I309"/>
    <mergeCell ref="K445:L445"/>
    <mergeCell ref="K438:L438"/>
    <mergeCell ref="U454:V454"/>
    <mergeCell ref="J192:J193"/>
    <mergeCell ref="AB322:AD322"/>
    <mergeCell ref="C350:F350"/>
    <mergeCell ref="M343:N343"/>
    <mergeCell ref="AB324:AD324"/>
    <mergeCell ref="K367:L367"/>
    <mergeCell ref="L7:M7"/>
    <mergeCell ref="O290:Q290"/>
    <mergeCell ref="K369:L369"/>
    <mergeCell ref="R322:T322"/>
    <mergeCell ref="U359:V359"/>
    <mergeCell ref="M433:N433"/>
    <mergeCell ref="W281:AA281"/>
    <mergeCell ref="K364:L364"/>
    <mergeCell ref="M426:N426"/>
    <mergeCell ref="R351:T351"/>
    <mergeCell ref="R317:T317"/>
    <mergeCell ref="M428:N428"/>
    <mergeCell ref="R353:T353"/>
    <mergeCell ref="C280:F280"/>
    <mergeCell ref="C274:F274"/>
    <mergeCell ref="C282:F282"/>
    <mergeCell ref="AB272:AD272"/>
    <mergeCell ref="R406:T406"/>
    <mergeCell ref="G279:I279"/>
    <mergeCell ref="C308:F308"/>
    <mergeCell ref="R283:T283"/>
    <mergeCell ref="R277:T277"/>
    <mergeCell ref="AB396:AD396"/>
    <mergeCell ref="F253:F254"/>
    <mergeCell ref="G281:I281"/>
    <mergeCell ref="C310:F310"/>
    <mergeCell ref="K439:L439"/>
    <mergeCell ref="G280:I280"/>
    <mergeCell ref="G274:I274"/>
    <mergeCell ref="AB398:AD398"/>
    <mergeCell ref="K441:L441"/>
    <mergeCell ref="W351:AA351"/>
    <mergeCell ref="U283:V283"/>
    <mergeCell ref="R278:T278"/>
    <mergeCell ref="M288:N288"/>
    <mergeCell ref="G282:I282"/>
    <mergeCell ref="K434:L434"/>
    <mergeCell ref="W353:AA353"/>
    <mergeCell ref="U285:V285"/>
    <mergeCell ref="AB325:AD325"/>
    <mergeCell ref="K436:L436"/>
    <mergeCell ref="R425:T425"/>
    <mergeCell ref="R419:T419"/>
    <mergeCell ref="C346:F346"/>
    <mergeCell ref="AB320:AD320"/>
    <mergeCell ref="R418:T418"/>
    <mergeCell ref="AB409:AD409"/>
    <mergeCell ref="C348:F348"/>
    <mergeCell ref="G335:I335"/>
    <mergeCell ref="W275:AA275"/>
    <mergeCell ref="W406:AA406"/>
    <mergeCell ref="K454:L454"/>
    <mergeCell ref="U296:V296"/>
    <mergeCell ref="M370:N370"/>
    <mergeCell ref="W277:AA277"/>
    <mergeCell ref="W399:AA399"/>
    <mergeCell ref="AB323:AD323"/>
    <mergeCell ref="C372:F372"/>
    <mergeCell ref="W276:AA276"/>
    <mergeCell ref="R347:T347"/>
    <mergeCell ref="K449:L449"/>
    <mergeCell ref="AB338:AD338"/>
    <mergeCell ref="G351:I351"/>
    <mergeCell ref="C374:F374"/>
    <mergeCell ref="C401:F401"/>
    <mergeCell ref="R288:T288"/>
    <mergeCell ref="R349:T349"/>
    <mergeCell ref="R324:T324"/>
    <mergeCell ref="O279:Q279"/>
    <mergeCell ref="AB340:AD340"/>
    <mergeCell ref="C403:F403"/>
    <mergeCell ref="G346:I346"/>
    <mergeCell ref="AB333:AD333"/>
    <mergeCell ref="O281:Q281"/>
    <mergeCell ref="W417:AA417"/>
    <mergeCell ref="G348:I348"/>
    <mergeCell ref="W419:AA419"/>
    <mergeCell ref="R375:T375"/>
    <mergeCell ref="W418:AA418"/>
    <mergeCell ref="E157:E158"/>
    <mergeCell ref="R377:T377"/>
    <mergeCell ref="C421:F421"/>
    <mergeCell ref="O332:Q332"/>
    <mergeCell ref="R370:T370"/>
    <mergeCell ref="AB392:AD392"/>
    <mergeCell ref="AB367:AD367"/>
    <mergeCell ref="C306:F306"/>
    <mergeCell ref="R362:T362"/>
    <mergeCell ref="O361:Q361"/>
    <mergeCell ref="G276:I276"/>
    <mergeCell ref="C416:F416"/>
    <mergeCell ref="AB394:AD394"/>
    <mergeCell ref="C335:F335"/>
    <mergeCell ref="W322:AA322"/>
    <mergeCell ref="W347:AA347"/>
    <mergeCell ref="G278:I278"/>
    <mergeCell ref="U368:V368"/>
    <mergeCell ref="W288:AA288"/>
    <mergeCell ref="C447:F447"/>
    <mergeCell ref="W349:AA349"/>
    <mergeCell ref="M321:N321"/>
    <mergeCell ref="W342:AA342"/>
    <mergeCell ref="M323:N323"/>
    <mergeCell ref="R388:T388"/>
    <mergeCell ref="M279:N279"/>
    <mergeCell ref="W344:AA344"/>
    <mergeCell ref="O351:Q351"/>
    <mergeCell ref="R390:T390"/>
    <mergeCell ref="C317:F317"/>
    <mergeCell ref="M281:N281"/>
    <mergeCell ref="O345:Q345"/>
    <mergeCell ref="G419:I419"/>
    <mergeCell ref="AB405:AD405"/>
    <mergeCell ref="W375:AA375"/>
    <mergeCell ref="G418:I418"/>
    <mergeCell ref="C319:F319"/>
    <mergeCell ref="O380:Q380"/>
    <mergeCell ref="K277:L277"/>
    <mergeCell ref="AB293:AD293"/>
    <mergeCell ref="G306:I306"/>
    <mergeCell ref="W368:AA368"/>
    <mergeCell ref="O346:Q346"/>
    <mergeCell ref="AB407:AD407"/>
    <mergeCell ref="G420:I420"/>
    <mergeCell ref="M305:N305"/>
    <mergeCell ref="M341:N341"/>
    <mergeCell ref="G291:I291"/>
    <mergeCell ref="W370:AA370"/>
    <mergeCell ref="M307:N307"/>
    <mergeCell ref="W362:AA362"/>
    <mergeCell ref="U294:V294"/>
    <mergeCell ref="R289:T289"/>
    <mergeCell ref="R318:T318"/>
    <mergeCell ref="R320:T320"/>
    <mergeCell ref="O275:Q275"/>
    <mergeCell ref="R314:T314"/>
    <mergeCell ref="AB433:AD433"/>
    <mergeCell ref="C399:F399"/>
    <mergeCell ref="R286:T286"/>
    <mergeCell ref="R444:T444"/>
    <mergeCell ref="G342:I342"/>
    <mergeCell ref="G317:I317"/>
    <mergeCell ref="O277:Q277"/>
    <mergeCell ref="K419:L419"/>
    <mergeCell ref="AB435:AD435"/>
    <mergeCell ref="W388:AA388"/>
    <mergeCell ref="O276:Q276"/>
    <mergeCell ref="R315:T315"/>
    <mergeCell ref="G344:I344"/>
    <mergeCell ref="G319:I319"/>
    <mergeCell ref="W390:AA390"/>
    <mergeCell ref="W383:AA383"/>
    <mergeCell ref="R373:T373"/>
    <mergeCell ref="O303:Q303"/>
    <mergeCell ref="W410:AA410"/>
    <mergeCell ref="C389:F389"/>
    <mergeCell ref="K347:L347"/>
    <mergeCell ref="AB357:AD357"/>
    <mergeCell ref="G370:I370"/>
    <mergeCell ref="R333:T333"/>
    <mergeCell ref="R455:T455"/>
    <mergeCell ref="O288:Q288"/>
    <mergeCell ref="W441:AA441"/>
    <mergeCell ref="D157:D158"/>
    <mergeCell ref="C418:F418"/>
    <mergeCell ref="O304:Q304"/>
    <mergeCell ref="C412:F412"/>
    <mergeCell ref="AB365:AD365"/>
    <mergeCell ref="O298:Q298"/>
    <mergeCell ref="W318:AA318"/>
    <mergeCell ref="G355:I355"/>
    <mergeCell ref="W312:AA312"/>
    <mergeCell ref="K342:L342"/>
    <mergeCell ref="U333:V333"/>
    <mergeCell ref="C443:F443"/>
    <mergeCell ref="M407:N407"/>
    <mergeCell ref="W314:AA314"/>
    <mergeCell ref="W436:AA436"/>
    <mergeCell ref="K344:L344"/>
    <mergeCell ref="AB360:AD360"/>
    <mergeCell ref="U366:V366"/>
    <mergeCell ref="U341:V341"/>
    <mergeCell ref="W313:AA313"/>
    <mergeCell ref="W444:AA444"/>
    <mergeCell ref="R384:T384"/>
    <mergeCell ref="L13:M13"/>
    <mergeCell ref="G388:I388"/>
    <mergeCell ref="M408:N408"/>
    <mergeCell ref="C438:F438"/>
    <mergeCell ref="M402:N402"/>
    <mergeCell ref="R386:T386"/>
    <mergeCell ref="L15:M15"/>
    <mergeCell ref="C446:F446"/>
    <mergeCell ref="M410:N410"/>
    <mergeCell ref="C440:F440"/>
    <mergeCell ref="AB376:AD376"/>
    <mergeCell ref="G389:I389"/>
    <mergeCell ref="G383:I383"/>
    <mergeCell ref="U392:V392"/>
    <mergeCell ref="K326:L326"/>
    <mergeCell ref="R387:T387"/>
    <mergeCell ref="W454:AA454"/>
    <mergeCell ref="O342:Q342"/>
    <mergeCell ref="K362:L362"/>
    <mergeCell ref="G385:I385"/>
    <mergeCell ref="M301:N301"/>
    <mergeCell ref="M337:N337"/>
    <mergeCell ref="U394:V394"/>
    <mergeCell ref="W366:AA366"/>
    <mergeCell ref="M309:N309"/>
    <mergeCell ref="M303:N303"/>
    <mergeCell ref="M330:N330"/>
    <mergeCell ref="W455:AA455"/>
    <mergeCell ref="U387:V387"/>
    <mergeCell ref="W326:AA326"/>
    <mergeCell ref="M332:N332"/>
    <mergeCell ref="R397:T397"/>
    <mergeCell ref="C430:F430"/>
    <mergeCell ref="M304:N304"/>
    <mergeCell ref="O368:Q368"/>
    <mergeCell ref="AB429:AD429"/>
    <mergeCell ref="L53:M53"/>
    <mergeCell ref="L28:M28"/>
    <mergeCell ref="H260:K260"/>
    <mergeCell ref="G313:I313"/>
    <mergeCell ref="AB431:AD431"/>
    <mergeCell ref="W384:AA384"/>
    <mergeCell ref="K292:L292"/>
    <mergeCell ref="G315:I315"/>
    <mergeCell ref="U405:V405"/>
    <mergeCell ref="H257:I257"/>
    <mergeCell ref="W386:AA386"/>
    <mergeCell ref="M350:N350"/>
    <mergeCell ref="U407:V407"/>
    <mergeCell ref="W379:AA379"/>
    <mergeCell ref="K287:L287"/>
    <mergeCell ref="M352:N352"/>
    <mergeCell ref="W381:AA381"/>
    <mergeCell ref="O388:Q388"/>
    <mergeCell ref="K289:L289"/>
    <mergeCell ref="M345:N345"/>
    <mergeCell ref="R451:T451"/>
    <mergeCell ref="O328:Q328"/>
    <mergeCell ref="AB442:AD442"/>
    <mergeCell ref="G455:I455"/>
    <mergeCell ref="AB302:AD302"/>
    <mergeCell ref="O417:Q417"/>
    <mergeCell ref="O294:Q294"/>
    <mergeCell ref="M376:N376"/>
    <mergeCell ref="R453:T453"/>
    <mergeCell ref="G326:I326"/>
    <mergeCell ref="O383:Q383"/>
    <mergeCell ref="K313:L313"/>
    <mergeCell ref="O419:Q419"/>
    <mergeCell ref="C385:F385"/>
    <mergeCell ref="W397:AA397"/>
    <mergeCell ref="M378:N378"/>
    <mergeCell ref="K315:L315"/>
    <mergeCell ref="U337:V337"/>
    <mergeCell ref="M371:N371"/>
    <mergeCell ref="U331:V331"/>
    <mergeCell ref="C354:F354"/>
    <mergeCell ref="O318:Q318"/>
    <mergeCell ref="O312:Q312"/>
    <mergeCell ref="U332:V332"/>
    <mergeCell ref="M406:N406"/>
    <mergeCell ref="C436:F436"/>
    <mergeCell ref="G379:I379"/>
    <mergeCell ref="O314:Q314"/>
    <mergeCell ref="C444:F444"/>
    <mergeCell ref="O313:Q313"/>
    <mergeCell ref="L6:M6"/>
    <mergeCell ref="R352:T352"/>
    <mergeCell ref="G387:I387"/>
    <mergeCell ref="G381:I381"/>
    <mergeCell ref="K360:L360"/>
    <mergeCell ref="M422:N422"/>
    <mergeCell ref="W451:AA451"/>
    <mergeCell ref="M432:N432"/>
    <mergeCell ref="K353:L353"/>
    <mergeCell ref="U350:V350"/>
    <mergeCell ref="W453:AA453"/>
    <mergeCell ref="M417:N417"/>
    <mergeCell ref="O369:Q369"/>
    <mergeCell ref="L24:M24"/>
    <mergeCell ref="L18:M18"/>
    <mergeCell ref="C455:F455"/>
    <mergeCell ref="M419:N419"/>
    <mergeCell ref="C449:F449"/>
    <mergeCell ref="L26:M26"/>
    <mergeCell ref="U401:V401"/>
    <mergeCell ref="U376:V376"/>
    <mergeCell ref="G444:I444"/>
    <mergeCell ref="K387:L387"/>
    <mergeCell ref="K381:L381"/>
    <mergeCell ref="M443:N443"/>
    <mergeCell ref="U403:V403"/>
    <mergeCell ref="U378:V378"/>
    <mergeCell ref="M445:N445"/>
    <mergeCell ref="C297:F297"/>
    <mergeCell ref="W352:AA352"/>
    <mergeCell ref="R423:T423"/>
    <mergeCell ref="C299:F299"/>
    <mergeCell ref="K397:L397"/>
    <mergeCell ref="G426:I426"/>
    <mergeCell ref="AB273:AD273"/>
    <mergeCell ref="O413:Q413"/>
    <mergeCell ref="L37:M37"/>
    <mergeCell ref="C292:F292"/>
    <mergeCell ref="U429:V429"/>
    <mergeCell ref="R424:T424"/>
    <mergeCell ref="O415:Q415"/>
    <mergeCell ref="U300:V300"/>
    <mergeCell ref="U431:V431"/>
    <mergeCell ref="U414:V414"/>
    <mergeCell ref="K311:L311"/>
    <mergeCell ref="H266:I266"/>
    <mergeCell ref="M367:N367"/>
    <mergeCell ref="U424:V424"/>
    <mergeCell ref="K425:L425"/>
    <mergeCell ref="K400:L400"/>
    <mergeCell ref="O410:Q410"/>
    <mergeCell ref="U301:V301"/>
    <mergeCell ref="M375:N375"/>
    <mergeCell ref="M369:N369"/>
    <mergeCell ref="R294:T294"/>
    <mergeCell ref="O441:Q441"/>
    <mergeCell ref="AB284:AD284"/>
    <mergeCell ref="O434:Q434"/>
    <mergeCell ref="AB286:AD286"/>
    <mergeCell ref="O426:Q426"/>
    <mergeCell ref="K451:L451"/>
    <mergeCell ref="K329:L329"/>
    <mergeCell ref="G352:I352"/>
    <mergeCell ref="U442:V442"/>
    <mergeCell ref="O436:Q436"/>
    <mergeCell ref="K295:L295"/>
    <mergeCell ref="K322:L322"/>
    <mergeCell ref="K453:L453"/>
    <mergeCell ref="M359:N359"/>
    <mergeCell ref="K324:L324"/>
    <mergeCell ref="U443:V443"/>
    <mergeCell ref="C363:F363"/>
    <mergeCell ref="M388:N388"/>
    <mergeCell ref="R313:T313"/>
    <mergeCell ref="R279:T279"/>
    <mergeCell ref="AB339:AD339"/>
    <mergeCell ref="O454:Q454"/>
    <mergeCell ref="W292:AA292"/>
    <mergeCell ref="R281:T281"/>
    <mergeCell ref="U372:V372"/>
    <mergeCell ref="W294:AA294"/>
    <mergeCell ref="K377:L377"/>
    <mergeCell ref="M439:N439"/>
    <mergeCell ref="W287:AA287"/>
    <mergeCell ref="U374:V374"/>
    <mergeCell ref="M441:N441"/>
    <mergeCell ref="W289:AA289"/>
    <mergeCell ref="R366:T366"/>
    <mergeCell ref="U369:V369"/>
    <mergeCell ref="AB350:AD350"/>
    <mergeCell ref="O384:Q384"/>
    <mergeCell ref="R361:T361"/>
    <mergeCell ref="AB358:AD358"/>
    <mergeCell ref="O350:Q350"/>
    <mergeCell ref="G424:I424"/>
    <mergeCell ref="C290:F290"/>
    <mergeCell ref="M283:N283"/>
    <mergeCell ref="O379:Q379"/>
    <mergeCell ref="G453:I453"/>
    <mergeCell ref="K396:L396"/>
    <mergeCell ref="U456:V456"/>
    <mergeCell ref="K390:L390"/>
    <mergeCell ref="C321:F321"/>
    <mergeCell ref="C404:F404"/>
    <mergeCell ref="M454:N454"/>
    <mergeCell ref="AB280:AD280"/>
    <mergeCell ref="C316:F316"/>
    <mergeCell ref="AB411:AD411"/>
    <mergeCell ref="K423:L423"/>
    <mergeCell ref="AB282:AD282"/>
    <mergeCell ref="O432:Q432"/>
    <mergeCell ref="K414:L414"/>
    <mergeCell ref="AB406:AD406"/>
    <mergeCell ref="R405:T405"/>
    <mergeCell ref="G290:I290"/>
    <mergeCell ref="U439:V439"/>
    <mergeCell ref="H250:I250"/>
    <mergeCell ref="W361:AA361"/>
    <mergeCell ref="K409:L409"/>
    <mergeCell ref="C334:F334"/>
    <mergeCell ref="AB308:AD308"/>
    <mergeCell ref="U441:V441"/>
    <mergeCell ref="R309:T309"/>
    <mergeCell ref="M297:N297"/>
    <mergeCell ref="AB422:AD422"/>
    <mergeCell ref="C336:F336"/>
    <mergeCell ref="R275:T275"/>
    <mergeCell ref="AB335:AD335"/>
    <mergeCell ref="O450:Q450"/>
    <mergeCell ref="AB310:AD310"/>
    <mergeCell ref="C329:F329"/>
    <mergeCell ref="C365:F365"/>
    <mergeCell ref="R304:T304"/>
    <mergeCell ref="O452:Q452"/>
    <mergeCell ref="C157:C158"/>
    <mergeCell ref="C331:F331"/>
    <mergeCell ref="C362:F362"/>
    <mergeCell ref="R301:T301"/>
    <mergeCell ref="W285:AA285"/>
    <mergeCell ref="O292:Q292"/>
    <mergeCell ref="R330:T330"/>
    <mergeCell ref="R332:T332"/>
    <mergeCell ref="AB354:AD354"/>
    <mergeCell ref="O287:Q287"/>
    <mergeCell ref="AB348:AD348"/>
    <mergeCell ref="G361:I361"/>
    <mergeCell ref="O289:Q289"/>
    <mergeCell ref="K359:L359"/>
    <mergeCell ref="AB349:AD349"/>
    <mergeCell ref="C400:F400"/>
    <mergeCell ref="AB380:AD380"/>
    <mergeCell ref="W304:AA304"/>
    <mergeCell ref="M285:N285"/>
    <mergeCell ref="R350:T350"/>
    <mergeCell ref="C429:F429"/>
    <mergeCell ref="R343:T343"/>
    <mergeCell ref="W329:AA329"/>
    <mergeCell ref="C437:F437"/>
    <mergeCell ref="AB375:AD375"/>
    <mergeCell ref="R345:T345"/>
    <mergeCell ref="W331:AA331"/>
    <mergeCell ref="AB377:AD377"/>
    <mergeCell ref="W330:AA330"/>
    <mergeCell ref="W332:AA332"/>
    <mergeCell ref="D192:D193"/>
    <mergeCell ref="R403:T403"/>
    <mergeCell ref="C305:F305"/>
    <mergeCell ref="O333:Q333"/>
    <mergeCell ref="AB393:AD393"/>
    <mergeCell ref="G400:I400"/>
    <mergeCell ref="AB306:AD306"/>
    <mergeCell ref="R398:T398"/>
    <mergeCell ref="C300:F300"/>
    <mergeCell ref="AB395:AD395"/>
    <mergeCell ref="G402:I402"/>
    <mergeCell ref="C361:F361"/>
    <mergeCell ref="U280:V280"/>
    <mergeCell ref="G304:I304"/>
    <mergeCell ref="C327:F327"/>
    <mergeCell ref="O416:Q416"/>
    <mergeCell ref="U282:V282"/>
    <mergeCell ref="K433:L433"/>
    <mergeCell ref="W343:AA343"/>
    <mergeCell ref="U275:V275"/>
    <mergeCell ref="M349:N349"/>
    <mergeCell ref="R414:T414"/>
    <mergeCell ref="AB446:AD446"/>
    <mergeCell ref="K435:L435"/>
    <mergeCell ref="W345:AA345"/>
    <mergeCell ref="U277:V277"/>
    <mergeCell ref="C387:F387"/>
    <mergeCell ref="R416:T416"/>
    <mergeCell ref="AB317:AD317"/>
    <mergeCell ref="G330:I330"/>
    <mergeCell ref="AB448:AD448"/>
    <mergeCell ref="C353:F353"/>
    <mergeCell ref="R328:T328"/>
    <mergeCell ref="O283:Q283"/>
    <mergeCell ref="AB319:AD319"/>
    <mergeCell ref="G332:I332"/>
    <mergeCell ref="U422:V422"/>
    <mergeCell ref="R417:T417"/>
    <mergeCell ref="C382:F382"/>
    <mergeCell ref="K275:L275"/>
    <mergeCell ref="AB318:AD318"/>
    <mergeCell ref="O285:Q285"/>
    <mergeCell ref="W396:AA396"/>
    <mergeCell ref="R442:T442"/>
    <mergeCell ref="K304:L304"/>
    <mergeCell ref="M333:N333"/>
    <mergeCell ref="G327:I327"/>
    <mergeCell ref="U295:V295"/>
    <mergeCell ref="W398:AA398"/>
    <mergeCell ref="K306:L306"/>
    <mergeCell ref="M368:N368"/>
    <mergeCell ref="C371:F371"/>
    <mergeCell ref="R346:T346"/>
    <mergeCell ref="M334:N334"/>
    <mergeCell ref="O311:Q311"/>
    <mergeCell ref="C192:C193"/>
    <mergeCell ref="G343:I343"/>
    <mergeCell ref="C402:F402"/>
    <mergeCell ref="W414:AA414"/>
    <mergeCell ref="R341:T341"/>
    <mergeCell ref="G345:I345"/>
    <mergeCell ref="AB373:AD373"/>
    <mergeCell ref="K288:L288"/>
    <mergeCell ref="W416:AA416"/>
    <mergeCell ref="W295:AA295"/>
    <mergeCell ref="U347:V347"/>
    <mergeCell ref="W409:AA409"/>
    <mergeCell ref="W328:AA328"/>
    <mergeCell ref="O329:Q329"/>
    <mergeCell ref="U349:V349"/>
    <mergeCell ref="R367:T367"/>
    <mergeCell ref="AB389:AD389"/>
    <mergeCell ref="F157:J157"/>
    <mergeCell ref="M294:N294"/>
    <mergeCell ref="R359:T359"/>
    <mergeCell ref="R394:T394"/>
    <mergeCell ref="O330:Q330"/>
    <mergeCell ref="R369:T369"/>
    <mergeCell ref="C296:F296"/>
    <mergeCell ref="O324:Q324"/>
    <mergeCell ref="AB391:AD391"/>
    <mergeCell ref="AB385:AD385"/>
    <mergeCell ref="G398:I398"/>
    <mergeCell ref="O360:Q360"/>
    <mergeCell ref="G275:I275"/>
    <mergeCell ref="C298:F298"/>
    <mergeCell ref="G427:I427"/>
    <mergeCell ref="C456:F456"/>
    <mergeCell ref="AB386:AD386"/>
    <mergeCell ref="G399:I399"/>
    <mergeCell ref="U367:V367"/>
    <mergeCell ref="M293:N293"/>
    <mergeCell ref="M320:N320"/>
    <mergeCell ref="M286:N286"/>
    <mergeCell ref="W341:AA341"/>
    <mergeCell ref="U273:V273"/>
    <mergeCell ref="L41:M41"/>
    <mergeCell ref="R293:T293"/>
    <mergeCell ref="AB412:AD412"/>
    <mergeCell ref="R413:T413"/>
    <mergeCell ref="R407:T407"/>
    <mergeCell ref="O343:Q343"/>
    <mergeCell ref="L36:M36"/>
    <mergeCell ref="G417:I417"/>
  </mergeCells>
  <conditionalFormatting sqref="K4:K31 N4:N31 N37:N57">
    <cfRule type="cellIs" priority="7" operator="lessThan" dxfId="8">
      <formula>0</formula>
    </cfRule>
  </conditionalFormatting>
  <conditionalFormatting sqref="B159:I190">
    <cfRule type="expression" priority="6" dxfId="12">
      <formula>MOD(ROW(),2)=0</formula>
    </cfRule>
  </conditionalFormatting>
  <conditionalFormatting sqref="B194:I216">
    <cfRule type="expression" priority="5" dxfId="12">
      <formula>MOD(ROW(),2)=0</formula>
    </cfRule>
  </conditionalFormatting>
  <conditionalFormatting sqref="D4:N5 D6:L6 D7:N7 D8:L8 D9:K31 D37:N51 D52:L52 D53:N57 L9:M11 L12 L13:M13 L14 L15:M16 L17:L18 L19:M19 L20 L21:M22 L23 L24:M26 L27 L28:M29 L30 L31:M31 N6 N8:N31 N52">
    <cfRule type="expression" priority="4" dxfId="11">
      <formula>MOD(ROW(),2)=0</formula>
    </cfRule>
  </conditionalFormatting>
  <conditionalFormatting sqref="K37:K57">
    <cfRule type="cellIs" priority="1" operator="lessThan" dxfId="8">
      <formula>0</formula>
    </cfRule>
    <cfRule type="cellIs" priority="3" operator="lessThan" dxfId="8">
      <formula>0</formula>
    </cfRule>
  </conditionalFormatting>
  <conditionalFormatting sqref="K4:K30">
    <cfRule type="cellIs" priority="2" operator="lessThan" dxfId="8">
      <formula>0</formula>
    </cfRule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E977"/>
  <sheetViews>
    <sheetView showGridLines="0" zoomScale="85" zoomScaleNormal="85" workbookViewId="0">
      <selection activeCell="B6" sqref="B6"/>
    </sheetView>
  </sheetViews>
  <sheetFormatPr baseColWidth="10" defaultRowHeight="12.75"/>
  <cols>
    <col width="11.42578125" customWidth="1" style="232" min="1" max="2"/>
    <col width="12.140625" bestFit="1" customWidth="1" style="232" min="3" max="3"/>
    <col width="36.42578125" bestFit="1" customWidth="1" style="232" min="4" max="4"/>
    <col width="11.42578125" customWidth="1" style="232" min="5" max="5"/>
    <col width="26.85546875" customWidth="1" style="232" min="6" max="6"/>
    <col width="11.85546875" customWidth="1" style="232" min="7" max="7"/>
    <col width="11.42578125" customWidth="1" style="232" min="8" max="9"/>
    <col width="13.7109375" bestFit="1" customWidth="1" style="232" min="10" max="10"/>
    <col width="12" bestFit="1" customWidth="1" style="232" min="11" max="11"/>
    <col width="23.140625" customWidth="1" style="232" min="12" max="12"/>
    <col width="11.42578125" customWidth="1" style="232" min="13" max="16384"/>
  </cols>
  <sheetData>
    <row r="1" ht="13.5" customHeight="1" s="95" thickBot="1"/>
    <row r="2" ht="13.5" customHeight="1" s="95" thickBot="1">
      <c r="B2" s="4" t="n"/>
      <c r="C2" s="9" t="n"/>
      <c r="D2" s="126" t="inlineStr">
        <is>
          <t>PRODUCTOS</t>
        </is>
      </c>
      <c r="E2" s="128" t="inlineStr">
        <is>
          <t>+</t>
        </is>
      </c>
      <c r="F2" s="128" t="inlineStr">
        <is>
          <t>+</t>
        </is>
      </c>
      <c r="G2" s="128" t="inlineStr">
        <is>
          <t>(-)</t>
        </is>
      </c>
      <c r="H2" s="128" t="inlineStr">
        <is>
          <t>(-)</t>
        </is>
      </c>
      <c r="I2" s="128" t="inlineStr">
        <is>
          <t>=</t>
        </is>
      </c>
      <c r="J2" s="128" t="inlineStr">
        <is>
          <t>=</t>
        </is>
      </c>
      <c r="K2" s="128" t="inlineStr">
        <is>
          <t>=</t>
        </is>
      </c>
      <c r="L2" s="296" t="inlineStr">
        <is>
          <t>$</t>
        </is>
      </c>
      <c r="M2" s="297" t="n"/>
      <c r="N2" s="34" t="inlineStr">
        <is>
          <t>$</t>
        </is>
      </c>
      <c r="O2" s="4" t="n"/>
      <c r="P2" s="4" t="n"/>
      <c r="Q2" s="4" t="n"/>
    </row>
    <row r="3" ht="13.5" customHeight="1" s="95" thickBot="1">
      <c r="B3" s="4" t="n"/>
      <c r="C3" s="33" t="n"/>
      <c r="D3" s="298" t="n"/>
      <c r="E3" s="129" t="inlineStr">
        <is>
          <t>Stock Inicial</t>
        </is>
      </c>
      <c r="F3" s="129" t="inlineStr">
        <is>
          <t>Entregas</t>
        </is>
      </c>
      <c r="G3" s="129" t="inlineStr">
        <is>
          <t>Ventas</t>
        </is>
      </c>
      <c r="H3" s="129" t="inlineStr">
        <is>
          <t>Mermas</t>
        </is>
      </c>
      <c r="I3" s="129" t="inlineStr">
        <is>
          <t>Stock Real</t>
        </is>
      </c>
      <c r="J3" s="129" t="inlineStr">
        <is>
          <t>Stock Informado</t>
        </is>
      </c>
      <c r="K3" s="129" t="inlineStr">
        <is>
          <t>Diferencias</t>
        </is>
      </c>
      <c r="L3" s="129" t="inlineStr">
        <is>
          <t>Precio</t>
        </is>
      </c>
      <c r="M3" s="297" t="n"/>
      <c r="N3" s="109" t="inlineStr">
        <is>
          <t>Descuento</t>
        </is>
      </c>
      <c r="O3" s="4" t="n"/>
      <c r="P3" s="4" t="n"/>
      <c r="Q3" s="4" t="n"/>
    </row>
    <row r="4">
      <c r="B4" s="4" t="n"/>
      <c r="C4" s="9" t="n"/>
      <c r="D4" s="103" t="inlineStr">
        <is>
          <t>Atún Steak</t>
        </is>
      </c>
      <c r="E4" s="243" t="n"/>
      <c r="F4" s="104">
        <f>E221</f>
        <v/>
      </c>
      <c r="G4" s="104">
        <f>IFERROR(SUMPRODUCT(($F$66:$F$153="Atún Steak")*$E$66:$E$153*$G$66:$G$153),"Error")</f>
        <v/>
      </c>
      <c r="H4" s="104">
        <f>SUM(F159:J159)</f>
        <v/>
      </c>
      <c r="I4" s="104">
        <f>E4+F4-G4-H4</f>
        <v/>
      </c>
      <c r="J4" s="104">
        <f>E159</f>
        <v/>
      </c>
      <c r="K4" s="105">
        <f>J4-I4</f>
        <v/>
      </c>
      <c r="L4" s="299">
        <f>+'MERMAS S1'!D5</f>
        <v/>
      </c>
      <c r="M4" s="300" t="n"/>
      <c r="N4" s="106">
        <f>IF(K4&lt;0,K4*L4,0)</f>
        <v/>
      </c>
      <c r="O4" s="4" t="n"/>
      <c r="P4" s="4" t="n"/>
      <c r="Q4" s="4" t="n"/>
    </row>
    <row r="5">
      <c r="B5" s="4" t="n"/>
      <c r="C5" s="9" t="n"/>
      <c r="D5" s="49" t="inlineStr">
        <is>
          <t>Atún Trozos</t>
        </is>
      </c>
      <c r="E5" s="244" t="n"/>
      <c r="F5" s="86">
        <f>E222</f>
        <v/>
      </c>
      <c r="G5" s="86">
        <f>IFERROR(SUMPRODUCT(($F$66:$F$153="Atún Trozos")*$E$66:$E$153*$G$66:$G$153),"Error")</f>
        <v/>
      </c>
      <c r="H5" s="86">
        <f>SUM(F160:I160)+SUM(F190:I190)</f>
        <v/>
      </c>
      <c r="I5" s="86">
        <f>E5+F5-G5-H5</f>
        <v/>
      </c>
      <c r="J5" s="86">
        <f>E160+E190</f>
        <v/>
      </c>
      <c r="K5" s="87">
        <f>J5-I5</f>
        <v/>
      </c>
      <c r="L5" s="121">
        <f>+'MERMAS S1'!D6</f>
        <v/>
      </c>
      <c r="M5" s="301" t="n"/>
      <c r="N5" s="36">
        <f>IF(K5&lt;0,K5*L5,0)</f>
        <v/>
      </c>
      <c r="O5" s="4" t="n"/>
      <c r="P5" s="4" t="n"/>
      <c r="Q5" s="4" t="n"/>
    </row>
    <row r="6">
      <c r="B6" s="4" t="n"/>
      <c r="C6" s="9" t="n"/>
      <c r="D6" s="49" t="inlineStr">
        <is>
          <t>Almejas Julianas</t>
        </is>
      </c>
      <c r="E6" s="244" t="n"/>
      <c r="F6" s="86">
        <f>E254</f>
        <v/>
      </c>
      <c r="G6" s="86">
        <f>K254</f>
        <v/>
      </c>
      <c r="H6" s="86">
        <f>SUM(F161:I161)+J254</f>
        <v/>
      </c>
      <c r="I6" s="86">
        <f>E6+F6-G6-H6</f>
        <v/>
      </c>
      <c r="J6" s="86">
        <f>E161</f>
        <v/>
      </c>
      <c r="K6" s="87">
        <f>J6-I6</f>
        <v/>
      </c>
      <c r="L6" s="121">
        <f>+'MERMAS S1'!D7</f>
        <v/>
      </c>
      <c r="M6" s="301" t="n"/>
      <c r="N6" s="36">
        <f>IF(K6&lt;0,K6*L6,0)</f>
        <v/>
      </c>
      <c r="O6" s="4" t="n"/>
      <c r="P6" s="4" t="n"/>
      <c r="Q6" s="4" t="n"/>
    </row>
    <row r="7">
      <c r="A7" s="302" t="n"/>
      <c r="B7" s="4" t="n"/>
      <c r="C7" s="9" t="n"/>
      <c r="D7" s="50" t="inlineStr">
        <is>
          <t>Carpaccio de res</t>
        </is>
      </c>
      <c r="E7" s="244" t="n"/>
      <c r="F7" s="86">
        <f>E223</f>
        <v/>
      </c>
      <c r="G7" s="86">
        <f>IFERROR(SUMPRODUCT(($F$66:$F$153="Carpaccio de res")*$E$66:$E$153*$G$66:$G$153),"Error")</f>
        <v/>
      </c>
      <c r="H7" s="86">
        <f>SUM(F162:I162)</f>
        <v/>
      </c>
      <c r="I7" s="86">
        <f>E7+F7-G7-H7</f>
        <v/>
      </c>
      <c r="J7" s="86">
        <f>E162</f>
        <v/>
      </c>
      <c r="K7" s="87">
        <f>J7-I7</f>
        <v/>
      </c>
      <c r="L7" s="121">
        <f>+'MERMAS S1'!D8</f>
        <v/>
      </c>
      <c r="M7" s="301" t="n"/>
      <c r="N7" s="36">
        <f>IF(K7&lt;0,K7*L7,0)</f>
        <v/>
      </c>
      <c r="O7" s="4" t="n"/>
      <c r="P7" s="4" t="n"/>
      <c r="Q7" s="4" t="n"/>
    </row>
    <row r="8">
      <c r="A8" s="302" t="n"/>
      <c r="B8" s="4" t="n"/>
      <c r="C8" s="9" t="n"/>
      <c r="D8" s="50" t="inlineStr">
        <is>
          <t>Chupe</t>
        </is>
      </c>
      <c r="E8" s="244" t="n"/>
      <c r="F8" s="86">
        <f>H258</f>
        <v/>
      </c>
      <c r="G8" s="86">
        <f>E90</f>
        <v/>
      </c>
      <c r="H8" s="86">
        <f>SUM(F165:I165)</f>
        <v/>
      </c>
      <c r="I8" s="86">
        <f>E8+F8-G8-H8</f>
        <v/>
      </c>
      <c r="J8" s="86">
        <f>E165</f>
        <v/>
      </c>
      <c r="K8" s="87">
        <f>J8-I8</f>
        <v/>
      </c>
      <c r="L8" s="121">
        <f>+'MERMAS S1'!D9</f>
        <v/>
      </c>
      <c r="M8" s="301" t="n"/>
      <c r="N8" s="36">
        <f>IF(K8&lt;0,K8*L8,0)</f>
        <v/>
      </c>
      <c r="O8" s="4" t="n"/>
      <c r="P8" s="4" t="n"/>
      <c r="Q8" s="4" t="n"/>
    </row>
    <row r="9">
      <c r="A9" s="302" t="n"/>
      <c r="B9" s="4" t="n"/>
      <c r="C9" s="9" t="n"/>
      <c r="D9" s="50" t="inlineStr">
        <is>
          <t>Congrio</t>
        </is>
      </c>
      <c r="E9" s="244" t="n"/>
      <c r="F9" s="86">
        <f>E252</f>
        <v/>
      </c>
      <c r="G9" s="86">
        <f>IFERROR(SUMPRODUCT(($F$66:$F$153="Congrio")*$E$66:$E$153*$G$66:$G$153),"Error")</f>
        <v/>
      </c>
      <c r="H9" s="86">
        <f>J252+SUM(F164:I164)</f>
        <v/>
      </c>
      <c r="I9" s="86">
        <f>E9+F9-G9-H9</f>
        <v/>
      </c>
      <c r="J9" s="86">
        <f>E164</f>
        <v/>
      </c>
      <c r="K9" s="87">
        <f>J9-I9</f>
        <v/>
      </c>
      <c r="L9" s="121">
        <f>+'MERMAS S1'!D10</f>
        <v/>
      </c>
      <c r="M9" s="301" t="n"/>
      <c r="N9" s="36">
        <f>IF(K9&lt;0,K9*L9,0)</f>
        <v/>
      </c>
      <c r="O9" s="4" t="n"/>
      <c r="P9" s="4" t="n"/>
      <c r="Q9" s="4" t="n"/>
    </row>
    <row r="10">
      <c r="A10" s="302" t="n"/>
      <c r="B10" s="4" t="n"/>
      <c r="C10" s="9" t="n"/>
      <c r="D10" s="50" t="inlineStr">
        <is>
          <t>Filete despunte</t>
        </is>
      </c>
      <c r="E10" s="244" t="n"/>
      <c r="F10" s="86">
        <f>E255</f>
        <v/>
      </c>
      <c r="G10" s="86">
        <f>K255+K256</f>
        <v/>
      </c>
      <c r="H10" s="86">
        <f>SUM(J255:J256)+SUM(F167:I167)</f>
        <v/>
      </c>
      <c r="I10" s="86">
        <f>E10+F10-G10-H10</f>
        <v/>
      </c>
      <c r="J10" s="86">
        <f>E167</f>
        <v/>
      </c>
      <c r="K10" s="87">
        <f>J10-I10</f>
        <v/>
      </c>
      <c r="L10" s="121">
        <f>+'MERMAS S1'!D11</f>
        <v/>
      </c>
      <c r="M10" s="301" t="n"/>
      <c r="N10" s="36">
        <f>IF(K10&lt;0,K10*L10,0)</f>
        <v/>
      </c>
      <c r="O10" s="4" t="n"/>
      <c r="P10" s="4" t="n"/>
      <c r="Q10" s="4" t="n"/>
    </row>
    <row r="11">
      <c r="A11" s="302" t="n"/>
      <c r="B11" s="4" t="n"/>
      <c r="C11" s="9" t="n"/>
      <c r="D11" s="50" t="inlineStr">
        <is>
          <t>Filete para churrasco</t>
        </is>
      </c>
      <c r="E11" s="244" t="n"/>
      <c r="F11" s="86">
        <f>E226</f>
        <v/>
      </c>
      <c r="G11" s="86">
        <f>IFERROR(SUMPRODUCT(($F$66:$F$153="Filete para churrasco")*$E$66:$E$153*$G$66:$G$153),"Error")</f>
        <v/>
      </c>
      <c r="H11" s="86">
        <f>SUM(F168:I168)</f>
        <v/>
      </c>
      <c r="I11" s="86">
        <f>E11+F11-G11-H11</f>
        <v/>
      </c>
      <c r="J11" s="86">
        <f>E168</f>
        <v/>
      </c>
      <c r="K11" s="87">
        <f>J11-I11</f>
        <v/>
      </c>
      <c r="L11" s="121">
        <f>+'MERMAS S1'!D12</f>
        <v/>
      </c>
      <c r="M11" s="301" t="n"/>
      <c r="N11" s="36">
        <f>IF(K11&lt;0,K11*L11,0)</f>
        <v/>
      </c>
      <c r="O11" s="4" t="n"/>
      <c r="P11" s="4" t="n"/>
      <c r="Q11" s="4" t="n"/>
    </row>
    <row r="12">
      <c r="B12" s="4" t="n"/>
      <c r="C12" s="9" t="n"/>
      <c r="D12" s="50" t="inlineStr">
        <is>
          <t>Filete para crudo</t>
        </is>
      </c>
      <c r="E12" s="244" t="n"/>
      <c r="F12" s="86">
        <f>E227</f>
        <v/>
      </c>
      <c r="G12" s="86">
        <f>IFERROR(SUMPRODUCT(($F$66:$F$153="Filete para crudo")*$E$66:$E$153*$G$66:$G$153),"Error")</f>
        <v/>
      </c>
      <c r="H12" s="86">
        <f>SUM(F169:I169)+SUM(F189:I189)</f>
        <v/>
      </c>
      <c r="I12" s="86">
        <f>E12+F12-G12-H12</f>
        <v/>
      </c>
      <c r="J12" s="86">
        <f>E169
+IFERROR(INDEX($E$159:$E$215,MATCH("Tartar de Res",$D$159:$D$215,0)),0)</f>
        <v/>
      </c>
      <c r="K12" s="87">
        <f>J12-I12</f>
        <v/>
      </c>
      <c r="L12" s="121">
        <f>+'MERMAS S1'!D13</f>
        <v/>
      </c>
      <c r="M12" s="301" t="n"/>
      <c r="N12" s="36">
        <f>IF(K12&lt;0,K12*L12,0)</f>
        <v/>
      </c>
      <c r="O12" s="4" t="n"/>
      <c r="P12" s="4" t="n"/>
      <c r="Q12" s="4" t="n"/>
    </row>
    <row r="13" ht="14.25" customHeight="1" s="95">
      <c r="B13" s="4" t="n"/>
      <c r="C13" s="9" t="n"/>
      <c r="D13" s="50" t="inlineStr">
        <is>
          <t>Filete Salteado</t>
        </is>
      </c>
      <c r="E13" s="244" t="n"/>
      <c r="F13" s="86">
        <f>E228</f>
        <v/>
      </c>
      <c r="G13" s="86">
        <f>IFERROR(SUMPRODUCT(($F$66:$F$153=D13)*$E$66:$E$153*$G$66:$G$153),"Error")</f>
        <v/>
      </c>
      <c r="H13" s="86">
        <f>SUM(F170:I170)</f>
        <v/>
      </c>
      <c r="I13" s="86">
        <f>E13+F13-G13-H13</f>
        <v/>
      </c>
      <c r="J13" s="86">
        <f>E170</f>
        <v/>
      </c>
      <c r="K13" s="87">
        <f>J13-I13</f>
        <v/>
      </c>
      <c r="L13" s="121">
        <f>+'MERMAS S1'!D14</f>
        <v/>
      </c>
      <c r="M13" s="301" t="n"/>
      <c r="N13" s="36">
        <f>IF(K13&lt;0,K13*L13,0)</f>
        <v/>
      </c>
      <c r="O13" s="4" t="n"/>
      <c r="P13" s="4" t="n"/>
      <c r="Q13" s="4" t="n"/>
    </row>
    <row r="14">
      <c r="B14" s="4" t="n"/>
      <c r="C14" s="9" t="n"/>
      <c r="D14" s="50" t="inlineStr">
        <is>
          <t>Ganso</t>
        </is>
      </c>
      <c r="E14" s="244" t="n"/>
      <c r="F14" s="86">
        <f>E229</f>
        <v/>
      </c>
      <c r="G14" s="86">
        <f>IFERROR(SUMPRODUCT(($F$66:$F$153=D14)*$E$66:$E$153*$G$66:$G$153),"Error")</f>
        <v/>
      </c>
      <c r="H14" s="86">
        <f>SUM(F171:I171)+SUM(F180:I180)</f>
        <v/>
      </c>
      <c r="I14" s="86">
        <f>E14+F14-G14-H14</f>
        <v/>
      </c>
      <c r="J14" s="86">
        <f>E171
+IFERROR(INDEX($E$159:$E$215,MATCH("Paila de Carne",$D$159:$D$215,0)),0)</f>
        <v/>
      </c>
      <c r="K14" s="87">
        <f>J14-I14</f>
        <v/>
      </c>
      <c r="L14" s="121">
        <f>+'MERMAS S1'!D15</f>
        <v/>
      </c>
      <c r="M14" s="301" t="n"/>
      <c r="N14" s="36">
        <f>IF(K14&lt;0,K14*L14,0)</f>
        <v/>
      </c>
      <c r="O14" s="4" t="n"/>
      <c r="P14" s="4" t="n"/>
      <c r="Q14" s="4" t="n"/>
    </row>
    <row r="15">
      <c r="B15" s="4" t="n"/>
      <c r="C15" s="9" t="n"/>
      <c r="D15" s="50" t="inlineStr">
        <is>
          <t>Hamburguesas</t>
        </is>
      </c>
      <c r="E15" s="244" t="n"/>
      <c r="F15" s="86">
        <f>E231</f>
        <v/>
      </c>
      <c r="G15" s="86">
        <f>IFERROR(SUMPRODUCT(($F$66:$F$153=D15)*$E$66:$E$153*$G$66:$G$153),"Error")</f>
        <v/>
      </c>
      <c r="H15" s="86">
        <f>SUM(F172:I172)</f>
        <v/>
      </c>
      <c r="I15" s="86">
        <f>E15+F15-G15-H15</f>
        <v/>
      </c>
      <c r="J15" s="86">
        <f>E172</f>
        <v/>
      </c>
      <c r="K15" s="87">
        <f>J15-I15</f>
        <v/>
      </c>
      <c r="L15" s="121">
        <f>+'MERMAS S1'!D16</f>
        <v/>
      </c>
      <c r="M15" s="301" t="n"/>
      <c r="N15" s="36">
        <f>IF(K15&lt;0,K15*L15,0)</f>
        <v/>
      </c>
      <c r="O15" s="4" t="n"/>
      <c r="P15" s="4" t="n"/>
      <c r="Q15" s="4" t="n"/>
    </row>
    <row r="16">
      <c r="B16" s="4" t="n"/>
      <c r="C16" s="9" t="n"/>
      <c r="D16" s="50" t="inlineStr">
        <is>
          <t>Jamón serrano</t>
        </is>
      </c>
      <c r="E16" s="244" t="n"/>
      <c r="F16" s="86">
        <f>E232</f>
        <v/>
      </c>
      <c r="G16" s="86">
        <f>IFERROR(SUMPRODUCT(($F$66:$F$153=D16)*$E$66:$E$153*$G$66:$G$153),"Error")</f>
        <v/>
      </c>
      <c r="H16" s="86">
        <f>SUM(F174:I174)</f>
        <v/>
      </c>
      <c r="I16" s="86">
        <f>E16+F16-G16-H16</f>
        <v/>
      </c>
      <c r="J16" s="86">
        <f>E174</f>
        <v/>
      </c>
      <c r="K16" s="87">
        <f>J16-I16</f>
        <v/>
      </c>
      <c r="L16" s="121">
        <f>+'MERMAS S1'!D17</f>
        <v/>
      </c>
      <c r="M16" s="301" t="n"/>
      <c r="N16" s="36">
        <f>IF(K16&lt;0,K16*L16,0)</f>
        <v/>
      </c>
      <c r="O16" s="4" t="n"/>
      <c r="P16" s="4" t="n"/>
      <c r="Q16" s="4" t="n"/>
    </row>
    <row r="17">
      <c r="B17" s="4" t="n"/>
      <c r="C17" s="9" t="n"/>
      <c r="D17" s="50" t="inlineStr">
        <is>
          <t>Langostinos</t>
        </is>
      </c>
      <c r="E17" s="244" t="n"/>
      <c r="F17" s="86">
        <f>H248</f>
        <v/>
      </c>
      <c r="G17" s="86">
        <f>IFERROR(SUMPRODUCT(($F$66:$F$153=D17)*$E$66:$E$153*$G$66:$G$153),"Error")</f>
        <v/>
      </c>
      <c r="H17" s="86">
        <f>SUM(F173:I173)</f>
        <v/>
      </c>
      <c r="I17" s="86">
        <f>E17+F17-G17-H17</f>
        <v/>
      </c>
      <c r="J17" s="86">
        <f>E173</f>
        <v/>
      </c>
      <c r="K17" s="87">
        <f>J17-I17</f>
        <v/>
      </c>
      <c r="L17" s="121">
        <f>+'MERMAS S1'!D18</f>
        <v/>
      </c>
      <c r="M17" s="301" t="n"/>
      <c r="N17" s="36">
        <f>IF(K17&lt;0,K17*L17,0)</f>
        <v/>
      </c>
      <c r="O17" s="4" t="n"/>
      <c r="P17" s="4" t="n"/>
      <c r="Q17" s="4" t="n"/>
    </row>
    <row r="18">
      <c r="B18" s="4" t="n"/>
      <c r="C18" s="9" t="n"/>
      <c r="D18" s="50" t="inlineStr">
        <is>
          <t>Lasagna de Berenjenas</t>
        </is>
      </c>
      <c r="E18" s="244" t="n"/>
      <c r="F18" s="86">
        <f>H257</f>
        <v/>
      </c>
      <c r="G18" s="86">
        <f>E120</f>
        <v/>
      </c>
      <c r="H18" s="86">
        <f>SUM(F175:I175)</f>
        <v/>
      </c>
      <c r="I18" s="86">
        <f>E18+F18-G18-H18</f>
        <v/>
      </c>
      <c r="J18" s="86">
        <f>E175</f>
        <v/>
      </c>
      <c r="K18" s="87">
        <f>J18-I18</f>
        <v/>
      </c>
      <c r="L18" s="121">
        <f>+'MERMAS S1'!D19</f>
        <v/>
      </c>
      <c r="M18" s="301" t="n"/>
      <c r="N18" s="36">
        <f>IF(K18&lt;0,K18*L18,0)</f>
        <v/>
      </c>
      <c r="O18" s="4" t="n"/>
      <c r="P18" s="4" t="n"/>
      <c r="Q18" s="4" t="n"/>
    </row>
    <row r="19">
      <c r="B19" s="4" t="n"/>
      <c r="C19" s="9" t="n"/>
      <c r="D19" s="50" t="inlineStr">
        <is>
          <t>Locos</t>
        </is>
      </c>
      <c r="E19" s="244" t="n"/>
      <c r="F19" s="86">
        <f>E249</f>
        <v/>
      </c>
      <c r="G19" s="86">
        <f>IFERROR(SUMPRODUCT(($F$66:$F$153=D19)*$E$66:$E$153*$G$66:$G$153),"Error")</f>
        <v/>
      </c>
      <c r="H19" s="86">
        <f>SUM(F177:I177)+J249</f>
        <v/>
      </c>
      <c r="I19" s="86">
        <f>E19+F19-G19-H19</f>
        <v/>
      </c>
      <c r="J19" s="86">
        <f>E177</f>
        <v/>
      </c>
      <c r="K19" s="87">
        <f>J19-I19</f>
        <v/>
      </c>
      <c r="L19" s="121">
        <f>+'MERMAS S1'!D20</f>
        <v/>
      </c>
      <c r="M19" s="301" t="n"/>
      <c r="N19" s="36">
        <f>IF(K19&lt;0,K19*L19,0)</f>
        <v/>
      </c>
      <c r="O19" s="4" t="n"/>
      <c r="P19" s="4" t="n"/>
      <c r="Q19" s="4" t="n"/>
    </row>
    <row r="20">
      <c r="B20" s="4" t="n"/>
      <c r="C20" s="9" t="n"/>
      <c r="D20" s="50" t="inlineStr">
        <is>
          <t>Lomo liso</t>
        </is>
      </c>
      <c r="E20" s="244" t="n"/>
      <c r="F20" s="86">
        <f>E233</f>
        <v/>
      </c>
      <c r="G20" s="86">
        <f>IFERROR(SUMPRODUCT(($F$66:$F$153=D20)*$E$66:$E$153*$G$66:$G$153),"Error")</f>
        <v/>
      </c>
      <c r="H20" s="86">
        <f>SUM(F176:I176)</f>
        <v/>
      </c>
      <c r="I20" s="86">
        <f>E20+F20-G20-H20</f>
        <v/>
      </c>
      <c r="J20" s="86">
        <f>E176</f>
        <v/>
      </c>
      <c r="K20" s="87">
        <f>J20-I20</f>
        <v/>
      </c>
      <c r="L20" s="121">
        <f>+'MERMAS S1'!D21</f>
        <v/>
      </c>
      <c r="M20" s="301" t="n"/>
      <c r="N20" s="36">
        <f>IF(K20&lt;0,K20*L20,0)</f>
        <v/>
      </c>
      <c r="O20" s="4" t="n"/>
      <c r="P20" s="4" t="n"/>
      <c r="Q20" s="4" t="n"/>
    </row>
    <row r="21">
      <c r="B21" s="4" t="n"/>
      <c r="C21" s="9" t="n"/>
      <c r="D21" s="50" t="inlineStr">
        <is>
          <t>Mejillones</t>
        </is>
      </c>
      <c r="E21" s="244" t="n"/>
      <c r="F21" s="86">
        <f>E253</f>
        <v/>
      </c>
      <c r="G21" s="86">
        <f>K253</f>
        <v/>
      </c>
      <c r="H21" s="86">
        <f>J253+SUM(F178:I178)</f>
        <v/>
      </c>
      <c r="I21" s="86">
        <f>E21+F21-G21-H21</f>
        <v/>
      </c>
      <c r="J21" s="86">
        <f>E178</f>
        <v/>
      </c>
      <c r="K21" s="87">
        <f>J21-I21</f>
        <v/>
      </c>
      <c r="L21" s="121">
        <f>+'MERMAS S1'!D22</f>
        <v/>
      </c>
      <c r="M21" s="301" t="n"/>
      <c r="N21" s="36">
        <f>IF(K21&lt;0,K21*L21,0)</f>
        <v/>
      </c>
      <c r="O21" s="4" t="n"/>
      <c r="P21" s="4" t="n"/>
      <c r="Q21" s="4" t="n"/>
    </row>
    <row r="22">
      <c r="B22" s="4" t="n"/>
      <c r="C22" s="9" t="n"/>
      <c r="D22" s="50" t="inlineStr">
        <is>
          <t>Merluza</t>
        </is>
      </c>
      <c r="E22" s="244" t="n"/>
      <c r="F22" s="86">
        <f>E250</f>
        <v/>
      </c>
      <c r="G22" s="86">
        <f>IFERROR(SUMPRODUCT(($F$66:$F$153=D22)*$E$66:$E$153*$G$66:$G$153),"Error")</f>
        <v/>
      </c>
      <c r="H22" s="86">
        <f>SUM(F179:I179)+J250</f>
        <v/>
      </c>
      <c r="I22" s="86">
        <f>E22+F22-G22-H22</f>
        <v/>
      </c>
      <c r="J22" s="86">
        <f>E179</f>
        <v/>
      </c>
      <c r="K22" s="87">
        <f>J22-I22</f>
        <v/>
      </c>
      <c r="L22" s="121">
        <f>+'MERMAS S1'!D23</f>
        <v/>
      </c>
      <c r="M22" s="301" t="n"/>
      <c r="N22" s="36">
        <f>IF(K22&lt;0,K22*L22,0)</f>
        <v/>
      </c>
      <c r="O22" s="4" t="n"/>
      <c r="P22" s="4" t="n"/>
      <c r="Q22" s="4" t="n"/>
    </row>
    <row r="23">
      <c r="B23" s="4" t="n"/>
      <c r="C23" s="30" t="n"/>
      <c r="D23" s="50" t="inlineStr">
        <is>
          <t>Plateada</t>
        </is>
      </c>
      <c r="E23" s="244" t="n"/>
      <c r="F23" s="86">
        <f>E234</f>
        <v/>
      </c>
      <c r="G23" s="86">
        <f>IFERROR(SUMPRODUCT(($F$66:$F$153=D23)*$E$66:$E$153*$G$66:$G$153),"Error")</f>
        <v/>
      </c>
      <c r="H23" s="86">
        <f>SUM(F181:I181)</f>
        <v/>
      </c>
      <c r="I23" s="86">
        <f>E23+F23-G23-H23</f>
        <v/>
      </c>
      <c r="J23" s="86">
        <f>E181</f>
        <v/>
      </c>
      <c r="K23" s="87">
        <f>J23-I23</f>
        <v/>
      </c>
      <c r="L23" s="121">
        <f>+'MERMAS S1'!D24</f>
        <v/>
      </c>
      <c r="M23" s="301" t="n"/>
      <c r="N23" s="36">
        <f>IF(K23&lt;0,K23*L23,0)</f>
        <v/>
      </c>
      <c r="O23" s="4" t="n"/>
      <c r="P23" s="4" t="n"/>
      <c r="Q23" s="4" t="n"/>
    </row>
    <row r="24">
      <c r="B24" s="4" t="n"/>
      <c r="C24" s="30" t="n"/>
      <c r="D24" s="50" t="inlineStr">
        <is>
          <t>Pulpo</t>
        </is>
      </c>
      <c r="E24" s="244" t="n"/>
      <c r="F24" s="86">
        <f>E235</f>
        <v/>
      </c>
      <c r="G24" s="86">
        <f>IFERROR(SUMPRODUCT(($F$66:$F$153=D24)*$E$66:$E$153*$G$66:$G$153),"Error")</f>
        <v/>
      </c>
      <c r="H24" s="86">
        <f>SUM(F182:I182)</f>
        <v/>
      </c>
      <c r="I24" s="86">
        <f>E24+F24-G24-H24</f>
        <v/>
      </c>
      <c r="J24" s="86">
        <f>E182</f>
        <v/>
      </c>
      <c r="K24" s="87">
        <f>J24-I24</f>
        <v/>
      </c>
      <c r="L24" s="121">
        <f>+'MERMAS S1'!D25</f>
        <v/>
      </c>
      <c r="M24" s="301" t="n"/>
      <c r="N24" s="36">
        <f>IF(K24&lt;0,K24*L24,0)</f>
        <v/>
      </c>
      <c r="O24" s="4" t="n"/>
      <c r="P24" s="4" t="n"/>
      <c r="Q24" s="4" t="n"/>
    </row>
    <row r="25">
      <c r="B25" s="4" t="n"/>
      <c r="C25" s="30" t="n"/>
      <c r="D25" s="50" t="inlineStr">
        <is>
          <t>Ragout Lasagna</t>
        </is>
      </c>
      <c r="E25" s="244" t="n"/>
      <c r="F25" s="86">
        <f>H255</f>
        <v/>
      </c>
      <c r="G25" s="86">
        <f>E257</f>
        <v/>
      </c>
      <c r="H25" s="86">
        <f>SUM(F183:I183)+J257</f>
        <v/>
      </c>
      <c r="I25" s="86">
        <f>E25+F25-G25-H25</f>
        <v/>
      </c>
      <c r="J25" s="86">
        <f>E183</f>
        <v/>
      </c>
      <c r="K25" s="87">
        <f>J25-I25</f>
        <v/>
      </c>
      <c r="L25" s="121">
        <f>+'MERMAS S1'!D26</f>
        <v/>
      </c>
      <c r="M25" s="301" t="n"/>
      <c r="N25" s="36">
        <f>IF(K25&lt;0,K25*L25,0)</f>
        <v/>
      </c>
      <c r="O25" s="4" t="n"/>
      <c r="P25" s="4" t="n"/>
      <c r="Q25" s="4" t="n"/>
    </row>
    <row r="26">
      <c r="B26" s="4" t="n"/>
      <c r="C26" s="30" t="n"/>
      <c r="D26" s="50" t="inlineStr">
        <is>
          <t>Ragout Rigatoni</t>
        </is>
      </c>
      <c r="E26" s="244" t="n"/>
      <c r="F26" s="86">
        <f>H256</f>
        <v/>
      </c>
      <c r="G26" s="86">
        <f>E133</f>
        <v/>
      </c>
      <c r="H26" s="86">
        <f>SUM(F184:I184)</f>
        <v/>
      </c>
      <c r="I26" s="86">
        <f>E26+F26-G26-H26</f>
        <v/>
      </c>
      <c r="J26" s="86">
        <f>E184</f>
        <v/>
      </c>
      <c r="K26" s="87">
        <f>J26-I26</f>
        <v/>
      </c>
      <c r="L26" s="121">
        <f>+'MERMAS S1'!D27</f>
        <v/>
      </c>
      <c r="M26" s="301" t="n"/>
      <c r="N26" s="36">
        <f>IF(K26&lt;0,K26*L26,0)</f>
        <v/>
      </c>
      <c r="O26" s="4" t="n"/>
      <c r="P26" s="4" t="n"/>
      <c r="Q26" s="4" t="n"/>
    </row>
    <row r="27">
      <c r="B27" s="4" t="n"/>
      <c r="C27" s="30" t="n"/>
      <c r="D27" s="50" t="inlineStr">
        <is>
          <t>Reineta</t>
        </is>
      </c>
      <c r="E27" s="244" t="n"/>
      <c r="F27" s="86">
        <f>E251</f>
        <v/>
      </c>
      <c r="G27" s="86">
        <f>IFERROR(SUMPRODUCT(($F$66:$F$153=D27)*$E$66:$E$153*$G$66:$G$153),"Error")</f>
        <v/>
      </c>
      <c r="H27" s="86">
        <f>SUM(F163:I163)+J251</f>
        <v/>
      </c>
      <c r="I27" s="86">
        <f>E27+F27-G27-H27</f>
        <v/>
      </c>
      <c r="J27" s="86">
        <f>E163</f>
        <v/>
      </c>
      <c r="K27" s="87">
        <f>J27-I27</f>
        <v/>
      </c>
      <c r="L27" s="121">
        <f>+'MERMAS S1'!D28</f>
        <v/>
      </c>
      <c r="M27" s="301" t="n"/>
      <c r="N27" s="36">
        <f>IF(K27&lt;0,K27*L27,0)</f>
        <v/>
      </c>
      <c r="O27" s="4" t="n"/>
      <c r="P27" s="4" t="n"/>
      <c r="Q27" s="4" t="n"/>
    </row>
    <row r="28">
      <c r="B28" s="4" t="n"/>
      <c r="C28" s="30" t="n"/>
      <c r="D28" s="50" t="inlineStr">
        <is>
          <t>Salmón ahumado en frío</t>
        </is>
      </c>
      <c r="E28" s="244" t="n"/>
      <c r="F28" s="86">
        <f>E258</f>
        <v/>
      </c>
      <c r="G28" s="86">
        <f>K258</f>
        <v/>
      </c>
      <c r="H28" s="86">
        <f>J258</f>
        <v/>
      </c>
      <c r="I28" s="86">
        <f>E28+F28-G28-H28</f>
        <v/>
      </c>
      <c r="J28" s="86">
        <f>E185</f>
        <v/>
      </c>
      <c r="K28" s="87">
        <f>J28-I28</f>
        <v/>
      </c>
      <c r="L28" s="121">
        <f>+'MERMAS S1'!D29</f>
        <v/>
      </c>
      <c r="M28" s="301" t="n"/>
      <c r="N28" s="36">
        <f>IF(K28&lt;0,K28*L28,0)</f>
        <v/>
      </c>
      <c r="O28" s="4" t="n"/>
      <c r="P28" s="4" t="n"/>
      <c r="Q28" s="4" t="n"/>
    </row>
    <row r="29">
      <c r="B29" s="4" t="n"/>
      <c r="C29" s="30" t="n"/>
      <c r="D29" s="50" t="inlineStr">
        <is>
          <t>Salmón ahumado en Caliente</t>
        </is>
      </c>
      <c r="E29" s="244" t="n"/>
      <c r="F29" s="86">
        <f>E237</f>
        <v/>
      </c>
      <c r="G29" s="86">
        <f>IFERROR(SUMPRODUCT(($F$66:$F$153=D29)*$E$66:$E$153*$G$66:$G$153),"Error")</f>
        <v/>
      </c>
      <c r="H29" s="86">
        <f>SUM(F186:I186)</f>
        <v/>
      </c>
      <c r="I29" s="86">
        <f>E29+F29-G29-H29</f>
        <v/>
      </c>
      <c r="J29" s="86">
        <f>E186</f>
        <v/>
      </c>
      <c r="K29" s="87">
        <f>J29-I29</f>
        <v/>
      </c>
      <c r="L29" s="121">
        <f>+'MERMAS S1'!D30</f>
        <v/>
      </c>
      <c r="M29" s="301" t="n"/>
      <c r="N29" s="36">
        <f>IF(K29&lt;0,K29*L29,0)</f>
        <v/>
      </c>
      <c r="O29" s="4" t="n"/>
      <c r="P29" s="4" t="n"/>
      <c r="Q29" s="4" t="n"/>
    </row>
    <row r="30">
      <c r="B30" s="4" t="n"/>
      <c r="C30" s="30" t="n"/>
      <c r="D30" s="50" t="inlineStr">
        <is>
          <t>Salmón cancato</t>
        </is>
      </c>
      <c r="E30" s="244" t="n"/>
      <c r="F30" s="86">
        <f>E238</f>
        <v/>
      </c>
      <c r="G30" s="86">
        <f>IFERROR(SUMPRODUCT(($F$66:$F$153=D30)*$E$66:$E$153*$G$66:$G$153),"Error")</f>
        <v/>
      </c>
      <c r="H30" s="86">
        <f>SUM(F187:I187)</f>
        <v/>
      </c>
      <c r="I30" s="86">
        <f>E30+F30-G30-H30</f>
        <v/>
      </c>
      <c r="J30" s="86">
        <f>E187</f>
        <v/>
      </c>
      <c r="K30" s="87">
        <f>J30-I30</f>
        <v/>
      </c>
      <c r="L30" s="121">
        <f>+'MERMAS S1'!D31</f>
        <v/>
      </c>
      <c r="M30" s="301" t="n"/>
      <c r="N30" s="36">
        <f>IF(K30&lt;0,K30*L30,0)</f>
        <v/>
      </c>
      <c r="O30" s="4" t="n"/>
      <c r="P30" s="4" t="n"/>
      <c r="Q30" s="4" t="n"/>
    </row>
    <row r="31" ht="13.5" customHeight="1" s="95" thickBot="1">
      <c r="B31" s="4" t="n"/>
      <c r="C31" s="30" t="n"/>
      <c r="D31" s="51" t="inlineStr">
        <is>
          <t>Salmón fresco premium</t>
        </is>
      </c>
      <c r="E31" s="245" t="n"/>
      <c r="F31" s="107">
        <f>E239</f>
        <v/>
      </c>
      <c r="G31" s="107">
        <f>IFERROR(SUMPRODUCT(($F$66:$F$153=D31)*$E$66:$E$153*$G$66:$G$153),"Error")</f>
        <v/>
      </c>
      <c r="H31" s="107">
        <f>SUM(F188:I188)</f>
        <v/>
      </c>
      <c r="I31" s="107">
        <f>E31+F31-G31-H31</f>
        <v/>
      </c>
      <c r="J31" s="107">
        <f>E188</f>
        <v/>
      </c>
      <c r="K31" s="108">
        <f>J31-I31</f>
        <v/>
      </c>
      <c r="L31" s="131">
        <f>+'MERMAS S1'!D32</f>
        <v/>
      </c>
      <c r="M31" s="303" t="n"/>
      <c r="N31" s="110">
        <f>IF(K31&lt;0,K31*L31,0)</f>
        <v/>
      </c>
      <c r="O31" s="4" t="n"/>
      <c r="P31" s="4" t="n"/>
      <c r="Q31" s="4" t="n"/>
    </row>
    <row r="32" ht="13.5" customHeight="1" s="95" thickBot="1">
      <c r="B32" s="5" t="n"/>
      <c r="C32" s="6" t="n"/>
      <c r="D32" s="7" t="n"/>
      <c r="E32" s="6" t="n"/>
      <c r="F32" s="6" t="n"/>
      <c r="G32" s="6" t="n"/>
      <c r="H32" s="6" t="n"/>
      <c r="I32" s="8" t="n"/>
      <c r="J32" s="8" t="n"/>
      <c r="K32" s="8" t="n"/>
      <c r="L32" s="9" t="n"/>
      <c r="M32" s="4" t="n"/>
      <c r="N32" s="4" t="n"/>
      <c r="O32" s="4" t="n"/>
      <c r="P32" s="4" t="n"/>
      <c r="Q32" s="4" t="n"/>
    </row>
    <row r="33" ht="13.5" customHeight="1" s="95" thickBot="1">
      <c r="B33" s="5" t="n"/>
      <c r="C33" s="6" t="n"/>
      <c r="D33" s="7" t="n"/>
      <c r="E33" s="6" t="n"/>
      <c r="F33" s="6" t="n"/>
      <c r="G33" s="6" t="n"/>
      <c r="H33" s="10" t="n"/>
      <c r="I33" s="304" t="inlineStr">
        <is>
          <t>DIFERENCIAS PROMEDIO</t>
        </is>
      </c>
      <c r="J33" s="305" t="n"/>
      <c r="K33" s="11">
        <f>SUM(K7:K31)</f>
        <v/>
      </c>
      <c r="L33" s="4" t="n"/>
      <c r="M33" s="12" t="inlineStr">
        <is>
          <t>DCTO. TOTAL</t>
        </is>
      </c>
      <c r="N33" s="13">
        <f>SUM(N7:N31)</f>
        <v/>
      </c>
      <c r="O33" s="4" t="n"/>
      <c r="P33" s="4" t="n"/>
      <c r="Q33" s="4" t="n"/>
    </row>
    <row r="34" ht="13.5" customHeight="1" s="95" thickBot="1">
      <c r="B34" s="5" t="n"/>
      <c r="C34" s="6" t="n"/>
      <c r="D34" s="5" t="n"/>
      <c r="E34" s="6" t="n"/>
      <c r="F34" s="6" t="n"/>
      <c r="G34" s="6" t="n"/>
      <c r="H34" s="6" t="n"/>
      <c r="I34" s="14" t="n"/>
      <c r="J34" s="14" t="n"/>
      <c r="K34" s="14" t="n"/>
      <c r="L34" s="4" t="n"/>
      <c r="M34" s="4" t="n"/>
      <c r="N34" s="4" t="n"/>
      <c r="O34" s="4" t="n"/>
      <c r="P34" s="4" t="n"/>
      <c r="Q34" s="4" t="n"/>
    </row>
    <row r="35" ht="13.5" customHeight="1" s="95" thickBot="1">
      <c r="B35" s="4" t="n"/>
      <c r="C35" s="6" t="n"/>
      <c r="D35" s="37" t="n"/>
      <c r="E35" s="128" t="n"/>
      <c r="F35" s="128" t="inlineStr">
        <is>
          <t>+</t>
        </is>
      </c>
      <c r="G35" s="128" t="inlineStr">
        <is>
          <t>(-)</t>
        </is>
      </c>
      <c r="H35" s="128" t="inlineStr">
        <is>
          <t>(-)</t>
        </is>
      </c>
      <c r="I35" s="128" t="inlineStr">
        <is>
          <t>=</t>
        </is>
      </c>
      <c r="J35" s="128" t="inlineStr">
        <is>
          <t>=</t>
        </is>
      </c>
      <c r="K35" s="128" t="inlineStr">
        <is>
          <t>=</t>
        </is>
      </c>
      <c r="L35" s="296" t="inlineStr">
        <is>
          <t>$</t>
        </is>
      </c>
      <c r="M35" s="297" t="n"/>
      <c r="N35" s="34" t="inlineStr">
        <is>
          <t>$</t>
        </is>
      </c>
      <c r="O35" s="4" t="n"/>
      <c r="P35" s="4" t="n"/>
      <c r="Q35" s="4" t="n"/>
    </row>
    <row r="36" ht="13.5" customHeight="1" s="95" thickBot="1">
      <c r="B36" s="4" t="n"/>
      <c r="C36" s="33" t="n"/>
      <c r="D36" s="162" t="inlineStr">
        <is>
          <t>PRODUCTOS</t>
        </is>
      </c>
      <c r="E36" s="164" t="n"/>
      <c r="F36" s="164" t="inlineStr">
        <is>
          <t>Entregas</t>
        </is>
      </c>
      <c r="G36" s="164" t="inlineStr">
        <is>
          <t>Ventas</t>
        </is>
      </c>
      <c r="H36" s="164" t="inlineStr">
        <is>
          <t>Mermas</t>
        </is>
      </c>
      <c r="I36" s="164" t="inlineStr">
        <is>
          <t>Stock Real</t>
        </is>
      </c>
      <c r="J36" s="164" t="inlineStr">
        <is>
          <t>Stock Informado</t>
        </is>
      </c>
      <c r="K36" s="164" t="inlineStr">
        <is>
          <t>Diferencias</t>
        </is>
      </c>
      <c r="L36" s="164" t="inlineStr">
        <is>
          <t>Precio</t>
        </is>
      </c>
      <c r="M36" s="306" t="n"/>
      <c r="N36" s="165" t="inlineStr">
        <is>
          <t>Descuento</t>
        </is>
      </c>
      <c r="O36" s="4" t="n"/>
      <c r="P36" s="4" t="n"/>
      <c r="Q36" s="4" t="n"/>
    </row>
    <row r="37">
      <c r="B37" s="4" t="n"/>
      <c r="C37" s="30" t="n"/>
      <c r="D37" s="113" t="inlineStr">
        <is>
          <t>Brownie Nutella</t>
        </is>
      </c>
      <c r="E37" s="244" t="n"/>
      <c r="F37" s="86">
        <f>E264</f>
        <v/>
      </c>
      <c r="G37" s="86">
        <f>IFERROR(SUMPRODUCT(($F$66:$F$153=D37)*$E$66:$E$153*$G$66:$G$153),"Error")</f>
        <v/>
      </c>
      <c r="H37" s="86">
        <f>SUM(F194:I194)</f>
        <v/>
      </c>
      <c r="I37" s="86">
        <f>E37+F37-G37-H37</f>
        <v/>
      </c>
      <c r="J37" s="204">
        <f>E194</f>
        <v/>
      </c>
      <c r="K37" s="114">
        <f>J37-I37</f>
        <v/>
      </c>
      <c r="L37" s="125">
        <f>+'MERMAS S1'!D33</f>
        <v/>
      </c>
      <c r="M37" s="307" t="n"/>
      <c r="N37" s="115">
        <f>IF(K37&lt;0,K37*L37,0)</f>
        <v/>
      </c>
      <c r="O37" s="4" t="n"/>
      <c r="P37" s="4" t="n"/>
      <c r="Q37" s="4" t="n"/>
    </row>
    <row r="38">
      <c r="B38" s="4" t="n"/>
      <c r="C38" s="30" t="n"/>
      <c r="D38" s="69" t="inlineStr">
        <is>
          <t>Brownie Vegano</t>
        </is>
      </c>
      <c r="E38" s="244" t="n"/>
      <c r="F38" s="77">
        <f>E265</f>
        <v/>
      </c>
      <c r="G38" s="77">
        <f>IFERROR(SUMPRODUCT(($F$66:$F$153=D38)*$E$66:$E$153*$G$66:$G$153),"Error")</f>
        <v/>
      </c>
      <c r="H38" s="77">
        <f>SUM(F195:I195)</f>
        <v/>
      </c>
      <c r="I38" s="77">
        <f>E38+F38-G38-H38</f>
        <v/>
      </c>
      <c r="J38" s="205">
        <f>E195</f>
        <v/>
      </c>
      <c r="K38" s="88">
        <f>J38-I38</f>
        <v/>
      </c>
      <c r="L38" s="121">
        <f>+'MERMAS S1'!D34</f>
        <v/>
      </c>
      <c r="M38" s="301" t="n"/>
      <c r="N38" s="36">
        <f>IF(K38&lt;0,K38*L38,0)</f>
        <v/>
      </c>
      <c r="O38" s="4" t="n"/>
      <c r="P38" s="4" t="n"/>
      <c r="Q38" s="4" t="n"/>
    </row>
    <row r="39">
      <c r="B39" s="4" t="n"/>
      <c r="C39" s="9" t="n"/>
      <c r="D39" s="69" t="inlineStr">
        <is>
          <t>Cheesecake de Berries</t>
        </is>
      </c>
      <c r="E39" s="244" t="n"/>
      <c r="F39" s="77">
        <f>E262</f>
        <v/>
      </c>
      <c r="G39" s="77">
        <f>IFERROR(SUMPRODUCT(($F$66:$F$153="Cheesecake Berries")*$E$66:$E$153*$G$66:$G$153),"Error")</f>
        <v/>
      </c>
      <c r="H39" s="77">
        <f>SUM(F196:I196)</f>
        <v/>
      </c>
      <c r="I39" s="77">
        <f>E39+F39-G39-H39</f>
        <v/>
      </c>
      <c r="J39" s="205">
        <f>E196</f>
        <v/>
      </c>
      <c r="K39" s="88">
        <f>J39-I39</f>
        <v/>
      </c>
      <c r="L39" s="121">
        <f>+'MERMAS S1'!D35</f>
        <v/>
      </c>
      <c r="M39" s="301" t="n"/>
      <c r="N39" s="36">
        <f>IF(K39&lt;0,K39*L39,0)</f>
        <v/>
      </c>
      <c r="O39" s="4" t="n"/>
      <c r="P39" s="4" t="n"/>
      <c r="Q39" s="4" t="n"/>
    </row>
    <row r="40">
      <c r="B40" s="4" t="n"/>
      <c r="C40" s="30" t="n"/>
      <c r="D40" s="50" t="inlineStr">
        <is>
          <t>Cheesecake de Limón</t>
        </is>
      </c>
      <c r="E40" s="244" t="n"/>
      <c r="F40" s="77">
        <f>E263</f>
        <v/>
      </c>
      <c r="G40" s="77">
        <f>IFERROR(SUMPRODUCT(($F$66:$F$153=D40)*$E$66:$E$153*$G$66:$G$153),"Error")</f>
        <v/>
      </c>
      <c r="H40" s="77">
        <f>SUM(F197:H197)</f>
        <v/>
      </c>
      <c r="I40" s="77">
        <f>E40+F40-G40-H40</f>
        <v/>
      </c>
      <c r="J40" s="205">
        <f>E197</f>
        <v/>
      </c>
      <c r="K40" s="88">
        <f>J40-I40</f>
        <v/>
      </c>
      <c r="L40" s="121">
        <f>+'MERMAS S1'!D36</f>
        <v/>
      </c>
      <c r="M40" s="301" t="n"/>
      <c r="N40" s="36">
        <f>IF(K40&lt;0,K40*L40,0)</f>
        <v/>
      </c>
      <c r="O40" s="4" t="n"/>
      <c r="P40" s="4" t="n"/>
      <c r="Q40" s="4" t="n"/>
    </row>
    <row r="41">
      <c r="B41" s="4" t="n"/>
      <c r="C41" s="30" t="n"/>
      <c r="D41" s="50" t="inlineStr">
        <is>
          <t>Chocolate Blanco</t>
        </is>
      </c>
      <c r="E41" s="244" t="n"/>
      <c r="F41" s="77">
        <f>H262</f>
        <v/>
      </c>
      <c r="G41" s="77">
        <f>J262</f>
        <v/>
      </c>
      <c r="H41" s="77">
        <f>SUM(F198:I198)</f>
        <v/>
      </c>
      <c r="I41" s="77">
        <f>E41+F41-G41-H41</f>
        <v/>
      </c>
      <c r="J41" s="205">
        <f>E198</f>
        <v/>
      </c>
      <c r="K41" s="88">
        <f>J41-I41</f>
        <v/>
      </c>
      <c r="L41" s="121">
        <f>+'MERMAS S1'!D37</f>
        <v/>
      </c>
      <c r="M41" s="301" t="n"/>
      <c r="N41" s="36">
        <f>IF(K41&lt;0,K41*L41,0)</f>
        <v/>
      </c>
      <c r="O41" s="4" t="n"/>
      <c r="P41" s="4" t="n"/>
      <c r="Q41" s="4" t="n"/>
    </row>
    <row r="42">
      <c r="B42" s="4" t="n"/>
      <c r="C42" s="30" t="n"/>
      <c r="D42" s="50" t="inlineStr">
        <is>
          <t>Chocolate Leche</t>
        </is>
      </c>
      <c r="E42" s="244" t="n"/>
      <c r="F42" s="77">
        <f>H263</f>
        <v/>
      </c>
      <c r="G42" s="77">
        <f>J263</f>
        <v/>
      </c>
      <c r="H42" s="77">
        <f>SUM(F199:I199)</f>
        <v/>
      </c>
      <c r="I42" s="77">
        <f>E42+F42-G42-H42</f>
        <v/>
      </c>
      <c r="J42" s="205">
        <f>E199</f>
        <v/>
      </c>
      <c r="K42" s="88">
        <f>J42-I42</f>
        <v/>
      </c>
      <c r="L42" s="121">
        <f>+'MERMAS S1'!D38</f>
        <v/>
      </c>
      <c r="M42" s="301" t="n"/>
      <c r="N42" s="36">
        <f>IF(K42&lt;0,K42*L42,0)</f>
        <v/>
      </c>
      <c r="O42" s="4" t="n"/>
      <c r="P42" s="4" t="n"/>
      <c r="Q42" s="4" t="n"/>
    </row>
    <row r="43">
      <c r="B43" s="4" t="n"/>
      <c r="C43" s="30" t="n"/>
      <c r="D43" s="50" t="inlineStr">
        <is>
          <t>Chocolate Negro</t>
        </is>
      </c>
      <c r="E43" s="244" t="n"/>
      <c r="F43" s="77">
        <f>H264</f>
        <v/>
      </c>
      <c r="G43" s="77">
        <f>J264</f>
        <v/>
      </c>
      <c r="H43" s="77">
        <f>SUM(F200:I200)</f>
        <v/>
      </c>
      <c r="I43" s="77">
        <f>E43+F43-G43-H43</f>
        <v/>
      </c>
      <c r="J43" s="205">
        <f>E200</f>
        <v/>
      </c>
      <c r="K43" s="88">
        <f>J43-I43</f>
        <v/>
      </c>
      <c r="L43" s="121">
        <f>+'MERMAS S1'!D39</f>
        <v/>
      </c>
      <c r="M43" s="301" t="n"/>
      <c r="N43" s="36">
        <f>IF(K43&lt;0,K43*L43,0)</f>
        <v/>
      </c>
      <c r="O43" s="4" t="n"/>
      <c r="P43" s="4" t="n"/>
      <c r="Q43" s="4" t="n"/>
    </row>
    <row r="44">
      <c r="B44" s="4" t="n"/>
      <c r="C44" s="30" t="n"/>
      <c r="D44" s="50" t="inlineStr">
        <is>
          <t>Chocolate Neucober Cobertura</t>
        </is>
      </c>
      <c r="E44" s="244" t="n"/>
      <c r="F44" s="77">
        <f>H265</f>
        <v/>
      </c>
      <c r="G44" s="77">
        <f>J265</f>
        <v/>
      </c>
      <c r="H44" s="77">
        <f>SUM(F201:I201)</f>
        <v/>
      </c>
      <c r="I44" s="77">
        <f>E44+F44-G44-H44</f>
        <v/>
      </c>
      <c r="J44" s="205">
        <f>E201</f>
        <v/>
      </c>
      <c r="K44" s="88">
        <f>J44-I44</f>
        <v/>
      </c>
      <c r="L44" s="121">
        <f>+'MERMAS S1'!D40</f>
        <v/>
      </c>
      <c r="M44" s="301" t="n"/>
      <c r="N44" s="36">
        <f>IF(K44&lt;0,K44*L44,0)</f>
        <v/>
      </c>
      <c r="O44" s="4" t="n"/>
      <c r="P44" s="4" t="n"/>
      <c r="Q44" s="4" t="n"/>
    </row>
    <row r="45">
      <c r="B45" s="4" t="n"/>
      <c r="C45" s="30" t="n"/>
      <c r="D45" s="50" t="inlineStr">
        <is>
          <t>Chocolate Sicao Cobertura</t>
        </is>
      </c>
      <c r="E45" s="244" t="n"/>
      <c r="F45" s="77">
        <f>H266</f>
        <v/>
      </c>
      <c r="G45" s="77">
        <f>J266</f>
        <v/>
      </c>
      <c r="H45" s="77">
        <f>SUM(F202:I202)</f>
        <v/>
      </c>
      <c r="I45" s="77">
        <f>E45+F45-G45-H45</f>
        <v/>
      </c>
      <c r="J45" s="205">
        <f>E202</f>
        <v/>
      </c>
      <c r="K45" s="88">
        <f>J45-I45</f>
        <v/>
      </c>
      <c r="L45" s="121">
        <f>+'MERMAS S1'!D41</f>
        <v/>
      </c>
      <c r="M45" s="301" t="n"/>
      <c r="N45" s="36">
        <f>IF(K45&lt;0,K45*L45,0)</f>
        <v/>
      </c>
      <c r="O45" s="4" t="n"/>
      <c r="P45" s="4" t="n"/>
      <c r="Q45" s="4" t="n"/>
    </row>
    <row r="46">
      <c r="B46" s="4" t="n"/>
      <c r="C46" s="30" t="n"/>
      <c r="D46" s="50" t="inlineStr">
        <is>
          <t>Discos de Chocolate</t>
        </is>
      </c>
      <c r="E46" s="244" t="n"/>
      <c r="F46" s="77">
        <f>E268</f>
        <v/>
      </c>
      <c r="G46" s="77">
        <f>E91</f>
        <v/>
      </c>
      <c r="H46" s="77">
        <f>SUM(F203:I203)</f>
        <v/>
      </c>
      <c r="I46" s="77">
        <f>E46+F46-G46-H46</f>
        <v/>
      </c>
      <c r="J46" s="205">
        <f>E203</f>
        <v/>
      </c>
      <c r="K46" s="88">
        <f>J46-I46</f>
        <v/>
      </c>
      <c r="L46" s="121">
        <f>+'MERMAS S1'!D42</f>
        <v/>
      </c>
      <c r="M46" s="301" t="n"/>
      <c r="N46" s="36">
        <f>IF(K46&lt;0,K46*L46,0)</f>
        <v/>
      </c>
      <c r="O46" s="4" t="n"/>
      <c r="P46" s="4" t="n"/>
      <c r="Q46" s="4" t="n"/>
    </row>
    <row r="47">
      <c r="B47" s="4" t="n"/>
      <c r="C47" s="30" t="n"/>
      <c r="D47" s="50" t="inlineStr">
        <is>
          <t>Empanada Mechada</t>
        </is>
      </c>
      <c r="E47" s="244" t="n"/>
      <c r="F47" s="77">
        <f>E225</f>
        <v/>
      </c>
      <c r="G47" s="77">
        <f>IFERROR(SUMPRODUCT(($F$66:$F$153=D47)*$E$66:$E$153*$G$66:$G$153),"Error")</f>
        <v/>
      </c>
      <c r="H47" s="77">
        <f>(SUM(F204:I204)*4)+SUM(F205:I205)</f>
        <v/>
      </c>
      <c r="I47" s="77">
        <f>E47+F47-G47-H47</f>
        <v/>
      </c>
      <c r="J47" s="205">
        <f>(E204*4)+E205</f>
        <v/>
      </c>
      <c r="K47" s="88">
        <f>J47-I47</f>
        <v/>
      </c>
      <c r="L47" s="121">
        <f>+'MERMAS S1'!D43</f>
        <v/>
      </c>
      <c r="M47" s="301" t="n"/>
      <c r="N47" s="36">
        <f>IF(K47&lt;0,K47*L47,0)</f>
        <v/>
      </c>
      <c r="O47" s="4" t="n"/>
      <c r="P47" s="4" t="n"/>
      <c r="Q47" s="4" t="n"/>
    </row>
    <row r="48">
      <c r="B48" s="4" t="n"/>
      <c r="C48" s="30" t="n"/>
      <c r="D48" s="50" t="inlineStr">
        <is>
          <t>Empanada Pulpo</t>
        </is>
      </c>
      <c r="E48" s="244" t="n"/>
      <c r="F48" s="77">
        <f>H247</f>
        <v/>
      </c>
      <c r="G48" s="77">
        <f>IFERROR(SUMPRODUCT(($F$66:$F$153=D48)*$E$66:$E$153*$G$66:$G$153),"Error")</f>
        <v/>
      </c>
      <c r="H48" s="77">
        <f>(SUM(F206:I206)*4)+SUM(F207:I207)</f>
        <v/>
      </c>
      <c r="I48" s="77">
        <f>E48+F48-G48-H48</f>
        <v/>
      </c>
      <c r="J48" s="205">
        <f>(E206*4)+E207</f>
        <v/>
      </c>
      <c r="K48" s="88">
        <f>J48-I48</f>
        <v/>
      </c>
      <c r="L48" s="121">
        <f>+'MERMAS S1'!D44</f>
        <v/>
      </c>
      <c r="M48" s="301" t="n"/>
      <c r="N48" s="36">
        <f>IF(K48&lt;0,K48*L48,0)</f>
        <v/>
      </c>
      <c r="O48" s="4" t="n"/>
      <c r="P48" s="4" t="n"/>
      <c r="Q48" s="4" t="n"/>
    </row>
    <row r="49">
      <c r="B49" s="4" t="n"/>
      <c r="C49" s="30" t="n"/>
      <c r="D49" s="50" t="inlineStr">
        <is>
          <t>Flan de Caluga</t>
        </is>
      </c>
      <c r="E49" s="244" t="n"/>
      <c r="F49" s="77">
        <f>E266</f>
        <v/>
      </c>
      <c r="G49" s="77">
        <f>IFERROR(SUMPRODUCT(($F$66:$F$153=D49)*$E$66:$E$153*$G$66:$G$153),"Error")</f>
        <v/>
      </c>
      <c r="H49" s="77">
        <f>SUM(F208:I208)</f>
        <v/>
      </c>
      <c r="I49" s="77">
        <f>E49+F49-G49-H49</f>
        <v/>
      </c>
      <c r="J49" s="205">
        <f>E208</f>
        <v/>
      </c>
      <c r="K49" s="88">
        <f>J49-I49</f>
        <v/>
      </c>
      <c r="L49" s="121">
        <f>+'MERMAS S1'!D45</f>
        <v/>
      </c>
      <c r="M49" s="301" t="n"/>
      <c r="N49" s="36">
        <f>IF(K49&lt;0,K49*L49,0)</f>
        <v/>
      </c>
      <c r="O49" s="4" t="n"/>
      <c r="P49" s="4" t="n"/>
      <c r="Q49" s="4" t="n"/>
    </row>
    <row r="50">
      <c r="B50" s="4" t="n"/>
      <c r="C50" s="30" t="n"/>
      <c r="D50" s="69" t="inlineStr">
        <is>
          <t>Granola salada</t>
        </is>
      </c>
      <c r="E50" s="244" t="n"/>
      <c r="F50" s="77">
        <f>IF(
SUMPRODUCT(--ISNUMBER(SEARCH(D50,$D$221:$D$242)))
+
SUMPRODUCT(--ISNUMBER(SEARCH(D50,$D$262:$D$267)))=0,
"Error",
SUMPRODUCT((ISNUMBER(SEARCH(D50,$D$221:$D$242)))*$E$221:$E$242)
+
SUMPRODUCT((ISNUMBER(SEARCH(D50,$D$262:$D$267)))*$E$262:$E$267)
)</f>
        <v/>
      </c>
      <c r="G50" s="77">
        <f>IFERROR(SUMPRODUCT(($F$66:$F$153=D50)*$E$66:$E$153*$G$66:$G$153),"Error")</f>
        <v/>
      </c>
      <c r="H50" s="77">
        <f>SUM(F209:I209)</f>
        <v/>
      </c>
      <c r="I50" s="77">
        <f>E50+F50-G50-H50</f>
        <v/>
      </c>
      <c r="J50" s="205">
        <f>E209</f>
        <v/>
      </c>
      <c r="K50" s="88">
        <f>J50-I50</f>
        <v/>
      </c>
      <c r="L50" s="121">
        <f>+'MERMAS S1'!D46</f>
        <v/>
      </c>
      <c r="M50" s="301" t="n"/>
      <c r="N50" s="36">
        <f>IF(K50&lt;0,K50*L50,0)</f>
        <v/>
      </c>
      <c r="O50" s="4" t="n"/>
      <c r="P50" s="4" t="n"/>
      <c r="Q50" s="4" t="n"/>
    </row>
    <row r="51">
      <c r="B51" s="4" t="n"/>
      <c r="C51" s="30" t="n"/>
      <c r="D51" s="69" t="inlineStr">
        <is>
          <t>Mix Conchas</t>
        </is>
      </c>
      <c r="E51" s="244" t="n"/>
      <c r="F51" s="77">
        <f>H253</f>
        <v/>
      </c>
      <c r="G51" s="77">
        <f>IFERROR(SUMPRODUCT(($F$66:$F$153=D51)*$E$66:$E$153*$G$66:$G$153),"Error")</f>
        <v/>
      </c>
      <c r="H51" s="77">
        <f>SUM(F210:I210)</f>
        <v/>
      </c>
      <c r="I51" s="77">
        <f>E51+F51-G51-H51</f>
        <v/>
      </c>
      <c r="J51" s="205">
        <f>E210</f>
        <v/>
      </c>
      <c r="K51" s="88">
        <f>J51-I51</f>
        <v/>
      </c>
      <c r="L51" s="121">
        <f>+'MERMAS S1'!D47</f>
        <v/>
      </c>
      <c r="M51" s="301" t="n"/>
      <c r="N51" s="36">
        <f>IF(K51&lt;0,K51*L51,0)</f>
        <v/>
      </c>
      <c r="O51" s="4" t="n"/>
      <c r="P51" s="4" t="n"/>
      <c r="Q51" s="4" t="n"/>
    </row>
    <row r="52">
      <c r="B52" s="4" t="n"/>
      <c r="C52" s="30" t="n"/>
      <c r="D52" s="69" t="inlineStr">
        <is>
          <t>Nutella</t>
        </is>
      </c>
      <c r="E52" s="244" t="n"/>
      <c r="F52" s="77">
        <f>H267</f>
        <v/>
      </c>
      <c r="G52" s="77">
        <f>J267</f>
        <v/>
      </c>
      <c r="H52" s="77">
        <f>SUM(F211:I211)</f>
        <v/>
      </c>
      <c r="I52" s="77">
        <f>E52+F52-G52-H52</f>
        <v/>
      </c>
      <c r="J52" s="205">
        <f>E211</f>
        <v/>
      </c>
      <c r="K52" s="88">
        <f>J52-I52</f>
        <v/>
      </c>
      <c r="L52" s="121">
        <f>+'MERMAS S1'!D48</f>
        <v/>
      </c>
      <c r="M52" s="301" t="n"/>
      <c r="N52" s="36">
        <f>IF(K52&lt;0,K52*L52,0)</f>
        <v/>
      </c>
      <c r="O52" s="4" t="n"/>
      <c r="P52" s="4" t="n"/>
      <c r="Q52" s="4" t="n"/>
    </row>
    <row r="53">
      <c r="B53" s="4" t="n"/>
      <c r="C53" s="30" t="n"/>
      <c r="D53" s="50" t="inlineStr">
        <is>
          <t>Queso Mozzarella</t>
        </is>
      </c>
      <c r="E53" s="244" t="n"/>
      <c r="F53" s="77">
        <f>E236</f>
        <v/>
      </c>
      <c r="G53" s="77">
        <f>IFERROR(SUMPRODUCT(($F$66:$F$153=D53)*$E$66:$E$153*$G$66:$G$153),"Error")</f>
        <v/>
      </c>
      <c r="H53" s="77">
        <f>SUM(F212:I212)</f>
        <v/>
      </c>
      <c r="I53" s="77">
        <f>E53+F53-G53-H53</f>
        <v/>
      </c>
      <c r="J53" s="205">
        <f>E212</f>
        <v/>
      </c>
      <c r="K53" s="88">
        <f>J53-I53</f>
        <v/>
      </c>
      <c r="L53" s="121">
        <f>+'MERMAS S1'!D49</f>
        <v/>
      </c>
      <c r="M53" s="301" t="n"/>
      <c r="N53" s="36">
        <f>IF(K53&lt;0,K53*L53,0)</f>
        <v/>
      </c>
      <c r="O53" s="4" t="n"/>
      <c r="P53" s="4" t="n"/>
      <c r="Q53" s="4" t="n"/>
    </row>
    <row r="54">
      <c r="B54" s="4" t="n"/>
      <c r="C54" s="30" t="n"/>
      <c r="D54" s="50" t="inlineStr">
        <is>
          <t>Sorrentinos carne mechada</t>
        </is>
      </c>
      <c r="E54" s="244" t="n"/>
      <c r="F54" s="77">
        <f>E240</f>
        <v/>
      </c>
      <c r="G54" s="77">
        <f>IFERROR(SUMPRODUCT(($F$66:$F$153=D54)*$E$66:$E$153*$G$66:$G$153),"Error")</f>
        <v/>
      </c>
      <c r="H54" s="77">
        <f>SUM(F213:I213)</f>
        <v/>
      </c>
      <c r="I54" s="77">
        <f>E54+F54-G54-H54</f>
        <v/>
      </c>
      <c r="J54" s="205">
        <f>E213</f>
        <v/>
      </c>
      <c r="K54" s="88">
        <f>J54-I54</f>
        <v/>
      </c>
      <c r="L54" s="121">
        <f>+'MERMAS S1'!D50</f>
        <v/>
      </c>
      <c r="M54" s="301" t="n"/>
      <c r="N54" s="36">
        <f>IF(K54&lt;0,K54*L54,0)</f>
        <v/>
      </c>
      <c r="O54" s="4" t="n"/>
      <c r="P54" s="4" t="n"/>
      <c r="Q54" s="4" t="n"/>
    </row>
    <row r="55">
      <c r="B55" s="4" t="n"/>
      <c r="C55" s="30" t="n"/>
      <c r="D55" s="50" t="inlineStr">
        <is>
          <t>Sorrentinos pulpo y salmón</t>
        </is>
      </c>
      <c r="E55" s="244" t="n"/>
      <c r="F55" s="77">
        <f>E241</f>
        <v/>
      </c>
      <c r="G55" s="77">
        <f>IFERROR(SUMPRODUCT(($F$66:$F$153=D55)*$E$66:$E$153*$G$66:$G$153),"Error")</f>
        <v/>
      </c>
      <c r="H55" s="77">
        <f>SUM(F214:I214)</f>
        <v/>
      </c>
      <c r="I55" s="77">
        <f>E55+F55-G55-H55</f>
        <v/>
      </c>
      <c r="J55" s="205">
        <f>E214</f>
        <v/>
      </c>
      <c r="K55" s="88">
        <f>J55-I55</f>
        <v/>
      </c>
      <c r="L55" s="121">
        <f>+'MERMAS S1'!D51</f>
        <v/>
      </c>
      <c r="M55" s="301" t="n"/>
      <c r="N55" s="36">
        <f>IF(K55&lt;0,K55*L55,0)</f>
        <v/>
      </c>
      <c r="O55" s="4" t="n"/>
      <c r="P55" s="4" t="n"/>
      <c r="Q55" s="4" t="n"/>
    </row>
    <row r="56">
      <c r="B56" s="4" t="n"/>
      <c r="C56" s="30" t="n"/>
      <c r="D56" s="50" t="inlineStr">
        <is>
          <t>Sorrentinos zapallo</t>
        </is>
      </c>
      <c r="E56" s="244" t="n"/>
      <c r="F56" s="77">
        <f>E242</f>
        <v/>
      </c>
      <c r="G56" s="77">
        <f>IFERROR(SUMPRODUCT(($F$66:$F$153=D56)*$E$66:$E$153*$G$66:$G$153),"Error")</f>
        <v/>
      </c>
      <c r="H56" s="77">
        <f>SUM(F215:I215)</f>
        <v/>
      </c>
      <c r="I56" s="77">
        <f>E56+F56-G56-H56</f>
        <v/>
      </c>
      <c r="J56" s="205">
        <f>E215</f>
        <v/>
      </c>
      <c r="K56" s="88">
        <f>J56-I56</f>
        <v/>
      </c>
      <c r="L56" s="121">
        <f>+'MERMAS S1'!D52</f>
        <v/>
      </c>
      <c r="M56" s="301" t="n"/>
      <c r="N56" s="36">
        <f>IF(K56&lt;0,K56*L56,0)</f>
        <v/>
      </c>
      <c r="O56" s="4" t="n"/>
      <c r="P56" s="4" t="n"/>
      <c r="Q56" s="4" t="n"/>
    </row>
    <row r="57" ht="13.5" customHeight="1" s="95" thickBot="1">
      <c r="B57" s="4" t="n"/>
      <c r="C57" s="30" t="n"/>
      <c r="D57" s="89" t="inlineStr">
        <is>
          <t>Volcán de Chocolate</t>
        </is>
      </c>
      <c r="E57" s="245" t="n"/>
      <c r="F57" s="166">
        <f>E267</f>
        <v/>
      </c>
      <c r="G57" s="166">
        <f>IFERROR(SUMPRODUCT(($F$66:$F$153=D57)*$E$66:$E$153*$G$66:$G$153),"Error")</f>
        <v/>
      </c>
      <c r="H57" s="166">
        <f>SUM(F216:I216)</f>
        <v/>
      </c>
      <c r="I57" s="166">
        <f>E57+F57-G57-H57</f>
        <v/>
      </c>
      <c r="J57" s="206">
        <f>E216</f>
        <v/>
      </c>
      <c r="K57" s="167">
        <f>J57-I57</f>
        <v/>
      </c>
      <c r="L57" s="131">
        <f>+'MERMAS S1'!D53</f>
        <v/>
      </c>
      <c r="M57" s="303" t="n"/>
      <c r="N57" s="110">
        <f>IF(K57&lt;0,K57*L57,0)</f>
        <v/>
      </c>
      <c r="O57" s="4" t="n"/>
      <c r="P57" s="4" t="n"/>
      <c r="Q57" s="4" t="n"/>
    </row>
    <row r="58" ht="13.5" customHeight="1" s="95" thickBot="1">
      <c r="B58" s="4" t="n"/>
      <c r="C58" s="4" t="n"/>
      <c r="D58" s="16" t="n"/>
      <c r="E58" s="9" t="n"/>
      <c r="F58" s="9" t="n"/>
      <c r="G58" s="9" t="n"/>
      <c r="H58" s="9" t="n"/>
      <c r="I58" s="8" t="n"/>
      <c r="J58" s="8" t="n"/>
      <c r="K58" s="8" t="n"/>
      <c r="L58" s="9" t="n"/>
      <c r="M58" s="4" t="n"/>
      <c r="N58" s="4" t="n"/>
      <c r="O58" s="4" t="n"/>
      <c r="P58" s="4" t="n"/>
      <c r="Q58" s="4" t="n"/>
    </row>
    <row r="59" ht="13.5" customHeight="1" s="95" thickBot="1">
      <c r="B59" s="4" t="n"/>
      <c r="C59" s="4" t="n"/>
      <c r="D59" s="16" t="n"/>
      <c r="E59" s="9" t="n"/>
      <c r="F59" s="9" t="n"/>
      <c r="G59" s="9" t="n"/>
      <c r="H59" s="17" t="n"/>
      <c r="I59" s="304" t="inlineStr">
        <is>
          <t>DIFERENCIAS PROMEDIO</t>
        </is>
      </c>
      <c r="J59" s="305" t="n"/>
      <c r="K59" s="11">
        <f>SUM(K37:K57)</f>
        <v/>
      </c>
      <c r="L59" s="4" t="n"/>
      <c r="M59" s="12" t="inlineStr">
        <is>
          <t>DCTO. TOTAL</t>
        </is>
      </c>
      <c r="N59" s="13">
        <f>SUM(N37:N57)</f>
        <v/>
      </c>
      <c r="O59" s="4" t="n"/>
      <c r="P59" s="4" t="n"/>
      <c r="Q59" s="4" t="n"/>
    </row>
    <row r="60"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</row>
    <row r="61"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</row>
    <row r="62"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</row>
    <row r="63" ht="13.5" customHeight="1" s="95" thickBot="1"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</row>
    <row r="64">
      <c r="B64" s="4" t="n"/>
      <c r="C64" s="197" t="inlineStr">
        <is>
          <t>VENTAS</t>
        </is>
      </c>
      <c r="D64" s="308" t="n"/>
      <c r="E64" s="308" t="n"/>
      <c r="F64" s="308" t="n"/>
      <c r="G64" s="308" t="n"/>
      <c r="H64" s="300" t="n"/>
      <c r="I64" s="55" t="n"/>
      <c r="J64" s="55" t="n"/>
      <c r="K64" s="55" t="n"/>
      <c r="L64" s="55" t="n"/>
      <c r="M64" s="55" t="n"/>
      <c r="N64" s="55" t="n"/>
      <c r="O64" s="4" t="n"/>
      <c r="P64" s="4" t="n"/>
      <c r="Q64" s="4" t="n"/>
    </row>
    <row r="65">
      <c r="B65" s="4" t="n"/>
      <c r="C65" s="200" t="inlineStr">
        <is>
          <t>Código</t>
        </is>
      </c>
      <c r="D65" s="196" t="inlineStr">
        <is>
          <t>Ítem</t>
        </is>
      </c>
      <c r="E65" s="196" t="inlineStr">
        <is>
          <t xml:space="preserve">Vendido </t>
        </is>
      </c>
      <c r="F65" s="196" t="inlineStr">
        <is>
          <t>Producto</t>
        </is>
      </c>
      <c r="G65" s="196" t="inlineStr">
        <is>
          <t>Cantidad</t>
        </is>
      </c>
      <c r="H65" s="201" t="inlineStr">
        <is>
          <t>Medida</t>
        </is>
      </c>
      <c r="I65" s="56" t="n"/>
      <c r="J65" s="56" t="n"/>
      <c r="K65" s="56" t="n"/>
      <c r="L65" s="56" t="n"/>
      <c r="M65" s="56" t="n"/>
      <c r="N65" s="56" t="n"/>
      <c r="O65" s="4" t="n"/>
      <c r="P65" s="4" t="n"/>
      <c r="Q65" s="4" t="n"/>
    </row>
    <row r="66">
      <c r="B66" s="4" t="n"/>
      <c r="C66" s="96" t="inlineStr">
        <is>
          <t>VECARAGR013</t>
        </is>
      </c>
      <c r="D66" s="18" t="inlineStr">
        <is>
          <t>Age Salmon Ahumado</t>
        </is>
      </c>
      <c r="E66" s="207">
        <f>IFERROR(
IF(
INDEX($K$272:$K$977,MATCH(C66,$B$272:$B$977,0))&lt;&gt;0,
INDEX($K$272:$K$977,MATCH(C66,$B$272:$B$977,0)),
INDEX($L$272:$L$977,MATCH(C66,$B$272:$B$977,0))
),
0)</f>
        <v/>
      </c>
      <c r="F66" s="1" t="inlineStr">
        <is>
          <t>Salmón ahumado en Caliente</t>
        </is>
      </c>
      <c r="G66" s="52" t="n">
        <v>0.12</v>
      </c>
      <c r="H66" s="81" t="inlineStr">
        <is>
          <t>Kg</t>
        </is>
      </c>
      <c r="I66" s="79" t="n"/>
      <c r="J66" s="78" t="n"/>
      <c r="K66" s="79" t="n"/>
      <c r="L66" s="80" t="n"/>
      <c r="M66" s="80" t="n"/>
      <c r="N66" s="80" t="n"/>
      <c r="O66" s="4" t="n"/>
      <c r="P66" s="4" t="n"/>
      <c r="Q66" s="4" t="n"/>
    </row>
    <row r="67">
      <c r="B67" s="4" t="n"/>
      <c r="C67" s="96" t="inlineStr">
        <is>
          <t>VECARAGR007</t>
        </is>
      </c>
      <c r="D67" s="18" t="inlineStr">
        <is>
          <t>Agr. Jamon Crudo</t>
        </is>
      </c>
      <c r="E67" s="207">
        <f>IFERROR(
IF(
INDEX($K$272:$K$977,MATCH(C67,$B$272:$B$977,0))&lt;&gt;0,
INDEX($K$272:$K$977,MATCH(C67,$B$272:$B$977,0)),
INDEX($L$272:$L$977,MATCH(C67,$B$272:$B$977,0))
),
0)</f>
        <v/>
      </c>
      <c r="F67" s="1" t="inlineStr">
        <is>
          <t>Jamón serrano</t>
        </is>
      </c>
      <c r="G67" s="52" t="n">
        <v>0.03</v>
      </c>
      <c r="H67" s="81" t="inlineStr">
        <is>
          <t>Kg</t>
        </is>
      </c>
      <c r="I67" s="79" t="n"/>
      <c r="J67" s="78" t="n"/>
      <c r="K67" s="79" t="n"/>
      <c r="L67" s="80" t="n"/>
      <c r="M67" s="80" t="n"/>
      <c r="N67" s="80" t="n"/>
      <c r="O67" s="4" t="n"/>
      <c r="P67" s="4" t="n"/>
      <c r="Q67" s="4" t="n"/>
    </row>
    <row r="68">
      <c r="B68" s="4" t="n"/>
      <c r="C68" s="96" t="inlineStr">
        <is>
          <t>VECARENT001</t>
        </is>
      </c>
      <c r="D68" s="18" t="inlineStr">
        <is>
          <t>Atún Apanado</t>
        </is>
      </c>
      <c r="E68" s="207">
        <f>IFERROR(
IF(
INDEX($K$272:$K$977,MATCH(C68,$B$272:$B$977,0))&lt;&gt;0,
INDEX($K$272:$K$977,MATCH(C68,$B$272:$B$977,0)),
INDEX($L$272:$L$977,MATCH(C68,$B$272:$B$977,0))
),
0)</f>
        <v/>
      </c>
      <c r="F68" s="1" t="inlineStr">
        <is>
          <t>Atún Steak</t>
        </is>
      </c>
      <c r="G68" s="52" t="n">
        <v>0.18</v>
      </c>
      <c r="H68" s="81" t="inlineStr">
        <is>
          <t>Kg</t>
        </is>
      </c>
      <c r="I68" s="79" t="n"/>
      <c r="J68" s="78" t="n"/>
      <c r="K68" s="79" t="n"/>
      <c r="L68" s="80" t="n"/>
      <c r="M68" s="80" t="n"/>
      <c r="N68" s="80" t="n"/>
      <c r="O68" s="20" t="n"/>
      <c r="P68" s="4" t="n"/>
      <c r="Q68" s="4" t="n"/>
    </row>
    <row r="69">
      <c r="B69" s="4" t="n"/>
      <c r="C69" s="96" t="inlineStr">
        <is>
          <t>VECARFJT001</t>
        </is>
      </c>
      <c r="D69" s="18" t="inlineStr">
        <is>
          <t>Atún Sellado JT</t>
        </is>
      </c>
      <c r="E69" s="207">
        <f>IFERROR(
IF(
INDEX($K$272:$K$977,MATCH(C69,$B$272:$B$977,0))&lt;&gt;0,
INDEX($K$272:$K$977,MATCH(C69,$B$272:$B$977,0)),
INDEX($L$272:$L$977,MATCH(C69,$B$272:$B$977,0))
),
0)</f>
        <v/>
      </c>
      <c r="F69" s="1" t="inlineStr">
        <is>
          <t>Atún Steak</t>
        </is>
      </c>
      <c r="G69" s="52" t="n">
        <v>0.18</v>
      </c>
      <c r="H69" s="81" t="inlineStr">
        <is>
          <t>Kg</t>
        </is>
      </c>
      <c r="I69" s="79" t="n"/>
      <c r="J69" s="78" t="n"/>
      <c r="K69" s="79" t="n"/>
      <c r="L69" s="80" t="n"/>
      <c r="M69" s="80" t="n"/>
      <c r="N69" s="80" t="n"/>
      <c r="O69" s="20" t="n"/>
      <c r="P69" s="4" t="n"/>
      <c r="Q69" s="4" t="n"/>
    </row>
    <row r="70">
      <c r="B70" s="4" t="n"/>
      <c r="C70" s="96" t="inlineStr">
        <is>
          <t>VECARFON002</t>
        </is>
      </c>
      <c r="D70" s="18" t="inlineStr">
        <is>
          <t>Atún Risotto</t>
        </is>
      </c>
      <c r="E70" s="207">
        <f>IFERROR(
IF(
INDEX($K$272:$K$977,MATCH(C70,$B$272:$B$977,0))&lt;&gt;0,
INDEX($K$272:$K$977,MATCH(C70,$B$272:$B$977,0)),
INDEX($L$272:$L$977,MATCH(C70,$B$272:$B$977,0))
),
0)</f>
        <v/>
      </c>
      <c r="F70" s="1" t="inlineStr">
        <is>
          <t>Atún Steak</t>
        </is>
      </c>
      <c r="G70" s="52" t="n">
        <v>0.18</v>
      </c>
      <c r="H70" s="81" t="inlineStr">
        <is>
          <t>Kg</t>
        </is>
      </c>
      <c r="I70" s="79" t="n"/>
      <c r="J70" s="78" t="n"/>
      <c r="K70" s="79" t="n"/>
      <c r="L70" s="80" t="n"/>
      <c r="M70" s="80" t="n"/>
      <c r="N70" s="80" t="n"/>
      <c r="O70" s="20" t="n"/>
      <c r="P70" s="4" t="n"/>
      <c r="Q70" s="4" t="n"/>
    </row>
    <row r="71">
      <c r="B71" s="4" t="n"/>
      <c r="C71" s="96" t="inlineStr">
        <is>
          <t>VECARFUB001</t>
        </is>
      </c>
      <c r="D71" s="18" t="inlineStr">
        <is>
          <t>Atún Risotto PY</t>
        </is>
      </c>
      <c r="E71" s="207">
        <f>IFERROR(
IF(
INDEX($K$272:$K$977,MATCH(C71,$B$272:$B$977,0))&lt;&gt;0,
INDEX($K$272:$K$977,MATCH(C71,$B$272:$B$977,0)),
INDEX($L$272:$L$977,MATCH(C71,$B$272:$B$977,0))
),
0)</f>
        <v/>
      </c>
      <c r="F71" s="1" t="inlineStr">
        <is>
          <t>Atún Steak</t>
        </is>
      </c>
      <c r="G71" s="52" t="n">
        <v>0.18</v>
      </c>
      <c r="H71" s="81" t="inlineStr">
        <is>
          <t>Kg</t>
        </is>
      </c>
      <c r="I71" s="79" t="n"/>
      <c r="J71" s="78" t="n"/>
      <c r="K71" s="79" t="n"/>
      <c r="L71" s="80" t="n"/>
      <c r="M71" s="80" t="n"/>
      <c r="N71" s="80" t="n"/>
      <c r="O71" s="20" t="n"/>
      <c r="P71" s="4" t="n"/>
      <c r="Q71" s="4" t="n"/>
    </row>
    <row r="72">
      <c r="B72" s="4" t="n"/>
      <c r="C72" s="96" t="inlineStr">
        <is>
          <t>VECARENT034</t>
        </is>
      </c>
      <c r="D72" s="18" t="inlineStr">
        <is>
          <t>Brocheta Langostino</t>
        </is>
      </c>
      <c r="E72" s="207">
        <f>IFERROR(
IF(
INDEX($K$272:$K$977,MATCH(C72,$B$272:$B$977,0))&lt;&gt;0,
INDEX($K$272:$K$977,MATCH(C72,$B$272:$B$977,0)),
INDEX($L$272:$L$977,MATCH(C72,$B$272:$B$977,0))
),
0)</f>
        <v/>
      </c>
      <c r="F72" s="1" t="inlineStr">
        <is>
          <t>Langostinos</t>
        </is>
      </c>
      <c r="G72" s="52" t="n">
        <v>1</v>
      </c>
      <c r="H72" s="81" t="inlineStr">
        <is>
          <t>Und</t>
        </is>
      </c>
      <c r="I72" s="79" t="n"/>
      <c r="J72" s="78" t="n"/>
      <c r="K72" s="79" t="n"/>
      <c r="L72" s="80" t="n"/>
      <c r="M72" s="80" t="n"/>
      <c r="N72" s="80" t="n"/>
      <c r="O72" s="20" t="n"/>
      <c r="P72" s="4" t="n"/>
      <c r="Q72" s="4" t="n"/>
    </row>
    <row r="73">
      <c r="B73" s="4" t="n"/>
      <c r="C73" s="96" t="inlineStr">
        <is>
          <t>VECARPOS013</t>
        </is>
      </c>
      <c r="D73" s="18" t="inlineStr">
        <is>
          <t>Brownie Choc Vegano</t>
        </is>
      </c>
      <c r="E73" s="207">
        <f>IFERROR(
IF(
INDEX($K$272:$K$977,MATCH(C73,$B$272:$B$977,0))&lt;&gt;0,
INDEX($K$272:$K$977,MATCH(C73,$B$272:$B$977,0)),
INDEX($L$272:$L$977,MATCH(C73,$B$272:$B$977,0))
),
0)</f>
        <v/>
      </c>
      <c r="F73" s="18" t="inlineStr">
        <is>
          <t>Brownie Vegano</t>
        </is>
      </c>
      <c r="G73" s="52" t="n">
        <v>1</v>
      </c>
      <c r="H73" s="81" t="inlineStr">
        <is>
          <t>Kg</t>
        </is>
      </c>
      <c r="I73" s="79" t="n"/>
      <c r="J73" s="78" t="n"/>
      <c r="K73" s="79" t="n"/>
      <c r="L73" s="80" t="n"/>
      <c r="M73" s="80" t="n"/>
      <c r="N73" s="80" t="n"/>
      <c r="O73" s="20" t="n"/>
      <c r="P73" s="4" t="n"/>
      <c r="Q73" s="4" t="n"/>
    </row>
    <row r="74">
      <c r="B74" s="4" t="n"/>
      <c r="C74" s="96" t="inlineStr">
        <is>
          <t>VECARPOS024</t>
        </is>
      </c>
      <c r="D74" s="18" t="inlineStr">
        <is>
          <t>Brownie Nutella</t>
        </is>
      </c>
      <c r="E74" s="207">
        <f>IFERROR(
IF(
INDEX($K$272:$K$977,MATCH(C74,$B$272:$B$977,0))&lt;&gt;0,
INDEX($K$272:$K$977,MATCH(C74,$B$272:$B$977,0)),
INDEX($L$272:$L$977,MATCH(C74,$B$272:$B$977,0))
),
0)</f>
        <v/>
      </c>
      <c r="F74" s="18" t="inlineStr">
        <is>
          <t>Brownie Nutella</t>
        </is>
      </c>
      <c r="G74" s="52" t="n">
        <v>1</v>
      </c>
      <c r="H74" s="81" t="inlineStr">
        <is>
          <t>Kg</t>
        </is>
      </c>
      <c r="I74" s="79" t="n"/>
      <c r="J74" s="78" t="n"/>
      <c r="K74" s="79" t="n"/>
      <c r="L74" s="80" t="n"/>
      <c r="M74" s="80" t="n"/>
      <c r="N74" s="80" t="n"/>
      <c r="O74" s="4" t="n"/>
      <c r="P74" s="4" t="n"/>
      <c r="Q74" s="4" t="n"/>
    </row>
    <row r="75">
      <c r="B75" s="4" t="n"/>
      <c r="C75" s="96" t="inlineStr">
        <is>
          <t>VECARPUB012</t>
        </is>
      </c>
      <c r="D75" s="18" t="inlineStr">
        <is>
          <t>Brownie Nutella  PY</t>
        </is>
      </c>
      <c r="E75" s="207">
        <f>IFERROR(
IF(
INDEX($K$272:$K$977,MATCH(C75,$B$272:$B$977,0))&lt;&gt;0,
INDEX($K$272:$K$977,MATCH(C75,$B$272:$B$977,0)),
INDEX($L$272:$L$977,MATCH(C75,$B$272:$B$977,0))
),
0)</f>
        <v/>
      </c>
      <c r="F75" s="18" t="inlineStr">
        <is>
          <t>Brownie Nutella</t>
        </is>
      </c>
      <c r="G75" s="52" t="n">
        <v>1</v>
      </c>
      <c r="H75" s="81" t="inlineStr">
        <is>
          <t>Kg</t>
        </is>
      </c>
      <c r="I75" s="79" t="n"/>
      <c r="J75" s="78" t="n"/>
      <c r="K75" s="79" t="n"/>
      <c r="L75" s="80" t="n"/>
      <c r="M75" s="80" t="n"/>
      <c r="N75" s="80" t="n"/>
      <c r="O75" s="4" t="n"/>
      <c r="P75" s="4" t="n"/>
      <c r="Q75" s="4" t="n"/>
    </row>
    <row r="76">
      <c r="B76" s="4" t="n"/>
      <c r="C76" s="96" t="inlineStr">
        <is>
          <t>VECARPJT005</t>
        </is>
      </c>
      <c r="D76" s="18" t="inlineStr">
        <is>
          <t>Brownie Vegano JT</t>
        </is>
      </c>
      <c r="E76" s="207">
        <f>IFERROR(
IF(
INDEX($K$272:$K$977,MATCH(C76,$B$272:$B$977,0))&lt;&gt;0,
INDEX($K$272:$K$977,MATCH(C76,$B$272:$B$977,0)),
INDEX($L$272:$L$977,MATCH(C76,$B$272:$B$977,0))
),
0)</f>
        <v/>
      </c>
      <c r="F76" s="18" t="inlineStr">
        <is>
          <t>Brownie Vegano</t>
        </is>
      </c>
      <c r="G76" s="52" t="n">
        <v>1</v>
      </c>
      <c r="H76" s="81" t="inlineStr">
        <is>
          <t>Kg</t>
        </is>
      </c>
      <c r="I76" s="79" t="n"/>
      <c r="J76" s="78" t="n"/>
      <c r="K76" s="79" t="n"/>
      <c r="L76" s="80" t="n"/>
      <c r="M76" s="80" t="n"/>
      <c r="N76" s="80" t="n"/>
      <c r="O76" s="4" t="n"/>
      <c r="P76" s="4" t="n"/>
      <c r="Q76" s="4" t="n"/>
    </row>
    <row r="77">
      <c r="B77" s="4" t="n"/>
      <c r="C77" s="96" t="inlineStr">
        <is>
          <t>VECARPUB005</t>
        </is>
      </c>
      <c r="D77" s="18" t="inlineStr">
        <is>
          <t>Brownie Vegano PY</t>
        </is>
      </c>
      <c r="E77" s="207">
        <f>IFERROR(
IF(
INDEX($K$272:$K$977,MATCH(C77,$B$272:$B$977,0))&lt;&gt;0,
INDEX($K$272:$K$977,MATCH(C77,$B$272:$B$977,0)),
INDEX($L$272:$L$977,MATCH(C77,$B$272:$B$977,0))
),
0)</f>
        <v/>
      </c>
      <c r="F77" s="18" t="inlineStr">
        <is>
          <t>Brownie Vegano</t>
        </is>
      </c>
      <c r="G77" s="52" t="n">
        <v>1</v>
      </c>
      <c r="H77" s="81" t="inlineStr">
        <is>
          <t>Kg</t>
        </is>
      </c>
      <c r="I77" s="79" t="n"/>
      <c r="J77" s="78" t="n"/>
      <c r="K77" s="79" t="n"/>
      <c r="L77" s="80" t="n"/>
      <c r="M77" s="80" t="n"/>
      <c r="N77" s="80" t="n"/>
      <c r="O77" s="20" t="n"/>
      <c r="P77" s="4" t="n"/>
      <c r="Q77" s="4" t="n"/>
    </row>
    <row r="78">
      <c r="B78" s="4" t="n"/>
      <c r="C78" s="96" t="inlineStr">
        <is>
          <t>VECARFON067</t>
        </is>
      </c>
      <c r="D78" s="18" t="inlineStr">
        <is>
          <t>Carne Desmechada con Ñoquis</t>
        </is>
      </c>
      <c r="E78" s="207">
        <f>IFERROR(
IF(
INDEX($K$272:$K$977,MATCH(C78,$B$272:$B$977,0))&lt;&gt;0,
INDEX($K$272:$K$977,MATCH(C78,$B$272:$B$977,0)),
INDEX($L$272:$L$977,MATCH(C78,$B$272:$B$977,0))
),
0)</f>
        <v/>
      </c>
      <c r="F78" s="18" t="inlineStr">
        <is>
          <t>Ganso</t>
        </is>
      </c>
      <c r="G78" s="52" t="n">
        <v>0.12</v>
      </c>
      <c r="H78" s="81" t="inlineStr">
        <is>
          <t>Kg</t>
        </is>
      </c>
      <c r="I78" s="79" t="n"/>
      <c r="J78" s="78" t="n"/>
      <c r="K78" s="79" t="n"/>
      <c r="L78" s="80" t="n"/>
      <c r="M78" s="80" t="n"/>
      <c r="N78" s="80" t="n"/>
      <c r="O78" s="20" t="n"/>
      <c r="P78" s="4" t="n"/>
      <c r="Q78" s="4" t="n"/>
    </row>
    <row r="79">
      <c r="B79" s="4" t="n"/>
      <c r="C79" s="96" t="inlineStr">
        <is>
          <t>VECARAUB013</t>
        </is>
      </c>
      <c r="D79" s="18" t="inlineStr">
        <is>
          <t>Carpaccio de Res Margó PY</t>
        </is>
      </c>
      <c r="E79" s="207">
        <f>IFERROR(
IF(
INDEX($K$272:$K$977,MATCH(C79,$B$272:$B$977,0))&lt;&gt;0,
INDEX($K$272:$K$977,MATCH(C79,$B$272:$B$977,0)),
INDEX($L$272:$L$977,MATCH(C79,$B$272:$B$977,0))
),
0)</f>
        <v/>
      </c>
      <c r="F79" s="1" t="inlineStr">
        <is>
          <t>Carpaccio de res</t>
        </is>
      </c>
      <c r="G79" s="52" t="n">
        <v>0.12</v>
      </c>
      <c r="H79" s="81" t="inlineStr">
        <is>
          <t>Kg</t>
        </is>
      </c>
      <c r="I79" s="79" t="n"/>
      <c r="J79" s="78" t="n"/>
      <c r="K79" s="79" t="n"/>
      <c r="L79" s="80" t="n"/>
      <c r="M79" s="80" t="n"/>
      <c r="N79" s="80" t="n"/>
      <c r="O79" s="20" t="n"/>
      <c r="P79" s="4" t="n"/>
      <c r="Q79" s="4" t="n"/>
    </row>
    <row r="80">
      <c r="B80" s="4" t="n"/>
      <c r="C80" s="96" t="inlineStr">
        <is>
          <t>VECARENT002</t>
        </is>
      </c>
      <c r="D80" s="18" t="inlineStr">
        <is>
          <t>Carpaccio Filete Res</t>
        </is>
      </c>
      <c r="E80" s="207">
        <f>IFERROR(
IF(
INDEX($K$272:$K$977,MATCH(C80,$B$272:$B$977,0))&lt;&gt;0,
INDEX($K$272:$K$977,MATCH(C80,$B$272:$B$977,0)),
INDEX($L$272:$L$977,MATCH(C80,$B$272:$B$977,0))
),
0)</f>
        <v/>
      </c>
      <c r="F80" s="1" t="inlineStr">
        <is>
          <t>Carpaccio de res</t>
        </is>
      </c>
      <c r="G80" s="52" t="n">
        <v>0.12</v>
      </c>
      <c r="H80" s="81" t="inlineStr">
        <is>
          <t>Kg</t>
        </is>
      </c>
      <c r="I80" s="79" t="n"/>
      <c r="J80" s="78" t="n"/>
      <c r="K80" s="79" t="n"/>
      <c r="L80" s="80" t="n"/>
      <c r="M80" s="80" t="n"/>
      <c r="N80" s="80" t="n"/>
      <c r="O80" s="20" t="n"/>
      <c r="P80" s="4" t="n"/>
      <c r="Q80" s="4" t="n"/>
    </row>
    <row r="81">
      <c r="B81" s="4" t="n"/>
      <c r="C81" s="96" t="inlineStr">
        <is>
          <t>VECARFON004</t>
        </is>
      </c>
      <c r="D81" s="18" t="inlineStr">
        <is>
          <t>Caldillo de Congrio</t>
        </is>
      </c>
      <c r="E81" s="207">
        <f>IFERROR(
IF(
INDEX($K$272:$K$977,MATCH(C81,$B$272:$B$977,0))&lt;&gt;0,
INDEX($K$272:$K$977,MATCH(C81,$B$272:$B$977,0)),
INDEX($L$272:$L$977,MATCH(C81,$B$272:$B$977,0))
),
0)</f>
        <v/>
      </c>
      <c r="F81" s="1" t="inlineStr">
        <is>
          <t>Congrio</t>
        </is>
      </c>
      <c r="G81" s="52" t="n">
        <v>0.15</v>
      </c>
      <c r="H81" s="81" t="inlineStr">
        <is>
          <t>Kg</t>
        </is>
      </c>
      <c r="I81" s="79" t="n"/>
      <c r="J81" s="78" t="n"/>
      <c r="K81" s="79" t="n"/>
      <c r="L81" s="80" t="n"/>
      <c r="M81" s="80" t="n"/>
      <c r="N81" s="80" t="n"/>
      <c r="O81" s="20" t="n"/>
      <c r="P81" s="4" t="n"/>
      <c r="Q81" s="4" t="n"/>
    </row>
    <row r="82">
      <c r="B82" s="4" t="n"/>
      <c r="C82" s="96" t="inlineStr">
        <is>
          <t>VECARFON004</t>
        </is>
      </c>
      <c r="D82" s="18" t="inlineStr">
        <is>
          <t>Caldillo de Congrio</t>
        </is>
      </c>
      <c r="E82" s="207">
        <f>IFERROR(
IF(
INDEX($K$272:$K$977,MATCH(C82,$B$272:$B$977,0))&lt;&gt;0,
INDEX($K$272:$K$977,MATCH(C82,$B$272:$B$977,0)),
INDEX($L$272:$L$977,MATCH(C82,$B$272:$B$977,0))
),
0)</f>
        <v/>
      </c>
      <c r="F82" s="1" t="inlineStr">
        <is>
          <t>Mix Conchas</t>
        </is>
      </c>
      <c r="G82" s="52" t="n">
        <v>1</v>
      </c>
      <c r="H82" s="81" t="inlineStr">
        <is>
          <t>Porción</t>
        </is>
      </c>
      <c r="I82" s="79" t="n"/>
      <c r="J82" s="78" t="n"/>
      <c r="K82" s="79" t="n"/>
      <c r="L82" s="80" t="n"/>
      <c r="M82" s="80" t="n"/>
      <c r="N82" s="80" t="n"/>
      <c r="O82" s="20" t="n"/>
      <c r="P82" s="4" t="n"/>
      <c r="Q82" s="4" t="n"/>
    </row>
    <row r="83">
      <c r="B83" s="4" t="n"/>
      <c r="C83" s="97" t="inlineStr">
        <is>
          <t>VECARENT003</t>
        </is>
      </c>
      <c r="D83" s="18" t="inlineStr">
        <is>
          <t>Ceviche Margo</t>
        </is>
      </c>
      <c r="E83" s="207">
        <f>IFERROR(
IF(
INDEX($K$272:$K$977,MATCH(C83,$B$272:$B$977,0))&lt;&gt;0,
INDEX($K$272:$K$977,MATCH(C83,$B$272:$B$977,0)),
INDEX($L$272:$L$977,MATCH(C83,$B$272:$B$977,0))
),
0)</f>
        <v/>
      </c>
      <c r="F83" s="1" t="inlineStr">
        <is>
          <t>Reineta</t>
        </is>
      </c>
      <c r="G83" s="52" t="n">
        <v>0.1</v>
      </c>
      <c r="H83" s="81" t="inlineStr">
        <is>
          <t>Kg</t>
        </is>
      </c>
      <c r="I83" s="79" t="n"/>
      <c r="J83" s="78" t="n"/>
      <c r="K83" s="79" t="n"/>
      <c r="L83" s="80" t="n"/>
      <c r="M83" s="80" t="n"/>
      <c r="N83" s="80" t="n"/>
      <c r="O83" s="20" t="n"/>
      <c r="P83" s="4" t="n"/>
      <c r="Q83" s="4" t="n"/>
    </row>
    <row r="84">
      <c r="B84" s="4" t="n"/>
      <c r="C84" s="96" t="inlineStr">
        <is>
          <t>VECARPOS015</t>
        </is>
      </c>
      <c r="D84" s="122" t="inlineStr">
        <is>
          <t>Cheesecake Berries</t>
        </is>
      </c>
      <c r="E84" s="207">
        <f>IFERROR(
IF(
INDEX($K$272:$K$977,MATCH(C84,$B$272:$B$977,0))&lt;&gt;0,
INDEX($K$272:$K$977,MATCH(C84,$B$272:$B$977,0)),
INDEX($L$272:$L$977,MATCH(C84,$B$272:$B$977,0))
),
0)</f>
        <v/>
      </c>
      <c r="F84" s="1" t="inlineStr">
        <is>
          <t>Cheesecake Berries</t>
        </is>
      </c>
      <c r="G84" s="52" t="n">
        <v>1</v>
      </c>
      <c r="H84" s="81" t="inlineStr">
        <is>
          <t>Kg</t>
        </is>
      </c>
      <c r="I84" s="79" t="n"/>
      <c r="J84" s="78" t="n"/>
      <c r="K84" s="79" t="n"/>
      <c r="L84" s="80" t="n"/>
      <c r="M84" s="80" t="n"/>
      <c r="N84" s="80" t="n"/>
      <c r="O84" s="20" t="n"/>
      <c r="P84" s="4" t="n"/>
      <c r="Q84" s="4" t="n"/>
    </row>
    <row r="85">
      <c r="B85" s="4" t="n"/>
      <c r="C85" s="96" t="inlineStr">
        <is>
          <t>VECARPUB006</t>
        </is>
      </c>
      <c r="D85" s="122" t="inlineStr">
        <is>
          <t>Cheesecake Berries PY</t>
        </is>
      </c>
      <c r="E85" s="207">
        <f>IFERROR(
IF(
INDEX($K$272:$K$977,MATCH(C85,$B$272:$B$977,0))&lt;&gt;0,
INDEX($K$272:$K$977,MATCH(C85,$B$272:$B$977,0)),
INDEX($L$272:$L$977,MATCH(C85,$B$272:$B$977,0))
),
0)</f>
        <v/>
      </c>
      <c r="F85" s="1" t="inlineStr">
        <is>
          <t>Cheesecake Berries</t>
        </is>
      </c>
      <c r="G85" s="52" t="n">
        <v>1</v>
      </c>
      <c r="H85" s="81" t="inlineStr">
        <is>
          <t>Kg</t>
        </is>
      </c>
      <c r="I85" s="79" t="n"/>
      <c r="J85" s="78" t="n"/>
      <c r="K85" s="79" t="n"/>
      <c r="L85" s="80" t="n"/>
      <c r="M85" s="80" t="n"/>
      <c r="N85" s="80" t="n"/>
      <c r="O85" s="20" t="n"/>
      <c r="P85" s="4" t="n"/>
      <c r="Q85" s="4" t="n"/>
    </row>
    <row r="86">
      <c r="B86" s="4" t="n"/>
      <c r="C86" s="96" t="inlineStr">
        <is>
          <t>VECARPJT006</t>
        </is>
      </c>
      <c r="D86" s="122" t="inlineStr">
        <is>
          <t>Cheesecake Berries JT</t>
        </is>
      </c>
      <c r="E86" s="207">
        <f>IFERROR(
IF(
INDEX($K$272:$K$977,MATCH(C86,$B$272:$B$977,0))&lt;&gt;0,
INDEX($K$272:$K$977,MATCH(C86,$B$272:$B$977,0)),
INDEX($L$272:$L$977,MATCH(C86,$B$272:$B$977,0))
),
0)</f>
        <v/>
      </c>
      <c r="F86" s="1" t="inlineStr">
        <is>
          <t>Cheesecake Berries</t>
        </is>
      </c>
      <c r="G86" s="52" t="n">
        <v>1</v>
      </c>
      <c r="H86" s="81" t="inlineStr">
        <is>
          <t>Kg</t>
        </is>
      </c>
      <c r="I86" s="79" t="n"/>
      <c r="J86" s="78" t="n"/>
      <c r="K86" s="79" t="n"/>
      <c r="L86" s="80" t="n"/>
      <c r="M86" s="80" t="n"/>
      <c r="N86" s="80" t="n"/>
      <c r="O86" s="20" t="n"/>
      <c r="P86" s="4" t="n"/>
      <c r="Q86" s="4" t="n"/>
    </row>
    <row r="87" ht="15" customHeight="1" s="95">
      <c r="B87" s="4" t="n"/>
      <c r="C87" s="96" t="inlineStr">
        <is>
          <t>VECARPOS003</t>
        </is>
      </c>
      <c r="D87" s="18" t="inlineStr">
        <is>
          <t>Cheesecake Limón</t>
        </is>
      </c>
      <c r="E87" s="207">
        <f>IFERROR(
IF(
INDEX($K$272:$K$977,MATCH(C87,$B$272:$B$977,0))&lt;&gt;0,
INDEX($K$272:$K$977,MATCH(C87,$B$272:$B$977,0)),
INDEX($L$272:$L$977,MATCH(C87,$B$272:$B$977,0))
),
0)</f>
        <v/>
      </c>
      <c r="F87" s="1" t="inlineStr">
        <is>
          <t>Cheesecake de Limón</t>
        </is>
      </c>
      <c r="G87" s="52" t="n">
        <v>1</v>
      </c>
      <c r="H87" s="81" t="inlineStr">
        <is>
          <t>Kg</t>
        </is>
      </c>
      <c r="I87" s="79" t="n"/>
      <c r="J87" s="78" t="n"/>
      <c r="K87" s="79" t="n"/>
      <c r="L87" s="80" t="n"/>
      <c r="M87" s="80" t="n"/>
      <c r="N87" s="80" t="n"/>
      <c r="O87" s="20" t="n"/>
      <c r="P87" s="4" t="n"/>
      <c r="Q87" s="4" t="n"/>
    </row>
    <row r="88" ht="15" customHeight="1" s="95">
      <c r="B88" s="4" t="n"/>
      <c r="C88" s="96" t="inlineStr">
        <is>
          <t>VECARPJT011</t>
        </is>
      </c>
      <c r="D88" s="18" t="inlineStr">
        <is>
          <t>Cheesecake Limón JT</t>
        </is>
      </c>
      <c r="E88" s="207">
        <f>IFERROR(
IF(
INDEX($K$272:$K$977,MATCH(C88,$B$272:$B$977,0))&lt;&gt;0,
INDEX($K$272:$K$977,MATCH(C88,$B$272:$B$977,0)),
INDEX($L$272:$L$977,MATCH(C88,$B$272:$B$977,0))
),
0)</f>
        <v/>
      </c>
      <c r="F88" s="1" t="inlineStr">
        <is>
          <t>Cheesecake de Limón</t>
        </is>
      </c>
      <c r="G88" s="52" t="n">
        <v>1</v>
      </c>
      <c r="H88" s="81" t="inlineStr">
        <is>
          <t>Kg</t>
        </is>
      </c>
      <c r="I88" s="79" t="n"/>
      <c r="J88" s="78" t="n"/>
      <c r="K88" s="79" t="n"/>
      <c r="L88" s="80" t="n"/>
      <c r="M88" s="80" t="n"/>
      <c r="N88" s="80" t="n"/>
      <c r="O88" s="20" t="n"/>
      <c r="P88" s="4" t="n"/>
      <c r="Q88" s="4" t="n"/>
    </row>
    <row r="89">
      <c r="B89" s="4" t="n"/>
      <c r="C89" s="96" t="inlineStr">
        <is>
          <t>VECARPUB011</t>
        </is>
      </c>
      <c r="D89" s="18" t="inlineStr">
        <is>
          <t>Cheesecake Limón PY</t>
        </is>
      </c>
      <c r="E89" s="207">
        <f>IFERROR(
IF(
INDEX($K$272:$K$977,MATCH(C89,$B$272:$B$977,0))&lt;&gt;0,
INDEX($K$272:$K$977,MATCH(C89,$B$272:$B$977,0)),
INDEX($L$272:$L$977,MATCH(C89,$B$272:$B$977,0))
),
0)</f>
        <v/>
      </c>
      <c r="F89" s="1" t="inlineStr">
        <is>
          <t>Cheesecake de Limón</t>
        </is>
      </c>
      <c r="G89" s="52" t="n">
        <v>1</v>
      </c>
      <c r="H89" s="81" t="inlineStr">
        <is>
          <t>Kg</t>
        </is>
      </c>
      <c r="I89" s="79" t="n"/>
      <c r="J89" s="78" t="n"/>
      <c r="K89" s="79" t="n"/>
      <c r="L89" s="80" t="n"/>
      <c r="M89" s="80" t="n"/>
      <c r="N89" s="80" t="n"/>
      <c r="O89" s="20" t="n"/>
      <c r="P89" s="4" t="n"/>
      <c r="Q89" s="4" t="n"/>
    </row>
    <row r="90">
      <c r="B90" s="4" t="n"/>
      <c r="C90" s="96" t="inlineStr">
        <is>
          <t>VECARFON061</t>
        </is>
      </c>
      <c r="D90" s="18" t="inlineStr">
        <is>
          <t>Chupe de salmón ahumado</t>
        </is>
      </c>
      <c r="E90" s="207">
        <f>IFERROR(
IF(
INDEX($K$272:$K$977,MATCH(C90,$B$272:$B$977,0))&lt;&gt;0,
INDEX($K$272:$K$977,MATCH(C90,$B$272:$B$977,0)),
INDEX($L$272:$L$977,MATCH(C90,$B$272:$B$977,0))
),
0)</f>
        <v/>
      </c>
      <c r="F90" s="1" t="inlineStr">
        <is>
          <t>Chupe</t>
        </is>
      </c>
      <c r="G90" s="52" t="n">
        <v>1</v>
      </c>
      <c r="H90" s="81" t="inlineStr">
        <is>
          <t>Porción</t>
        </is>
      </c>
      <c r="I90" s="79" t="n"/>
      <c r="J90" s="78" t="n"/>
      <c r="K90" s="79" t="n"/>
      <c r="L90" s="80" t="n"/>
      <c r="M90" s="80" t="n"/>
      <c r="N90" s="80" t="n"/>
      <c r="O90" s="20" t="n"/>
      <c r="P90" s="4" t="n"/>
      <c r="Q90" s="4" t="n"/>
    </row>
    <row r="91">
      <c r="B91" s="4" t="n"/>
      <c r="C91" s="96" t="inlineStr">
        <is>
          <t>VECARPOS006</t>
        </is>
      </c>
      <c r="D91" s="18" t="inlineStr">
        <is>
          <t>Discos de Chocolate</t>
        </is>
      </c>
      <c r="E91" s="207">
        <f>IFERROR(
IF(
INDEX($K$272:$K$977,MATCH(C91,$B$272:$B$977,0))&lt;&gt;0,
INDEX($K$272:$K$977,MATCH(C91,$B$272:$B$977,0)),
INDEX($L$272:$L$977,MATCH(C91,$B$272:$B$977,0))
),
0)</f>
        <v/>
      </c>
      <c r="F91" s="18" t="inlineStr">
        <is>
          <t>Discos de Chocolate</t>
        </is>
      </c>
      <c r="G91" s="52" t="n">
        <v>3</v>
      </c>
      <c r="H91" s="81" t="inlineStr">
        <is>
          <t>Und</t>
        </is>
      </c>
      <c r="I91" s="79" t="n"/>
      <c r="J91" s="78" t="n"/>
      <c r="K91" s="79" t="n"/>
      <c r="L91" s="80" t="n"/>
      <c r="M91" s="80" t="n"/>
      <c r="N91" s="80" t="n"/>
      <c r="O91" s="20" t="n"/>
      <c r="P91" s="4" t="n"/>
      <c r="Q91" s="4" t="n"/>
    </row>
    <row r="92">
      <c r="B92" s="4" t="n"/>
      <c r="C92" s="96" t="inlineStr">
        <is>
          <t>VECARENT004</t>
        </is>
      </c>
      <c r="D92" s="18" t="inlineStr">
        <is>
          <t>Emp Frita Mechada</t>
        </is>
      </c>
      <c r="E92" s="207">
        <f>IFERROR(
IF(
INDEX($K$272:$K$977,MATCH(C92,$B$272:$B$977,0))&lt;&gt;0,
INDEX($K$272:$K$977,MATCH(C92,$B$272:$B$977,0)),
INDEX($L$272:$L$977,MATCH(C92,$B$272:$B$977,0))
),
0)</f>
        <v/>
      </c>
      <c r="F92" s="1" t="inlineStr">
        <is>
          <t>Empanada Mechada</t>
        </is>
      </c>
      <c r="G92" s="52" t="n">
        <v>4</v>
      </c>
      <c r="H92" s="81" t="inlineStr">
        <is>
          <t>Und</t>
        </is>
      </c>
      <c r="I92" s="79" t="n"/>
      <c r="J92" s="78" t="n"/>
      <c r="K92" s="79" t="n"/>
      <c r="L92" s="80" t="n"/>
      <c r="M92" s="80" t="n"/>
      <c r="N92" s="80" t="n"/>
      <c r="O92" s="20" t="n"/>
      <c r="P92" s="4" t="n"/>
      <c r="Q92" s="4" t="n"/>
    </row>
    <row r="93">
      <c r="B93" s="4" t="n"/>
      <c r="C93" s="96" t="inlineStr">
        <is>
          <t>VECARAJT001</t>
        </is>
      </c>
      <c r="D93" s="18" t="inlineStr">
        <is>
          <t>Emp Mechada JT</t>
        </is>
      </c>
      <c r="E93" s="207">
        <f>IFERROR(
IF(
INDEX($K$272:$K$977,MATCH(C93,$B$272:$B$977,0))&lt;&gt;0,
INDEX($K$272:$K$977,MATCH(C93,$B$272:$B$977,0)),
INDEX($L$272:$L$977,MATCH(C93,$B$272:$B$977,0))
),
0)</f>
        <v/>
      </c>
      <c r="F93" s="1" t="inlineStr">
        <is>
          <t>Empanada Mechada</t>
        </is>
      </c>
      <c r="G93" s="52" t="n">
        <v>4</v>
      </c>
      <c r="H93" s="81" t="inlineStr">
        <is>
          <t>Und</t>
        </is>
      </c>
      <c r="I93" s="79" t="n"/>
      <c r="J93" s="78" t="n"/>
      <c r="K93" s="79" t="n"/>
      <c r="L93" s="80" t="n"/>
      <c r="M93" s="80" t="n"/>
      <c r="N93" s="80" t="n"/>
      <c r="O93" s="20" t="n"/>
      <c r="P93" s="4" t="n"/>
      <c r="Q93" s="4" t="n"/>
    </row>
    <row r="94">
      <c r="B94" s="4" t="n"/>
      <c r="C94" s="96" t="inlineStr">
        <is>
          <t>VECARAUB001</t>
        </is>
      </c>
      <c r="D94" s="18" t="inlineStr">
        <is>
          <t>Emp Mechada PY</t>
        </is>
      </c>
      <c r="E94" s="207">
        <f>IFERROR(
IF(
INDEX($K$272:$K$977,MATCH(C94,$B$272:$B$977,0))&lt;&gt;0,
INDEX($K$272:$K$977,MATCH(C94,$B$272:$B$977,0)),
INDEX($L$272:$L$977,MATCH(C94,$B$272:$B$977,0))
),
0)</f>
        <v/>
      </c>
      <c r="F94" s="1" t="inlineStr">
        <is>
          <t>Empanada Mechada</t>
        </is>
      </c>
      <c r="G94" s="52" t="n">
        <v>4</v>
      </c>
      <c r="H94" s="81" t="inlineStr">
        <is>
          <t>Und</t>
        </is>
      </c>
      <c r="I94" s="79" t="n"/>
      <c r="J94" s="78" t="n"/>
      <c r="K94" s="79" t="n"/>
      <c r="L94" s="80" t="n"/>
      <c r="M94" s="80" t="n"/>
      <c r="N94" s="80" t="n"/>
      <c r="O94" s="20" t="n"/>
      <c r="P94" s="4" t="n"/>
      <c r="Q94" s="4" t="n"/>
    </row>
    <row r="95">
      <c r="B95" s="4" t="n"/>
      <c r="C95" s="96" t="inlineStr">
        <is>
          <t>VECARENT035</t>
        </is>
      </c>
      <c r="D95" s="18" t="inlineStr">
        <is>
          <t>Emp Pulpo Camarón</t>
        </is>
      </c>
      <c r="E95" s="207">
        <f>IFERROR(
IF(
INDEX($K$272:$K$977,MATCH(C95,$B$272:$B$977,0))&lt;&gt;0,
INDEX($K$272:$K$977,MATCH(C95,$B$272:$B$977,0)),
INDEX($L$272:$L$977,MATCH(C95,$B$272:$B$977,0))
),
0)</f>
        <v/>
      </c>
      <c r="F95" s="1" t="inlineStr">
        <is>
          <t>Empanada Pulpo</t>
        </is>
      </c>
      <c r="G95" s="52" t="n">
        <v>4</v>
      </c>
      <c r="H95" s="81" t="inlineStr">
        <is>
          <t>Und</t>
        </is>
      </c>
      <c r="I95" s="79" t="n"/>
      <c r="J95" s="78" t="n"/>
      <c r="K95" s="79" t="n"/>
      <c r="L95" s="80" t="n"/>
      <c r="M95" s="80" t="n"/>
      <c r="N95" s="80" t="n"/>
      <c r="O95" s="20" t="n"/>
      <c r="P95" s="4" t="n"/>
      <c r="Q95" s="4" t="n"/>
    </row>
    <row r="96">
      <c r="B96" s="4" t="n"/>
      <c r="C96" s="96" t="inlineStr">
        <is>
          <t>VECARENS003</t>
        </is>
      </c>
      <c r="D96" s="18" t="inlineStr">
        <is>
          <t>Ens Atún Mango</t>
        </is>
      </c>
      <c r="E96" s="207">
        <f>IFERROR(
IF(
INDEX($K$272:$K$977,MATCH(C96,$B$272:$B$977,0))&lt;&gt;0,
INDEX($K$272:$K$977,MATCH(C96,$B$272:$B$977,0)),
INDEX($L$272:$L$977,MATCH(C96,$B$272:$B$977,0))
),
0)</f>
        <v/>
      </c>
      <c r="F96" s="1" t="inlineStr">
        <is>
          <t>Atún Steak</t>
        </is>
      </c>
      <c r="G96" s="52" t="n">
        <v>0.18</v>
      </c>
      <c r="H96" s="81" t="inlineStr">
        <is>
          <t>Kg</t>
        </is>
      </c>
      <c r="I96" s="79" t="n"/>
      <c r="J96" s="78" t="n"/>
      <c r="K96" s="79" t="n"/>
      <c r="L96" s="80" t="n"/>
      <c r="M96" s="80" t="n"/>
      <c r="N96" s="80" t="n"/>
      <c r="O96" s="20" t="n"/>
      <c r="P96" s="4" t="n"/>
      <c r="Q96" s="4" t="n"/>
    </row>
    <row r="97">
      <c r="B97" s="4" t="n"/>
      <c r="C97" s="96" t="inlineStr">
        <is>
          <t>VECAREJT001</t>
        </is>
      </c>
      <c r="D97" s="18" t="inlineStr">
        <is>
          <t>Ens Atún Mango JT</t>
        </is>
      </c>
      <c r="E97" s="207">
        <f>IFERROR(
IF(
INDEX($K$272:$K$977,MATCH(C97,$B$272:$B$977,0))&lt;&gt;0,
INDEX($K$272:$K$977,MATCH(C97,$B$272:$B$977,0)),
INDEX($L$272:$L$977,MATCH(C97,$B$272:$B$977,0))
),
0)</f>
        <v/>
      </c>
      <c r="F97" s="1" t="inlineStr">
        <is>
          <t>Atún Steak</t>
        </is>
      </c>
      <c r="G97" s="52" t="n">
        <v>0.18</v>
      </c>
      <c r="H97" s="81" t="inlineStr">
        <is>
          <t>Kg</t>
        </is>
      </c>
      <c r="I97" s="79" t="n"/>
      <c r="J97" s="78" t="n"/>
      <c r="K97" s="79" t="n"/>
      <c r="L97" s="80" t="n"/>
      <c r="M97" s="80" t="n"/>
      <c r="N97" s="80" t="n"/>
      <c r="O97" s="20" t="n"/>
      <c r="P97" s="4" t="n"/>
      <c r="Q97" s="4" t="n"/>
    </row>
    <row r="98">
      <c r="B98" s="4" t="n"/>
      <c r="C98" s="96" t="inlineStr">
        <is>
          <t>VECAREUB001</t>
        </is>
      </c>
      <c r="D98" s="18" t="inlineStr">
        <is>
          <t>Ens Atún Mango PY</t>
        </is>
      </c>
      <c r="E98" s="207">
        <f>IFERROR(
IF(
INDEX($K$272:$K$977,MATCH(C98,$B$272:$B$977,0))&lt;&gt;0,
INDEX($K$272:$K$977,MATCH(C98,$B$272:$B$977,0)),
INDEX($L$272:$L$977,MATCH(C98,$B$272:$B$977,0))
),
0)</f>
        <v/>
      </c>
      <c r="F98" s="1" t="inlineStr">
        <is>
          <t>Atún Steak</t>
        </is>
      </c>
      <c r="G98" s="52" t="n">
        <v>0.18</v>
      </c>
      <c r="H98" s="81" t="inlineStr">
        <is>
          <t>Kg</t>
        </is>
      </c>
      <c r="I98" s="79" t="n"/>
      <c r="J98" s="78" t="n"/>
      <c r="K98" s="79" t="n"/>
      <c r="L98" s="80" t="n"/>
      <c r="M98" s="80" t="n"/>
      <c r="N98" s="80" t="n"/>
      <c r="O98" s="20" t="n"/>
      <c r="P98" s="4" t="n"/>
      <c r="Q98" s="4" t="n"/>
    </row>
    <row r="99">
      <c r="B99" s="4" t="n"/>
      <c r="C99" s="96" t="inlineStr">
        <is>
          <t>VECAREJT004</t>
        </is>
      </c>
      <c r="D99" s="18" t="inlineStr">
        <is>
          <t>Ens Caprese JT</t>
        </is>
      </c>
      <c r="E99" s="207">
        <f>IFERROR(
IF(
INDEX($K$272:$K$977,MATCH(C99,$B$272:$B$977,0))&lt;&gt;0,
INDEX($K$272:$K$977,MATCH(C99,$B$272:$B$977,0)),
INDEX($L$272:$L$977,MATCH(C99,$B$272:$B$977,0))
),
0)</f>
        <v/>
      </c>
      <c r="F99" s="1" t="inlineStr">
        <is>
          <t>Queso Mozzarella</t>
        </is>
      </c>
      <c r="G99" s="52" t="n">
        <v>1</v>
      </c>
      <c r="H99" s="81" t="inlineStr">
        <is>
          <t>Und</t>
        </is>
      </c>
      <c r="I99" s="79" t="n"/>
      <c r="J99" s="78" t="n"/>
      <c r="K99" s="79" t="n"/>
      <c r="L99" s="80" t="n"/>
      <c r="M99" s="80" t="n"/>
      <c r="N99" s="80" t="n"/>
      <c r="O99" s="20" t="n"/>
      <c r="P99" s="4" t="n"/>
      <c r="Q99" s="4" t="n"/>
    </row>
    <row r="100" ht="15" customHeight="1" s="95">
      <c r="B100" s="4" t="n"/>
      <c r="C100" s="96" t="inlineStr">
        <is>
          <t>VECARENS002</t>
        </is>
      </c>
      <c r="D100" s="18" t="inlineStr">
        <is>
          <t>Ens Capresse</t>
        </is>
      </c>
      <c r="E100" s="207">
        <f>IFERROR(
IF(
INDEX($K$272:$K$977,MATCH(C100,$B$272:$B$977,0))&lt;&gt;0,
INDEX($K$272:$K$977,MATCH(C100,$B$272:$B$977,0)),
INDEX($L$272:$L$977,MATCH(C100,$B$272:$B$977,0))
),
0)</f>
        <v/>
      </c>
      <c r="F100" s="1" t="inlineStr">
        <is>
          <t>Queso Mozzarella</t>
        </is>
      </c>
      <c r="G100" s="52" t="n">
        <v>1</v>
      </c>
      <c r="H100" s="81" t="inlineStr">
        <is>
          <t>Und</t>
        </is>
      </c>
      <c r="I100" s="79" t="n"/>
      <c r="J100" s="78" t="n"/>
      <c r="K100" s="79" t="n"/>
      <c r="L100" s="80" t="n"/>
      <c r="M100" s="80" t="n"/>
      <c r="N100" s="80" t="n"/>
      <c r="O100" s="20" t="n"/>
      <c r="P100" s="4" t="n"/>
      <c r="Q100" s="4" t="n"/>
    </row>
    <row r="101" ht="15" customHeight="1" s="95">
      <c r="B101" s="4" t="n"/>
      <c r="C101" s="96" t="inlineStr">
        <is>
          <t>VECARENS023</t>
        </is>
      </c>
      <c r="D101" s="18" t="inlineStr">
        <is>
          <t>Ens Pera Queso Azul</t>
        </is>
      </c>
      <c r="E101" s="207">
        <f>IFERROR(
IF(
INDEX($K$272:$K$977,MATCH(C101,$B$272:$B$977,0))&lt;&gt;0,
INDEX($K$272:$K$977,MATCH(C101,$B$272:$B$977,0)),
INDEX($L$272:$L$977,MATCH(C101,$B$272:$B$977,0))
),
0)</f>
        <v/>
      </c>
      <c r="F101" s="1" t="inlineStr">
        <is>
          <t>Jamón serrano</t>
        </is>
      </c>
      <c r="G101" s="52" t="n">
        <v>0.04</v>
      </c>
      <c r="H101" s="81" t="inlineStr">
        <is>
          <t>Kg</t>
        </is>
      </c>
      <c r="I101" s="79" t="n"/>
      <c r="J101" s="78" t="n"/>
      <c r="K101" s="79" t="n"/>
      <c r="L101" s="80" t="n"/>
      <c r="M101" s="80" t="n"/>
      <c r="N101" s="80" t="n"/>
      <c r="O101" s="20" t="n"/>
      <c r="P101" s="4" t="n"/>
      <c r="Q101" s="4" t="n"/>
    </row>
    <row r="102" ht="15" customHeight="1" s="95">
      <c r="B102" s="4" t="n"/>
      <c r="C102" s="96" t="inlineStr">
        <is>
          <t>VECAREJT016</t>
        </is>
      </c>
      <c r="D102" s="18" t="inlineStr">
        <is>
          <t>Ens Pera Oporto JT</t>
        </is>
      </c>
      <c r="E102" s="207">
        <f>IFERROR(
IF(
INDEX($K$272:$K$977,MATCH(C102,$B$272:$B$977,0))&lt;&gt;0,
INDEX($K$272:$K$977,MATCH(C102,$B$272:$B$977,0)),
INDEX($L$272:$L$977,MATCH(C102,$B$272:$B$977,0))
),
0)</f>
        <v/>
      </c>
      <c r="F102" s="1" t="inlineStr">
        <is>
          <t>Jamón serrano</t>
        </is>
      </c>
      <c r="G102" s="52" t="n">
        <v>0.04</v>
      </c>
      <c r="H102" s="81" t="inlineStr">
        <is>
          <t>Kg</t>
        </is>
      </c>
      <c r="I102" s="79" t="n"/>
      <c r="J102" s="78" t="n"/>
      <c r="K102" s="79" t="n"/>
      <c r="L102" s="80" t="n"/>
      <c r="M102" s="80" t="n"/>
      <c r="N102" s="80" t="n"/>
      <c r="O102" s="20" t="n"/>
      <c r="P102" s="4" t="n"/>
      <c r="Q102" s="4" t="n"/>
    </row>
    <row r="103">
      <c r="B103" s="4" t="n"/>
      <c r="C103" s="96" t="inlineStr">
        <is>
          <t>VECAREUB016</t>
        </is>
      </c>
      <c r="D103" s="18" t="inlineStr">
        <is>
          <t>Ens Peras Oporto  PY</t>
        </is>
      </c>
      <c r="E103" s="207">
        <f>IFERROR(
IF(
INDEX($K$272:$K$977,MATCH(C103,$B$272:$B$977,0))&lt;&gt;0,
INDEX($K$272:$K$977,MATCH(C103,$B$272:$B$977,0)),
INDEX($L$272:$L$977,MATCH(C103,$B$272:$B$977,0))
),
0)</f>
        <v/>
      </c>
      <c r="F103" s="18" t="inlineStr">
        <is>
          <t>Jamón serrano</t>
        </is>
      </c>
      <c r="G103" s="52" t="n">
        <v>0.04</v>
      </c>
      <c r="H103" s="81" t="inlineStr">
        <is>
          <t>Kg</t>
        </is>
      </c>
      <c r="I103" s="79" t="n"/>
      <c r="J103" s="78" t="n"/>
      <c r="K103" s="79" t="n"/>
      <c r="L103" s="80" t="n"/>
      <c r="M103" s="80" t="n"/>
      <c r="N103" s="80" t="n"/>
      <c r="O103" s="20" t="n"/>
      <c r="P103" s="4" t="n"/>
      <c r="Q103" s="4" t="n"/>
    </row>
    <row r="104" ht="15" customHeight="1" s="95">
      <c r="B104" s="4" t="n"/>
      <c r="C104" s="96" t="inlineStr">
        <is>
          <t>VECARENS006</t>
        </is>
      </c>
      <c r="D104" s="18" t="inlineStr">
        <is>
          <t>Ens Salmon Q.Cabra</t>
        </is>
      </c>
      <c r="E104" s="207">
        <f>IFERROR(
IF(
INDEX($K$272:$K$977,MATCH(C104,$B$272:$B$977,0))&lt;&gt;0,
INDEX($K$272:$K$977,MATCH(C104,$B$272:$B$977,0)),
INDEX($L$272:$L$977,MATCH(C104,$B$272:$B$977,0))
),
0)</f>
        <v/>
      </c>
      <c r="F104" s="1" t="inlineStr">
        <is>
          <t>Salmón ahumado en Caliente</t>
        </is>
      </c>
      <c r="G104" s="52" t="n">
        <v>0.12</v>
      </c>
      <c r="H104" s="81" t="inlineStr">
        <is>
          <t>Kg</t>
        </is>
      </c>
      <c r="I104" s="79" t="n"/>
      <c r="J104" s="78" t="n"/>
      <c r="K104" s="79" t="n"/>
      <c r="L104" s="80" t="n"/>
      <c r="M104" s="80" t="n"/>
      <c r="N104" s="80" t="n"/>
      <c r="O104" s="20" t="n"/>
      <c r="P104" s="4" t="n"/>
      <c r="Q104" s="4" t="n"/>
    </row>
    <row r="105" ht="15" customHeight="1" s="95">
      <c r="B105" s="4" t="n"/>
      <c r="C105" s="96" t="inlineStr">
        <is>
          <t>VECAREJT003</t>
        </is>
      </c>
      <c r="D105" s="18" t="inlineStr">
        <is>
          <t>Ens Salmon Q.Cabra JT</t>
        </is>
      </c>
      <c r="E105" s="207">
        <f>IFERROR(
IF(
INDEX($K$272:$K$977,MATCH(C105,$B$272:$B$977,0))&lt;&gt;0,
INDEX($K$272:$K$977,MATCH(C105,$B$272:$B$977,0)),
INDEX($L$272:$L$977,MATCH(C105,$B$272:$B$977,0))
),
0)</f>
        <v/>
      </c>
      <c r="F105" s="1" t="inlineStr">
        <is>
          <t>Salmón ahumado en Caliente</t>
        </is>
      </c>
      <c r="G105" s="52" t="n">
        <v>0.12</v>
      </c>
      <c r="H105" s="81" t="inlineStr">
        <is>
          <t>Kg</t>
        </is>
      </c>
      <c r="I105" s="79" t="n"/>
      <c r="J105" s="78" t="n"/>
      <c r="K105" s="79" t="n"/>
      <c r="L105" s="80" t="n"/>
      <c r="M105" s="80" t="n"/>
      <c r="N105" s="80" t="n"/>
      <c r="O105" s="20" t="n"/>
      <c r="P105" s="4" t="n"/>
      <c r="Q105" s="4" t="n"/>
    </row>
    <row r="106" ht="15" customHeight="1" s="95">
      <c r="B106" s="4" t="n"/>
      <c r="C106" s="96" t="inlineStr">
        <is>
          <t>VECAREUB003</t>
        </is>
      </c>
      <c r="D106" s="18" t="inlineStr">
        <is>
          <t>Ens Salmon Q.Cabra PY</t>
        </is>
      </c>
      <c r="E106" s="207">
        <f>IFERROR(
IF(
INDEX($K$272:$K$977,MATCH(C106,$B$272:$B$977,0))&lt;&gt;0,
INDEX($K$272:$K$977,MATCH(C106,$B$272:$B$977,0)),
INDEX($L$272:$L$977,MATCH(C106,$B$272:$B$977,0))
),
0)</f>
        <v/>
      </c>
      <c r="F106" s="1" t="inlineStr">
        <is>
          <t>Salmón ahumado en Caliente</t>
        </is>
      </c>
      <c r="G106" s="52" t="n">
        <v>0.12</v>
      </c>
      <c r="H106" s="81" t="inlineStr">
        <is>
          <t>Kg</t>
        </is>
      </c>
      <c r="I106" s="79" t="n"/>
      <c r="J106" s="78" t="n"/>
      <c r="K106" s="79" t="n"/>
      <c r="L106" s="80" t="n"/>
      <c r="M106" s="80" t="n"/>
      <c r="N106" s="80" t="n"/>
      <c r="O106" s="20" t="n"/>
      <c r="P106" s="4" t="n"/>
      <c r="Q106" s="4" t="n"/>
    </row>
    <row r="107" ht="15" customHeight="1" s="95">
      <c r="B107" s="4" t="n"/>
      <c r="C107" s="96" t="inlineStr">
        <is>
          <t>VECARENS009</t>
        </is>
      </c>
      <c r="D107" s="18" t="inlineStr">
        <is>
          <t>Ens Verduras Asadas</t>
        </is>
      </c>
      <c r="E107" s="207">
        <f>IFERROR(
IF(
INDEX($K$272:$K$977,MATCH(C107,$B$272:$B$977,0))&lt;&gt;0,
INDEX($K$272:$K$977,MATCH(C107,$B$272:$B$977,0)),
INDEX($L$272:$L$977,MATCH(C107,$B$272:$B$977,0))
),
0)</f>
        <v/>
      </c>
      <c r="F107" s="1" t="inlineStr">
        <is>
          <t>Granola Salada</t>
        </is>
      </c>
      <c r="G107" s="52" t="n">
        <v>0.025</v>
      </c>
      <c r="H107" s="81" t="inlineStr">
        <is>
          <t>Kg</t>
        </is>
      </c>
      <c r="I107" s="79" t="n"/>
      <c r="J107" s="78" t="n"/>
      <c r="K107" s="79" t="n"/>
      <c r="L107" s="80" t="n"/>
      <c r="M107" s="80" t="n"/>
      <c r="N107" s="80" t="n"/>
      <c r="O107" s="20" t="n"/>
      <c r="P107" s="4" t="n"/>
      <c r="Q107" s="4" t="n"/>
    </row>
    <row r="108" ht="15" customHeight="1" s="95">
      <c r="B108" s="4" t="n"/>
      <c r="C108" s="96" t="inlineStr">
        <is>
          <t>VECAREJT015</t>
        </is>
      </c>
      <c r="D108" s="18" t="inlineStr">
        <is>
          <t>Ens Verduras Asadas JT</t>
        </is>
      </c>
      <c r="E108" s="207">
        <f>IFERROR(
IF(
INDEX($K$272:$K$977,MATCH(C108,$B$272:$B$977,0))&lt;&gt;0,
INDEX($K$272:$K$977,MATCH(C108,$B$272:$B$977,0)),
INDEX($L$272:$L$977,MATCH(C108,$B$272:$B$977,0))
),
0)</f>
        <v/>
      </c>
      <c r="F108" s="1" t="inlineStr">
        <is>
          <t>Granola Salada</t>
        </is>
      </c>
      <c r="G108" s="52" t="n">
        <v>0.025</v>
      </c>
      <c r="H108" s="81" t="inlineStr">
        <is>
          <t>Kg</t>
        </is>
      </c>
      <c r="I108" s="79" t="n"/>
      <c r="J108" s="78" t="n"/>
      <c r="K108" s="79" t="n"/>
      <c r="L108" s="80" t="n"/>
      <c r="M108" s="80" t="n"/>
      <c r="N108" s="80" t="n"/>
      <c r="O108" s="20" t="n"/>
      <c r="P108" s="4" t="n"/>
      <c r="Q108" s="4" t="n"/>
    </row>
    <row r="109" ht="15" customHeight="1" s="95">
      <c r="B109" s="4" t="n"/>
      <c r="C109" s="96" t="inlineStr">
        <is>
          <t>VECAREUB015</t>
        </is>
      </c>
      <c r="D109" s="18" t="inlineStr">
        <is>
          <t>Ens Verdura Asada PY</t>
        </is>
      </c>
      <c r="E109" s="207">
        <f>IFERROR(
IF(
INDEX($K$272:$K$977,MATCH(C109,$B$272:$B$977,0))&lt;&gt;0,
INDEX($K$272:$K$977,MATCH(C109,$B$272:$B$977,0)),
INDEX($L$272:$L$977,MATCH(C109,$B$272:$B$977,0))
),
0)</f>
        <v/>
      </c>
      <c r="F109" s="1" t="inlineStr">
        <is>
          <t>Granola Salada</t>
        </is>
      </c>
      <c r="G109" s="52" t="n">
        <v>0.025</v>
      </c>
      <c r="H109" s="81" t="inlineStr">
        <is>
          <t>Kg</t>
        </is>
      </c>
      <c r="I109" s="79" t="n"/>
      <c r="J109" s="78" t="n"/>
      <c r="K109" s="79" t="n"/>
      <c r="L109" s="80" t="n"/>
      <c r="M109" s="80" t="n"/>
      <c r="N109" s="80" t="n"/>
      <c r="O109" s="20" t="n"/>
      <c r="P109" s="4" t="n"/>
      <c r="Q109" s="4" t="n"/>
    </row>
    <row r="110" ht="15" customHeight="1" s="95">
      <c r="B110" s="4" t="n"/>
      <c r="C110" s="96" t="inlineStr">
        <is>
          <t>VECAREUB004</t>
        </is>
      </c>
      <c r="D110" s="18" t="inlineStr">
        <is>
          <t>Ens.Caprese PY</t>
        </is>
      </c>
      <c r="E110" s="207">
        <f>IFERROR(
IF(
INDEX($K$272:$K$977,MATCH(C110,$B$272:$B$977,0))&lt;&gt;0,
INDEX($K$272:$K$977,MATCH(C110,$B$272:$B$977,0)),
INDEX($L$272:$L$977,MATCH(C110,$B$272:$B$977,0))
),
0)</f>
        <v/>
      </c>
      <c r="F110" s="1" t="inlineStr">
        <is>
          <t>Queso Mozzarella</t>
        </is>
      </c>
      <c r="G110" s="52" t="n">
        <v>1</v>
      </c>
      <c r="H110" s="81" t="inlineStr">
        <is>
          <t>Und</t>
        </is>
      </c>
      <c r="I110" s="79" t="n"/>
      <c r="J110" s="78" t="n"/>
      <c r="K110" s="79" t="n"/>
      <c r="L110" s="80" t="n"/>
      <c r="M110" s="80" t="n"/>
      <c r="N110" s="80" t="n"/>
      <c r="O110" s="20" t="n"/>
      <c r="P110" s="4" t="n"/>
      <c r="Q110" s="4" t="n"/>
    </row>
    <row r="111" ht="15" customHeight="1" s="95">
      <c r="B111" s="4" t="n"/>
      <c r="C111" s="96" t="inlineStr">
        <is>
          <t>VECARFUB024</t>
        </is>
      </c>
      <c r="D111" s="18" t="inlineStr">
        <is>
          <t>Fettuccini Salsa Jamón Py</t>
        </is>
      </c>
      <c r="E111" s="207">
        <f>IFERROR(
IF(
INDEX($K$272:$K$977,MATCH(C111,$B$272:$B$977,0))&lt;&gt;0,
INDEX($K$272:$K$977,MATCH(C111,$B$272:$B$977,0)),
INDEX($L$272:$L$977,MATCH(C111,$B$272:$B$977,0))
),
0)</f>
        <v/>
      </c>
      <c r="F111" s="1" t="inlineStr">
        <is>
          <t>Jamón de Pavo</t>
        </is>
      </c>
      <c r="G111" s="52" t="n">
        <v>0.07000000000000001</v>
      </c>
      <c r="H111" s="81" t="inlineStr">
        <is>
          <t>Kg</t>
        </is>
      </c>
      <c r="I111" s="79" t="n"/>
      <c r="J111" s="78" t="n"/>
      <c r="K111" s="79" t="n"/>
      <c r="L111" s="80" t="n"/>
      <c r="M111" s="80" t="n"/>
      <c r="N111" s="80" t="n"/>
      <c r="O111" s="20" t="n"/>
      <c r="P111" s="4" t="n"/>
      <c r="Q111" s="4" t="n"/>
    </row>
    <row r="112" ht="15" customHeight="1" s="95">
      <c r="B112" s="4" t="n"/>
      <c r="C112" s="96" t="inlineStr">
        <is>
          <t>VECARNIN002</t>
        </is>
      </c>
      <c r="D112" s="18" t="inlineStr">
        <is>
          <t>Fetuccini Salsa Jamón</t>
        </is>
      </c>
      <c r="E112" s="207">
        <f>IFERROR(
IF(
INDEX($K$272:$K$977,MATCH(C112,$B$272:$B$977,0))&lt;&gt;0,
INDEX($K$272:$K$977,MATCH(C112,$B$272:$B$977,0)),
INDEX($L$272:$L$977,MATCH(C112,$B$272:$B$977,0))
),
0)</f>
        <v/>
      </c>
      <c r="F112" s="1" t="inlineStr">
        <is>
          <t>Jamón de Pavo</t>
        </is>
      </c>
      <c r="G112" s="52" t="n">
        <v>0.07000000000000001</v>
      </c>
      <c r="H112" s="81" t="inlineStr">
        <is>
          <t>Kg</t>
        </is>
      </c>
      <c r="I112" s="79" t="n"/>
      <c r="J112" s="78" t="n"/>
      <c r="K112" s="79" t="n"/>
      <c r="L112" s="80" t="n"/>
      <c r="M112" s="80" t="n"/>
      <c r="N112" s="80" t="n"/>
      <c r="O112" s="20" t="n"/>
      <c r="P112" s="4" t="n"/>
      <c r="Q112" s="4" t="n"/>
    </row>
    <row r="113" ht="15" customHeight="1" s="95">
      <c r="B113" s="4" t="n"/>
      <c r="C113" s="96" t="inlineStr">
        <is>
          <t>VECARFUB028</t>
        </is>
      </c>
      <c r="D113" s="18" t="inlineStr">
        <is>
          <t>Filete Saltado con Arroz y Papas PY</t>
        </is>
      </c>
      <c r="E113" s="207">
        <f>IFERROR(
IF(
INDEX($K$272:$K$977,MATCH(C113,$B$272:$B$977,0))&lt;&gt;0,
INDEX($K$272:$K$977,MATCH(C113,$B$272:$B$977,0)),
INDEX($L$272:$L$977,MATCH(C113,$B$272:$B$977,0))
),
0)</f>
        <v/>
      </c>
      <c r="F113" s="1" t="inlineStr">
        <is>
          <t>Filete Salteado</t>
        </is>
      </c>
      <c r="G113" s="52" t="n">
        <v>0.16</v>
      </c>
      <c r="H113" s="81" t="inlineStr">
        <is>
          <t>Kg</t>
        </is>
      </c>
      <c r="I113" s="79" t="n"/>
      <c r="J113" s="78" t="n"/>
      <c r="K113" s="79" t="n"/>
      <c r="L113" s="80" t="n"/>
      <c r="M113" s="80" t="n"/>
      <c r="N113" s="80" t="n"/>
      <c r="O113" s="20" t="n"/>
      <c r="P113" s="4" t="n"/>
      <c r="Q113" s="4" t="n"/>
    </row>
    <row r="114" ht="15" customHeight="1" s="95">
      <c r="B114" s="4" t="n"/>
      <c r="C114" s="96" t="inlineStr">
        <is>
          <t>VECARFON010</t>
        </is>
      </c>
      <c r="D114" s="18" t="inlineStr">
        <is>
          <t>Filete Salteado Fritas</t>
        </is>
      </c>
      <c r="E114" s="207">
        <f>IFERROR(
IF(
INDEX($K$272:$K$977,MATCH(C114,$B$272:$B$977,0))&lt;&gt;0,
INDEX($K$272:$K$977,MATCH(C114,$B$272:$B$977,0)),
INDEX($L$272:$L$977,MATCH(C114,$B$272:$B$977,0))
),
0)</f>
        <v/>
      </c>
      <c r="F114" s="1" t="inlineStr">
        <is>
          <t>Filete Salteado</t>
        </is>
      </c>
      <c r="G114" s="52" t="n">
        <v>0.16</v>
      </c>
      <c r="H114" s="81" t="inlineStr">
        <is>
          <t>Kg</t>
        </is>
      </c>
      <c r="I114" s="79" t="n"/>
      <c r="J114" s="78" t="n"/>
      <c r="K114" s="79" t="n"/>
      <c r="L114" s="80" t="n"/>
      <c r="M114" s="80" t="n"/>
      <c r="N114" s="80" t="n"/>
      <c r="O114" s="20" t="n"/>
      <c r="P114" s="4" t="n"/>
      <c r="Q114" s="4" t="n"/>
    </row>
    <row r="115" ht="15" customHeight="1" s="95">
      <c r="B115" s="4" t="n"/>
      <c r="C115" s="96" t="inlineStr">
        <is>
          <t>VECARPUB002</t>
        </is>
      </c>
      <c r="D115" s="18" t="inlineStr">
        <is>
          <t>Flan Caluga  PY</t>
        </is>
      </c>
      <c r="E115" s="207">
        <f>IFERROR(
IF(
INDEX($K$272:$K$977,MATCH(C115,$B$272:$B$977,0))&lt;&gt;0,
INDEX($K$272:$K$977,MATCH(C115,$B$272:$B$977,0)),
INDEX($L$272:$L$977,MATCH(C115,$B$272:$B$977,0))
),
0)</f>
        <v/>
      </c>
      <c r="F115" s="1" t="inlineStr">
        <is>
          <t>Flan de Caluga</t>
        </is>
      </c>
      <c r="G115" s="52" t="n">
        <v>1</v>
      </c>
      <c r="H115" s="81" t="inlineStr">
        <is>
          <t>Kg</t>
        </is>
      </c>
      <c r="I115" s="79" t="n"/>
      <c r="J115" s="78" t="n"/>
      <c r="K115" s="79" t="n"/>
      <c r="L115" s="80" t="n"/>
      <c r="M115" s="80" t="n"/>
      <c r="N115" s="80" t="n"/>
      <c r="O115" s="20" t="n"/>
      <c r="P115" s="4" t="n"/>
      <c r="Q115" s="4" t="n"/>
    </row>
    <row r="116" ht="15" customHeight="1" s="95">
      <c r="B116" s="4" t="n"/>
      <c r="C116" s="96" t="inlineStr">
        <is>
          <t>VECARPJT002</t>
        </is>
      </c>
      <c r="D116" s="18" t="inlineStr">
        <is>
          <t>Flan Caluga JT</t>
        </is>
      </c>
      <c r="E116" s="207">
        <f>IFERROR(
IF(
INDEX($K$272:$K$977,MATCH(C116,$B$272:$B$977,0))&lt;&gt;0,
INDEX($K$272:$K$977,MATCH(C116,$B$272:$B$977,0)),
INDEX($L$272:$L$977,MATCH(C116,$B$272:$B$977,0))
),
0)</f>
        <v/>
      </c>
      <c r="F116" s="1" t="inlineStr">
        <is>
          <t>Flan de Caluga</t>
        </is>
      </c>
      <c r="G116" s="52" t="n">
        <v>1</v>
      </c>
      <c r="H116" s="81" t="inlineStr">
        <is>
          <t>Kg</t>
        </is>
      </c>
      <c r="I116" s="79" t="n"/>
      <c r="J116" s="78" t="n"/>
      <c r="K116" s="79" t="n"/>
      <c r="L116" s="80" t="n"/>
      <c r="M116" s="80" t="n"/>
      <c r="N116" s="80" t="n"/>
      <c r="O116" s="20" t="n"/>
      <c r="P116" s="4" t="n"/>
      <c r="Q116" s="4" t="n"/>
    </row>
    <row r="117" ht="15" customHeight="1" s="95">
      <c r="B117" s="4" t="n"/>
      <c r="C117" s="96" t="inlineStr">
        <is>
          <t>VECARPOS007</t>
        </is>
      </c>
      <c r="D117" s="18" t="inlineStr">
        <is>
          <t>Flan de Caluga</t>
        </is>
      </c>
      <c r="E117" s="207">
        <f>IFERROR(
IF(
INDEX($K$272:$K$977,MATCH(C117,$B$272:$B$977,0))&lt;&gt;0,
INDEX($K$272:$K$977,MATCH(C117,$B$272:$B$977,0)),
INDEX($L$272:$L$977,MATCH(C117,$B$272:$B$977,0))
),
0)</f>
        <v/>
      </c>
      <c r="F117" s="1" t="inlineStr">
        <is>
          <t>Flan de Caluga</t>
        </is>
      </c>
      <c r="G117" s="52" t="n">
        <v>1</v>
      </c>
      <c r="H117" s="81" t="inlineStr">
        <is>
          <t>Kg</t>
        </is>
      </c>
      <c r="I117" s="79" t="n"/>
      <c r="J117" s="78" t="n"/>
      <c r="K117" s="79" t="n"/>
      <c r="L117" s="80" t="n"/>
      <c r="M117" s="80" t="n"/>
      <c r="N117" s="80" t="n"/>
      <c r="O117" s="20" t="n"/>
      <c r="P117" s="4" t="n"/>
      <c r="Q117" s="4" t="n"/>
    </row>
    <row r="118" ht="15" customHeight="1" s="95">
      <c r="B118" s="4" t="n"/>
      <c r="C118" s="96" t="inlineStr">
        <is>
          <t>VECARNIN004</t>
        </is>
      </c>
      <c r="D118" s="18" t="inlineStr">
        <is>
          <t>Hamburguesa Niños</t>
        </is>
      </c>
      <c r="E118" s="207">
        <f>IFERROR(
IF(
INDEX($K$272:$K$977,MATCH(C118,$B$272:$B$977,0))&lt;&gt;0,
INDEX($K$272:$K$977,MATCH(C118,$B$272:$B$977,0)),
INDEX($L$272:$L$977,MATCH(C118,$B$272:$B$977,0))
),
0)</f>
        <v/>
      </c>
      <c r="F118" s="1" t="inlineStr">
        <is>
          <t>Hamburguesas</t>
        </is>
      </c>
      <c r="G118" s="52" t="n">
        <v>0.2</v>
      </c>
      <c r="H118" s="81" t="inlineStr">
        <is>
          <t>Kg</t>
        </is>
      </c>
      <c r="I118" s="79" t="n"/>
      <c r="J118" s="78" t="n"/>
      <c r="K118" s="79" t="n"/>
      <c r="L118" s="80" t="n"/>
      <c r="M118" s="80" t="n"/>
      <c r="N118" s="80" t="n"/>
      <c r="O118" s="20" t="n"/>
      <c r="P118" s="4" t="n"/>
      <c r="Q118" s="4" t="n"/>
    </row>
    <row r="119" ht="15" customHeight="1" s="95">
      <c r="B119" s="4" t="n"/>
      <c r="C119" s="96" t="inlineStr">
        <is>
          <t>VECARFON088</t>
        </is>
      </c>
      <c r="D119" s="18" t="inlineStr">
        <is>
          <t>Hojaldre de Carne Desmechada</t>
        </is>
      </c>
      <c r="E119" s="207">
        <f>IFERROR(
IF(
INDEX($K$272:$K$977,MATCH(C119,$B$272:$B$977,0))&lt;&gt;0,
INDEX($K$272:$K$977,MATCH(C119,$B$272:$B$977,0)),
INDEX($L$272:$L$977,MATCH(C119,$B$272:$B$977,0))
),
0)</f>
        <v/>
      </c>
      <c r="F119" s="1" t="inlineStr">
        <is>
          <t>Ganso</t>
        </is>
      </c>
      <c r="G119" s="52" t="n">
        <v>0.12</v>
      </c>
      <c r="H119" s="81" t="inlineStr">
        <is>
          <t>Kg</t>
        </is>
      </c>
      <c r="I119" s="79" t="n"/>
      <c r="J119" s="78" t="n"/>
      <c r="K119" s="79" t="n"/>
      <c r="L119" s="80" t="n"/>
      <c r="M119" s="80" t="n"/>
      <c r="N119" s="80" t="n"/>
      <c r="O119" s="20" t="n"/>
      <c r="P119" s="4" t="n"/>
      <c r="Q119" s="4" t="n"/>
    </row>
    <row r="120" ht="15" customHeight="1" s="95">
      <c r="B120" s="4" t="n"/>
      <c r="C120" s="96" t="inlineStr">
        <is>
          <t>VECARFON048</t>
        </is>
      </c>
      <c r="D120" s="18" t="inlineStr">
        <is>
          <t>Lasagna Ragout</t>
        </is>
      </c>
      <c r="E120" s="207">
        <f>IFERROR(
IF(
INDEX($K$272:$K$977,MATCH(C120,$B$272:$B$977,0))&lt;&gt;0,
INDEX($K$272:$K$977,MATCH(C120,$B$272:$B$977,0)),
INDEX($L$272:$L$977,MATCH(C120,$B$272:$B$977,0))
),
0)</f>
        <v/>
      </c>
      <c r="F120" s="1" t="inlineStr">
        <is>
          <t>Lasagna de Berenjenas</t>
        </is>
      </c>
      <c r="G120" s="52" t="n">
        <v>1</v>
      </c>
      <c r="H120" s="81" t="inlineStr">
        <is>
          <t>Porción</t>
        </is>
      </c>
      <c r="I120" s="79" t="n"/>
      <c r="J120" s="78" t="n"/>
      <c r="K120" s="79" t="n"/>
      <c r="L120" s="80" t="n"/>
      <c r="M120" s="80" t="n"/>
      <c r="N120" s="80" t="n"/>
      <c r="O120" s="20" t="n"/>
      <c r="P120" s="4" t="n"/>
      <c r="Q120" s="4" t="n"/>
    </row>
    <row r="121" ht="15" customHeight="1" s="95">
      <c r="B121" s="4" t="n"/>
      <c r="C121" s="96" t="inlineStr">
        <is>
          <t>VECARFON066</t>
        </is>
      </c>
      <c r="D121" s="18" t="inlineStr">
        <is>
          <t>Lomo Liso con Risotto Funghi</t>
        </is>
      </c>
      <c r="E121" s="207">
        <f>IFERROR(
IF(
INDEX($K$272:$K$977,MATCH(C121,$B$272:$B$977,0))&lt;&gt;0,
INDEX($K$272:$K$977,MATCH(C121,$B$272:$B$977,0)),
INDEX($L$272:$L$977,MATCH(C121,$B$272:$B$977,0))
),
0)</f>
        <v/>
      </c>
      <c r="F121" s="1" t="inlineStr">
        <is>
          <t>Lomo liso</t>
        </is>
      </c>
      <c r="G121" s="52" t="n">
        <v>0.18</v>
      </c>
      <c r="H121" s="81" t="inlineStr">
        <is>
          <t>Kg</t>
        </is>
      </c>
      <c r="I121" s="79" t="n"/>
      <c r="J121" s="78" t="n"/>
      <c r="K121" s="79" t="n"/>
      <c r="L121" s="80" t="n"/>
      <c r="M121" s="80" t="n"/>
      <c r="N121" s="80" t="n"/>
      <c r="O121" s="20" t="n"/>
      <c r="P121" s="4" t="n"/>
      <c r="Q121" s="4" t="n"/>
    </row>
    <row r="122" ht="15" customHeight="1" s="95">
      <c r="B122" s="4" t="n"/>
      <c r="C122" s="96" t="inlineStr">
        <is>
          <t>VECARFUB035</t>
        </is>
      </c>
      <c r="D122" s="18" t="inlineStr">
        <is>
          <t>Lomo Liso con Risotto Funghi PY</t>
        </is>
      </c>
      <c r="E122" s="207">
        <f>IFERROR(
IF(
INDEX($K$272:$K$977,MATCH(C122,$B$272:$B$977,0))&lt;&gt;0,
INDEX($K$272:$K$977,MATCH(C122,$B$272:$B$977,0)),
INDEX($L$272:$L$977,MATCH(C122,$B$272:$B$977,0))
),
0)</f>
        <v/>
      </c>
      <c r="F122" s="1" t="inlineStr">
        <is>
          <t>Lomo liso</t>
        </is>
      </c>
      <c r="G122" s="52" t="n">
        <v>0.18</v>
      </c>
      <c r="H122" s="81" t="inlineStr">
        <is>
          <t>Kg</t>
        </is>
      </c>
      <c r="I122" s="79" t="n"/>
      <c r="J122" s="78" t="n"/>
      <c r="K122" s="79" t="n"/>
      <c r="L122" s="80" t="n"/>
      <c r="M122" s="80" t="n"/>
      <c r="N122" s="80" t="n"/>
      <c r="O122" s="20" t="n"/>
      <c r="P122" s="4" t="n"/>
      <c r="Q122" s="4" t="n"/>
    </row>
    <row r="123" ht="15" customHeight="1" s="95">
      <c r="B123" s="4" t="n"/>
      <c r="C123" s="96" t="inlineStr">
        <is>
          <t>VECARFON012</t>
        </is>
      </c>
      <c r="D123" s="18" t="inlineStr">
        <is>
          <t>Merluza Austral</t>
        </is>
      </c>
      <c r="E123" s="207">
        <f>IFERROR(
IF(
INDEX($K$272:$K$977,MATCH(C123,$B$272:$B$977,0))&lt;&gt;0,
INDEX($K$272:$K$977,MATCH(C123,$B$272:$B$977,0)),
INDEX($L$272:$L$977,MATCH(C123,$B$272:$B$977,0))
),
0)</f>
        <v/>
      </c>
      <c r="F123" s="1" t="inlineStr">
        <is>
          <t>Merluza</t>
        </is>
      </c>
      <c r="G123" s="52" t="n">
        <v>0.18</v>
      </c>
      <c r="H123" s="81" t="inlineStr">
        <is>
          <t>Kg</t>
        </is>
      </c>
      <c r="I123" s="79" t="n"/>
      <c r="J123" s="78" t="n"/>
      <c r="K123" s="79" t="n"/>
      <c r="L123" s="80" t="n"/>
      <c r="M123" s="80" t="n"/>
      <c r="N123" s="80" t="n"/>
      <c r="O123" s="20" t="n"/>
      <c r="P123" s="4" t="n"/>
      <c r="Q123" s="4" t="n"/>
    </row>
    <row r="124" ht="15" customHeight="1" s="95">
      <c r="B124" s="4" t="n"/>
      <c r="C124" s="96" t="inlineStr">
        <is>
          <t>VECARFJT027</t>
        </is>
      </c>
      <c r="D124" s="18" t="inlineStr">
        <is>
          <t>Merluza Austral JT</t>
        </is>
      </c>
      <c r="E124" s="207">
        <f>IFERROR(
IF(
INDEX($K$272:$K$977,MATCH(C124,$B$272:$B$977,0))&lt;&gt;0,
INDEX($K$272:$K$977,MATCH(C124,$B$272:$B$977,0)),
INDEX($L$272:$L$977,MATCH(C124,$B$272:$B$977,0))
),
0)</f>
        <v/>
      </c>
      <c r="F124" s="1" t="inlineStr">
        <is>
          <t>Merluza</t>
        </is>
      </c>
      <c r="G124" s="52" t="n">
        <v>0.18</v>
      </c>
      <c r="H124" s="81" t="inlineStr">
        <is>
          <t>Kg</t>
        </is>
      </c>
      <c r="I124" s="79" t="n"/>
      <c r="J124" s="78" t="n"/>
      <c r="K124" s="79" t="n"/>
      <c r="L124" s="80" t="n"/>
      <c r="M124" s="80" t="n"/>
      <c r="N124" s="80" t="n"/>
      <c r="O124" s="20" t="n"/>
      <c r="P124" s="4" t="n"/>
      <c r="Q124" s="4" t="n"/>
    </row>
    <row r="125" ht="15" customHeight="1" s="95">
      <c r="B125" s="4" t="n"/>
      <c r="C125" s="96" t="inlineStr">
        <is>
          <t>VECARFUB027</t>
        </is>
      </c>
      <c r="D125" s="18" t="inlineStr">
        <is>
          <t>Merluza Austral PY</t>
        </is>
      </c>
      <c r="E125" s="207">
        <f>IFERROR(
IF(
INDEX($K$272:$K$977,MATCH(C125,$B$272:$B$977,0))&lt;&gt;0,
INDEX($K$272:$K$977,MATCH(C125,$B$272:$B$977,0)),
INDEX($L$272:$L$977,MATCH(C125,$B$272:$B$977,0))
),
0)</f>
        <v/>
      </c>
      <c r="F125" s="1" t="inlineStr">
        <is>
          <t>Merluza</t>
        </is>
      </c>
      <c r="G125" s="52" t="n">
        <v>0.18</v>
      </c>
      <c r="H125" s="81" t="inlineStr">
        <is>
          <t>Kg</t>
        </is>
      </c>
      <c r="I125" s="79" t="n"/>
      <c r="J125" s="78" t="n"/>
      <c r="K125" s="79" t="n"/>
      <c r="L125" s="80" t="n"/>
      <c r="M125" s="80" t="n"/>
      <c r="N125" s="80" t="n"/>
      <c r="O125" s="20" t="n"/>
      <c r="P125" s="4" t="n"/>
      <c r="Q125" s="4" t="n"/>
    </row>
    <row r="126" ht="15" customHeight="1" s="95">
      <c r="B126" s="4" t="n"/>
      <c r="C126" s="96" t="inlineStr">
        <is>
          <t>VECARENT042</t>
        </is>
      </c>
      <c r="D126" s="18" t="inlineStr">
        <is>
          <t>Ostiones con Cebolla</t>
        </is>
      </c>
      <c r="E126" s="207">
        <f>IFERROR(
IF(
INDEX($K$272:$K$977,MATCH(C126,$B$272:$B$977,0))&lt;&gt;0,
INDEX($K$272:$K$977,MATCH(C126,$B$272:$B$977,0)),
INDEX($L$272:$L$977,MATCH(C126,$B$272:$B$977,0))
),
0)</f>
        <v/>
      </c>
      <c r="F126" s="1" t="inlineStr">
        <is>
          <t>Ostiones</t>
        </is>
      </c>
      <c r="G126" s="52" t="n">
        <v>1</v>
      </c>
      <c r="H126" s="81" t="inlineStr">
        <is>
          <t>Kg</t>
        </is>
      </c>
      <c r="I126" s="79" t="n"/>
      <c r="J126" s="78" t="n"/>
      <c r="K126" s="79" t="n"/>
      <c r="L126" s="80" t="n"/>
      <c r="M126" s="80" t="n"/>
      <c r="N126" s="80" t="n"/>
      <c r="O126" s="20" t="n"/>
      <c r="P126" s="4" t="n"/>
      <c r="Q126" s="4" t="n"/>
    </row>
    <row r="127" ht="15" customHeight="1" s="95">
      <c r="B127" s="4" t="n"/>
      <c r="C127" s="96" t="inlineStr">
        <is>
          <t>VECARFON068</t>
        </is>
      </c>
      <c r="D127" s="18" t="inlineStr">
        <is>
          <t>Paila de Carne Mechada</t>
        </is>
      </c>
      <c r="E127" s="207">
        <f>IFERROR(
IF(
INDEX($K$272:$K$977,MATCH(C127,$B$272:$B$977,0))&lt;&gt;0,
INDEX($K$272:$K$977,MATCH(C127,$B$272:$B$977,0)),
INDEX($L$272:$L$977,MATCH(C127,$B$272:$B$977,0))
),
0)</f>
        <v/>
      </c>
      <c r="F127" s="18" t="inlineStr">
        <is>
          <t>Ganso</t>
        </is>
      </c>
      <c r="G127" s="52" t="n">
        <v>0.12</v>
      </c>
      <c r="H127" s="81" t="inlineStr">
        <is>
          <t>Kg</t>
        </is>
      </c>
      <c r="I127" s="79" t="n"/>
      <c r="J127" s="78" t="n"/>
      <c r="K127" s="79" t="n"/>
      <c r="L127" s="80" t="n"/>
      <c r="M127" s="80" t="n"/>
      <c r="N127" s="80" t="n"/>
      <c r="O127" s="20" t="n"/>
      <c r="P127" s="4" t="n"/>
      <c r="Q127" s="4" t="n"/>
    </row>
    <row r="128" ht="15" customHeight="1" s="95">
      <c r="B128" s="4" t="n"/>
      <c r="C128" s="96" t="inlineStr">
        <is>
          <t>VECARFUB011</t>
        </is>
      </c>
      <c r="D128" s="18" t="inlineStr">
        <is>
          <t>Plateada Pastel PY</t>
        </is>
      </c>
      <c r="E128" s="207">
        <f>IFERROR(
IF(
INDEX($K$272:$K$977,MATCH(C128,$B$272:$B$977,0))&lt;&gt;0,
INDEX($K$272:$K$977,MATCH(C128,$B$272:$B$977,0)),
INDEX($L$272:$L$977,MATCH(C128,$B$272:$B$977,0))
),
0)</f>
        <v/>
      </c>
      <c r="F128" s="1" t="inlineStr">
        <is>
          <t>Plateada</t>
        </is>
      </c>
      <c r="G128" s="52" t="n">
        <v>0.18</v>
      </c>
      <c r="H128" s="81" t="inlineStr">
        <is>
          <t>Kg</t>
        </is>
      </c>
      <c r="I128" s="79" t="n"/>
      <c r="J128" s="78" t="n"/>
      <c r="K128" s="79" t="n"/>
      <c r="L128" s="80" t="n"/>
      <c r="M128" s="80" t="n"/>
      <c r="N128" s="80" t="n"/>
      <c r="O128" s="20" t="n"/>
      <c r="P128" s="4" t="n"/>
      <c r="Q128" s="4" t="n"/>
    </row>
    <row r="129" ht="15" customHeight="1" s="95">
      <c r="B129" s="4" t="n"/>
      <c r="C129" s="96" t="inlineStr">
        <is>
          <t>VECARFJT011</t>
        </is>
      </c>
      <c r="D129" s="18" t="inlineStr">
        <is>
          <t>Plateada Pastele JT</t>
        </is>
      </c>
      <c r="E129" s="207">
        <f>IFERROR(
IF(
INDEX($K$272:$K$977,MATCH(C129,$B$272:$B$977,0))&lt;&gt;0,
INDEX($K$272:$K$977,MATCH(C129,$B$272:$B$977,0)),
INDEX($L$272:$L$977,MATCH(C129,$B$272:$B$977,0))
),
0)</f>
        <v/>
      </c>
      <c r="F129" s="1" t="inlineStr">
        <is>
          <t>Plateada</t>
        </is>
      </c>
      <c r="G129" s="52" t="n">
        <v>0.18</v>
      </c>
      <c r="H129" s="81" t="inlineStr">
        <is>
          <t>Kg</t>
        </is>
      </c>
      <c r="I129" s="79" t="n"/>
      <c r="J129" s="78" t="n"/>
      <c r="K129" s="79" t="n"/>
      <c r="L129" s="80" t="n"/>
      <c r="M129" s="80" t="n"/>
      <c r="N129" s="80" t="n"/>
      <c r="O129" s="20" t="n"/>
      <c r="P129" s="4" t="n"/>
      <c r="Q129" s="4" t="n"/>
    </row>
    <row r="130" ht="15" customHeight="1" s="95">
      <c r="B130" s="4" t="n"/>
      <c r="C130" s="96" t="inlineStr">
        <is>
          <t>VECARFON017</t>
        </is>
      </c>
      <c r="D130" s="18" t="inlineStr">
        <is>
          <t>Plateada Pastelera</t>
        </is>
      </c>
      <c r="E130" s="207">
        <f>IFERROR(
IF(
INDEX($K$272:$K$977,MATCH(C130,$B$272:$B$977,0))&lt;&gt;0,
INDEX($K$272:$K$977,MATCH(C130,$B$272:$B$977,0)),
INDEX($L$272:$L$977,MATCH(C130,$B$272:$B$977,0))
),
0)</f>
        <v/>
      </c>
      <c r="F130" s="1" t="inlineStr">
        <is>
          <t>Plateada</t>
        </is>
      </c>
      <c r="G130" s="52" t="n">
        <v>0.18</v>
      </c>
      <c r="H130" s="81" t="inlineStr">
        <is>
          <t>Kg</t>
        </is>
      </c>
      <c r="I130" s="79" t="n"/>
      <c r="J130" s="78" t="n"/>
      <c r="K130" s="79" t="n"/>
      <c r="L130" s="80" t="n"/>
      <c r="M130" s="80" t="n"/>
      <c r="N130" s="80" t="n"/>
      <c r="O130" s="20" t="n"/>
      <c r="P130" s="4" t="n"/>
      <c r="Q130" s="4" t="n"/>
    </row>
    <row r="131" ht="15" customHeight="1" s="95">
      <c r="B131" s="4" t="n"/>
      <c r="C131" s="96" t="inlineStr">
        <is>
          <t>VECARPRU089</t>
        </is>
      </c>
      <c r="D131" s="18" t="inlineStr">
        <is>
          <t>Promo Ens. Jamón Serrano + Beb. PY</t>
        </is>
      </c>
      <c r="E131" s="207">
        <f>IFERROR(
IF(
INDEX($K$272:$K$977,MATCH(C131,$B$272:$B$977,0))&lt;&gt;0,
INDEX($K$272:$K$977,MATCH(C131,$B$272:$B$977,0)),
INDEX($L$272:$L$977,MATCH(C131,$B$272:$B$977,0))
),
0)</f>
        <v/>
      </c>
      <c r="F131" s="1" t="inlineStr">
        <is>
          <t>Jamón serrano</t>
        </is>
      </c>
      <c r="G131" s="52" t="n">
        <v>0.04</v>
      </c>
      <c r="H131" s="81" t="inlineStr">
        <is>
          <t>Kg</t>
        </is>
      </c>
      <c r="I131" s="79" t="n"/>
      <c r="J131" s="78" t="n"/>
      <c r="K131" s="79" t="n"/>
      <c r="L131" s="80" t="n"/>
      <c r="M131" s="80" t="n"/>
      <c r="N131" s="80" t="n"/>
      <c r="O131" s="20" t="n"/>
      <c r="P131" s="4" t="n"/>
      <c r="Q131" s="4" t="n"/>
    </row>
    <row r="132" ht="15" customHeight="1" s="95">
      <c r="B132" s="4" t="n"/>
      <c r="C132" s="96" t="inlineStr">
        <is>
          <t>VECARFON054</t>
        </is>
      </c>
      <c r="D132" s="18" t="inlineStr">
        <is>
          <t>Pulpo Mote</t>
        </is>
      </c>
      <c r="E132" s="207">
        <f>IFERROR(
IF(
INDEX($K$272:$K$977,MATCH(C132,$B$272:$B$977,0))&lt;&gt;0,
INDEX($K$272:$K$977,MATCH(C132,$B$272:$B$977,0)),
INDEX($L$272:$L$977,MATCH(C132,$B$272:$B$977,0))
),
0)</f>
        <v/>
      </c>
      <c r="F132" s="18" t="inlineStr">
        <is>
          <t>Pulpo</t>
        </is>
      </c>
      <c r="G132" s="52" t="n">
        <v>0.145</v>
      </c>
      <c r="H132" s="81" t="inlineStr">
        <is>
          <t>Kg</t>
        </is>
      </c>
      <c r="I132" s="79" t="n"/>
      <c r="J132" s="78" t="n"/>
      <c r="K132" s="79" t="n"/>
      <c r="L132" s="80" t="n"/>
      <c r="M132" s="80" t="n"/>
      <c r="N132" s="80" t="n"/>
      <c r="O132" s="20" t="n"/>
      <c r="P132" s="4" t="n"/>
      <c r="Q132" s="4" t="n"/>
    </row>
    <row r="133" ht="15" customHeight="1" s="95">
      <c r="B133" s="4" t="n"/>
      <c r="C133" s="96" t="inlineStr">
        <is>
          <t>VECARFON085</t>
        </is>
      </c>
      <c r="D133" s="18" t="inlineStr">
        <is>
          <t>Rigatoni con Ragout de Filete</t>
        </is>
      </c>
      <c r="E133" s="207">
        <f>IFERROR(
IF(
INDEX($K$272:$K$977,MATCH(C133,$B$272:$B$977,0))&lt;&gt;0,
INDEX($K$272:$K$977,MATCH(C133,$B$272:$B$977,0)),
INDEX($L$272:$L$977,MATCH(C133,$B$272:$B$977,0))
),
0)</f>
        <v/>
      </c>
      <c r="F133" s="18" t="inlineStr">
        <is>
          <t>Ragout Rigatoni</t>
        </is>
      </c>
      <c r="G133" s="52" t="n">
        <v>0.15</v>
      </c>
      <c r="H133" s="81" t="inlineStr">
        <is>
          <t>Kg</t>
        </is>
      </c>
      <c r="I133" s="79" t="n"/>
      <c r="J133" s="78" t="n"/>
      <c r="K133" s="79" t="n"/>
      <c r="L133" s="80" t="n"/>
      <c r="M133" s="80" t="n"/>
      <c r="N133" s="80" t="n"/>
      <c r="O133" s="20" t="n"/>
      <c r="P133" s="4" t="n"/>
      <c r="Q133" s="4" t="n"/>
    </row>
    <row r="134" ht="15" customHeight="1" s="95">
      <c r="B134" s="4" t="n"/>
      <c r="C134" s="96" t="inlineStr">
        <is>
          <t>VECARSND012</t>
        </is>
      </c>
      <c r="D134" s="18" t="inlineStr">
        <is>
          <t>Sándwich de Filete Italiano</t>
        </is>
      </c>
      <c r="E134" s="207">
        <f>IFERROR(
IF(
INDEX($K$272:$K$977,MATCH(C134,$B$272:$B$977,0))&lt;&gt;0,
INDEX($K$272:$K$977,MATCH(C134,$B$272:$B$977,0)),
INDEX($L$272:$L$977,MATCH(C134,$B$272:$B$977,0))
),
0)</f>
        <v/>
      </c>
      <c r="F134" s="18" t="inlineStr">
        <is>
          <t>Filete para churrasco</t>
        </is>
      </c>
      <c r="G134" s="52" t="n">
        <v>0.12</v>
      </c>
      <c r="H134" s="81" t="inlineStr">
        <is>
          <t>Kg</t>
        </is>
      </c>
      <c r="I134" s="79" t="n"/>
      <c r="J134" s="78" t="n"/>
      <c r="K134" s="79" t="n"/>
      <c r="L134" s="80" t="n"/>
      <c r="M134" s="80" t="n"/>
      <c r="N134" s="80" t="n"/>
      <c r="O134" s="20" t="n"/>
      <c r="P134" s="4" t="n"/>
      <c r="Q134" s="4" t="n"/>
    </row>
    <row r="135" ht="15" customHeight="1" s="95">
      <c r="B135" s="4" t="n"/>
      <c r="C135" s="96" t="inlineStr">
        <is>
          <t>VECARFON020</t>
        </is>
      </c>
      <c r="D135" s="18" t="inlineStr">
        <is>
          <t>Salmon Cancato</t>
        </is>
      </c>
      <c r="E135" s="207">
        <f>IFERROR(
IF(
INDEX($K$272:$K$977,MATCH(C135,$B$272:$B$977,0))&lt;&gt;0,
INDEX($K$272:$K$977,MATCH(C135,$B$272:$B$977,0)),
INDEX($L$272:$L$977,MATCH(C135,$B$272:$B$977,0))
),
0)</f>
        <v/>
      </c>
      <c r="F135" s="1" t="inlineStr">
        <is>
          <t>Salmón cancato</t>
        </is>
      </c>
      <c r="G135" s="52" t="n">
        <v>0.16</v>
      </c>
      <c r="H135" s="81" t="inlineStr">
        <is>
          <t>Kg</t>
        </is>
      </c>
      <c r="I135" s="79" t="n"/>
      <c r="J135" s="78" t="n"/>
      <c r="K135" s="79" t="n"/>
      <c r="L135" s="80" t="n"/>
      <c r="M135" s="80" t="n"/>
      <c r="N135" s="80" t="n"/>
      <c r="O135" s="20" t="n"/>
      <c r="P135" s="4" t="n"/>
      <c r="Q135" s="4" t="n"/>
    </row>
    <row r="136" ht="15" customHeight="1" s="95">
      <c r="B136" s="4" t="n"/>
      <c r="C136" s="96" t="inlineStr">
        <is>
          <t>VECARFJT006</t>
        </is>
      </c>
      <c r="D136" s="18" t="inlineStr">
        <is>
          <t>Salmon Cancato JT</t>
        </is>
      </c>
      <c r="E136" s="207">
        <f>IFERROR(
IF(
INDEX($K$272:$K$977,MATCH(C136,$B$272:$B$977,0))&lt;&gt;0,
INDEX($K$272:$K$977,MATCH(C136,$B$272:$B$977,0)),
INDEX($L$272:$L$977,MATCH(C136,$B$272:$B$977,0))
),
0)</f>
        <v/>
      </c>
      <c r="F136" s="1" t="inlineStr">
        <is>
          <t>Salmón cancato</t>
        </is>
      </c>
      <c r="G136" s="52" t="n">
        <v>0.16</v>
      </c>
      <c r="H136" s="81" t="inlineStr">
        <is>
          <t>Kg</t>
        </is>
      </c>
      <c r="I136" s="79" t="n"/>
      <c r="J136" s="78" t="n"/>
      <c r="K136" s="79" t="n"/>
      <c r="L136" s="80" t="n"/>
      <c r="M136" s="80" t="n"/>
      <c r="N136" s="80" t="n"/>
      <c r="O136" s="20" t="n"/>
      <c r="P136" s="4" t="n"/>
      <c r="Q136" s="4" t="n"/>
    </row>
    <row r="137" ht="15" customHeight="1" s="95">
      <c r="B137" s="4" t="n"/>
      <c r="C137" s="96" t="inlineStr">
        <is>
          <t>VECARFUB006</t>
        </is>
      </c>
      <c r="D137" s="18" t="inlineStr">
        <is>
          <t>Salmon Cancato PY</t>
        </is>
      </c>
      <c r="E137" s="207">
        <f>IFERROR(
IF(
INDEX($K$272:$K$977,MATCH(C137,$B$272:$B$977,0))&lt;&gt;0,
INDEX($K$272:$K$977,MATCH(C137,$B$272:$B$977,0)),
INDEX($L$272:$L$977,MATCH(C137,$B$272:$B$977,0))
),
0)</f>
        <v/>
      </c>
      <c r="F137" s="1" t="inlineStr">
        <is>
          <t>Salmón cancato</t>
        </is>
      </c>
      <c r="G137" s="52" t="n">
        <v>0.16</v>
      </c>
      <c r="H137" s="81" t="inlineStr">
        <is>
          <t>Kg</t>
        </is>
      </c>
      <c r="I137" s="79" t="n"/>
      <c r="J137" s="78" t="n"/>
      <c r="K137" s="79" t="n"/>
      <c r="L137" s="80" t="n"/>
      <c r="M137" s="80" t="n"/>
      <c r="N137" s="80" t="n"/>
      <c r="O137" s="20" t="n"/>
      <c r="P137" s="4" t="n"/>
      <c r="Q137" s="4" t="n"/>
    </row>
    <row r="138" ht="15" customHeight="1" s="95">
      <c r="B138" s="4" t="n"/>
      <c r="C138" s="96" t="inlineStr">
        <is>
          <t>VECARFON021</t>
        </is>
      </c>
      <c r="D138" s="18" t="inlineStr">
        <is>
          <t>Sorrentino Mechada</t>
        </is>
      </c>
      <c r="E138" s="207">
        <f>IFERROR(
IF(
INDEX($K$272:$K$977,MATCH(C138,$B$272:$B$977,0))&lt;&gt;0,
INDEX($K$272:$K$977,MATCH(C138,$B$272:$B$977,0)),
INDEX($L$272:$L$977,MATCH(C138,$B$272:$B$977,0))
),
0)</f>
        <v/>
      </c>
      <c r="F138" s="1" t="inlineStr">
        <is>
          <t>Sorrentinos carne mechada</t>
        </is>
      </c>
      <c r="G138" s="52" t="n">
        <v>1</v>
      </c>
      <c r="H138" s="81" t="inlineStr">
        <is>
          <t>Und</t>
        </is>
      </c>
      <c r="I138" s="79" t="n"/>
      <c r="J138" s="78" t="n"/>
      <c r="K138" s="79" t="n"/>
      <c r="L138" s="80" t="n"/>
      <c r="M138" s="80" t="n"/>
      <c r="N138" s="80" t="n"/>
      <c r="O138" s="20" t="n"/>
      <c r="P138" s="4" t="n"/>
      <c r="Q138" s="4" t="n"/>
    </row>
    <row r="139" ht="15" customHeight="1" s="95">
      <c r="B139" s="4" t="n"/>
      <c r="C139" s="96" t="inlineStr">
        <is>
          <t>VECARFON022</t>
        </is>
      </c>
      <c r="D139" s="18" t="inlineStr">
        <is>
          <t>Sorrentino Zapallo</t>
        </is>
      </c>
      <c r="E139" s="207">
        <f>IFERROR(
IF(
INDEX($K$272:$K$977,MATCH(C139,$B$272:$B$977,0))&lt;&gt;0,
INDEX($K$272:$K$977,MATCH(C139,$B$272:$B$977,0)),
INDEX($L$272:$L$977,MATCH(C139,$B$272:$B$977,0))
),
0)</f>
        <v/>
      </c>
      <c r="F139" s="1" t="inlineStr">
        <is>
          <t>Sorrentinos zapallo</t>
        </is>
      </c>
      <c r="G139" s="52" t="n">
        <v>1</v>
      </c>
      <c r="H139" s="81" t="inlineStr">
        <is>
          <t>Und</t>
        </is>
      </c>
      <c r="I139" s="79" t="n"/>
      <c r="J139" s="78" t="n"/>
      <c r="K139" s="79" t="n"/>
      <c r="L139" s="80" t="n"/>
      <c r="M139" s="80" t="n"/>
      <c r="N139" s="80" t="n"/>
      <c r="O139" s="20" t="n"/>
      <c r="P139" s="4" t="n"/>
      <c r="Q139" s="4" t="n"/>
    </row>
    <row r="140" ht="15" customHeight="1" s="95">
      <c r="B140" s="4" t="n"/>
      <c r="C140" s="96" t="inlineStr">
        <is>
          <t>VECARFUB036</t>
        </is>
      </c>
      <c r="D140" s="18" t="inlineStr">
        <is>
          <t>Sorrentinos de Carne Mechada PY</t>
        </is>
      </c>
      <c r="E140" s="207">
        <f>IFERROR(
IF(
INDEX($K$272:$K$977,MATCH(C140,$B$272:$B$977,0))&lt;&gt;0,
INDEX($K$272:$K$977,MATCH(C140,$B$272:$B$977,0)),
INDEX($L$272:$L$977,MATCH(C140,$B$272:$B$977,0))
),
0)</f>
        <v/>
      </c>
      <c r="F140" s="1" t="inlineStr">
        <is>
          <t>Sorrentinos carne mechada</t>
        </is>
      </c>
      <c r="G140" s="52" t="n">
        <v>1</v>
      </c>
      <c r="H140" s="81" t="inlineStr">
        <is>
          <t>Und</t>
        </is>
      </c>
      <c r="I140" s="79" t="n"/>
      <c r="J140" s="78" t="n"/>
      <c r="K140" s="79" t="n"/>
      <c r="L140" s="80" t="n"/>
      <c r="M140" s="80" t="n"/>
      <c r="N140" s="80" t="n"/>
      <c r="O140" s="20" t="n"/>
      <c r="P140" s="4" t="n"/>
      <c r="Q140" s="4" t="n"/>
    </row>
    <row r="141" ht="15" customHeight="1" s="95">
      <c r="B141" s="4" t="n"/>
      <c r="C141" s="96" t="inlineStr">
        <is>
          <t>VECARFON062</t>
        </is>
      </c>
      <c r="D141" s="18" t="inlineStr">
        <is>
          <t>Sorrentinos de pulpo y salmón</t>
        </is>
      </c>
      <c r="E141" s="207">
        <f>IFERROR(
IF(
INDEX($K$272:$K$977,MATCH(C141,$B$272:$B$977,0))&lt;&gt;0,
INDEX($K$272:$K$977,MATCH(C141,$B$272:$B$977,0)),
INDEX($L$272:$L$977,MATCH(C141,$B$272:$B$977,0))
),
0)</f>
        <v/>
      </c>
      <c r="F141" s="1" t="inlineStr">
        <is>
          <t>Sorrentinos pulpo y salmón</t>
        </is>
      </c>
      <c r="G141" s="52" t="n">
        <v>1</v>
      </c>
      <c r="H141" s="81" t="inlineStr">
        <is>
          <t>Und</t>
        </is>
      </c>
      <c r="I141" s="79" t="n"/>
      <c r="J141" s="78" t="n"/>
      <c r="K141" s="79" t="n"/>
      <c r="L141" s="80" t="n"/>
      <c r="M141" s="80" t="n"/>
      <c r="N141" s="80" t="n"/>
      <c r="O141" s="20" t="n"/>
      <c r="P141" s="4" t="n"/>
      <c r="Q141" s="4" t="n"/>
    </row>
    <row r="142" ht="15" customHeight="1" s="95">
      <c r="B142" s="4" t="n"/>
      <c r="C142" s="96" t="inlineStr">
        <is>
          <t>VECARFUB007</t>
        </is>
      </c>
      <c r="D142" s="18" t="inlineStr">
        <is>
          <t>Strogonof Arroz PY</t>
        </is>
      </c>
      <c r="E142" s="207">
        <f>IFERROR(
IF(
INDEX($K$272:$K$977,MATCH(C142,$B$272:$B$977,0))&lt;&gt;0,
INDEX($K$272:$K$977,MATCH(C142,$B$272:$B$977,0)),
INDEX($L$272:$L$977,MATCH(C142,$B$272:$B$977,0))
),
0)</f>
        <v/>
      </c>
      <c r="F142" s="1" t="inlineStr">
        <is>
          <t>Filete Salteado</t>
        </is>
      </c>
      <c r="G142" s="52" t="n">
        <v>0.16</v>
      </c>
      <c r="H142" s="81" t="inlineStr">
        <is>
          <t>Kg</t>
        </is>
      </c>
      <c r="I142" s="79" t="n"/>
      <c r="J142" s="78" t="n"/>
      <c r="K142" s="79" t="n"/>
      <c r="L142" s="80" t="n"/>
      <c r="M142" s="80" t="n"/>
      <c r="N142" s="80" t="n"/>
      <c r="O142" s="20" t="n"/>
      <c r="P142" s="4" t="n"/>
      <c r="Q142" s="4" t="n"/>
    </row>
    <row r="143" ht="15" customHeight="1" s="95">
      <c r="B143" s="4" t="n"/>
      <c r="C143" s="96" t="inlineStr">
        <is>
          <t>VECARFJT007</t>
        </is>
      </c>
      <c r="D143" s="18" t="inlineStr">
        <is>
          <t>Strogonof Arroz JT</t>
        </is>
      </c>
      <c r="E143" s="207">
        <f>IFERROR(
IF(
INDEX($K$272:$K$977,MATCH(C143,$B$272:$B$977,0))&lt;&gt;0,
INDEX($K$272:$K$977,MATCH(C143,$B$272:$B$977,0)),
INDEX($L$272:$L$977,MATCH(C143,$B$272:$B$977,0))
),
0)</f>
        <v/>
      </c>
      <c r="F143" s="1" t="inlineStr">
        <is>
          <t>Filete Salteado</t>
        </is>
      </c>
      <c r="G143" s="52" t="n">
        <v>0.16</v>
      </c>
      <c r="H143" s="81" t="inlineStr">
        <is>
          <t>Kg</t>
        </is>
      </c>
      <c r="I143" s="79" t="n"/>
      <c r="J143" s="78" t="n"/>
      <c r="K143" s="79" t="n"/>
      <c r="L143" s="80" t="n"/>
      <c r="M143" s="80" t="n"/>
      <c r="N143" s="80" t="n"/>
      <c r="O143" s="20" t="n"/>
      <c r="P143" s="4" t="n"/>
      <c r="Q143" s="4" t="n"/>
    </row>
    <row r="144" ht="15" customHeight="1" s="95">
      <c r="B144" s="4" t="n"/>
      <c r="C144" s="96" t="inlineStr">
        <is>
          <t>VECARFON023</t>
        </is>
      </c>
      <c r="D144" s="18" t="inlineStr">
        <is>
          <t>Strogonoff Arroz</t>
        </is>
      </c>
      <c r="E144" s="207">
        <f>IFERROR(
IF(
INDEX($K$272:$K$977,MATCH(C144,$B$272:$B$977,0))&lt;&gt;0,
INDEX($K$272:$K$977,MATCH(C144,$B$272:$B$977,0)),
INDEX($L$272:$L$977,MATCH(C144,$B$272:$B$977,0))
),
0)</f>
        <v/>
      </c>
      <c r="F144" s="1" t="inlineStr">
        <is>
          <t>Filete Salteado</t>
        </is>
      </c>
      <c r="G144" s="52" t="n">
        <v>0.16</v>
      </c>
      <c r="H144" s="81" t="inlineStr">
        <is>
          <t>Kg</t>
        </is>
      </c>
      <c r="I144" s="79" t="n"/>
      <c r="J144" s="78" t="n"/>
      <c r="K144" s="79" t="n"/>
      <c r="L144" s="80" t="n"/>
      <c r="M144" s="80" t="n"/>
      <c r="N144" s="80" t="n"/>
      <c r="O144" s="20" t="n"/>
      <c r="P144" s="4" t="n"/>
      <c r="Q144" s="4" t="n"/>
    </row>
    <row r="145" ht="15" customHeight="1" s="95">
      <c r="B145" s="4" t="n"/>
      <c r="C145" s="96" t="inlineStr">
        <is>
          <t>VECARENT008</t>
        </is>
      </c>
      <c r="D145" s="18" t="inlineStr">
        <is>
          <t>Tartar Atún</t>
        </is>
      </c>
      <c r="E145" s="207">
        <f>IFERROR(
IF(
INDEX($K$272:$K$977,MATCH(C145,$B$272:$B$977,0))&lt;&gt;0,
INDEX($K$272:$K$977,MATCH(C145,$B$272:$B$977,0)),
INDEX($L$272:$L$977,MATCH(C145,$B$272:$B$977,0))
),
0)</f>
        <v/>
      </c>
      <c r="F145" s="1" t="inlineStr">
        <is>
          <t>Atún Trozos</t>
        </is>
      </c>
      <c r="G145" s="52" t="n">
        <v>0.18</v>
      </c>
      <c r="H145" s="81" t="inlineStr">
        <is>
          <t>Kg</t>
        </is>
      </c>
      <c r="I145" s="79" t="n"/>
      <c r="J145" s="78" t="n"/>
      <c r="K145" s="79" t="n"/>
      <c r="L145" s="80" t="n"/>
      <c r="M145" s="80" t="n"/>
      <c r="N145" s="80" t="n"/>
      <c r="O145" s="20" t="n"/>
      <c r="P145" s="4" t="n"/>
      <c r="Q145" s="4" t="n"/>
    </row>
    <row r="146" ht="15" customHeight="1" s="95">
      <c r="B146" s="4" t="n"/>
      <c r="C146" s="96" t="inlineStr">
        <is>
          <t>VECARAJT002</t>
        </is>
      </c>
      <c r="D146" s="18" t="inlineStr">
        <is>
          <t>Tartar Atún JT</t>
        </is>
      </c>
      <c r="E146" s="207">
        <f>IFERROR(
IF(
INDEX($K$272:$K$977,MATCH(C146,$B$272:$B$977,0))&lt;&gt;0,
INDEX($K$272:$K$977,MATCH(C146,$B$272:$B$977,0)),
INDEX($L$272:$L$977,MATCH(C146,$B$272:$B$977,0))
),
0)</f>
        <v/>
      </c>
      <c r="F146" s="1" t="inlineStr">
        <is>
          <t>Atún Trozos</t>
        </is>
      </c>
      <c r="G146" s="52" t="n">
        <v>0.18</v>
      </c>
      <c r="H146" s="81" t="inlineStr">
        <is>
          <t>Kg</t>
        </is>
      </c>
      <c r="I146" s="79" t="n"/>
      <c r="J146" s="78" t="n"/>
      <c r="K146" s="79" t="n"/>
      <c r="L146" s="80" t="n"/>
      <c r="M146" s="80" t="n"/>
      <c r="N146" s="80" t="n"/>
      <c r="O146" s="20" t="n"/>
      <c r="P146" s="4" t="n"/>
      <c r="Q146" s="4" t="n"/>
    </row>
    <row r="147" ht="15" customHeight="1" s="95">
      <c r="B147" s="4" t="n"/>
      <c r="C147" s="96" t="inlineStr">
        <is>
          <t>VECARAUB002</t>
        </is>
      </c>
      <c r="D147" s="18" t="inlineStr">
        <is>
          <t>Tartar Atún Palta  PY</t>
        </is>
      </c>
      <c r="E147" s="207">
        <f>IFERROR(
IF(
INDEX($K$272:$K$977,MATCH(C147,$B$272:$B$977,0))&lt;&gt;0,
INDEX($K$272:$K$977,MATCH(C147,$B$272:$B$977,0)),
INDEX($L$272:$L$977,MATCH(C147,$B$272:$B$977,0))
),
0)</f>
        <v/>
      </c>
      <c r="F147" s="1" t="inlineStr">
        <is>
          <t>Atún Trozos</t>
        </is>
      </c>
      <c r="G147" s="52" t="n">
        <v>0.18</v>
      </c>
      <c r="H147" s="81" t="inlineStr">
        <is>
          <t>Kg</t>
        </is>
      </c>
      <c r="I147" s="79" t="n"/>
      <c r="J147" s="78" t="n"/>
      <c r="K147" s="79" t="n"/>
      <c r="L147" s="80" t="n"/>
      <c r="M147" s="80" t="n"/>
      <c r="N147" s="80" t="n"/>
      <c r="O147" s="20" t="n"/>
      <c r="P147" s="4" t="n"/>
      <c r="Q147" s="4" t="n"/>
    </row>
    <row r="148" ht="15" customHeight="1" s="95">
      <c r="B148" s="4" t="n"/>
      <c r="C148" s="96" t="inlineStr">
        <is>
          <t>VECARAUB012</t>
        </is>
      </c>
      <c r="D148" s="18" t="inlineStr">
        <is>
          <t>Tártaro Filete PY</t>
        </is>
      </c>
      <c r="E148" s="207">
        <f>IFERROR(
IF(
INDEX($K$272:$K$977,MATCH(C148,$B$272:$B$977,0))&lt;&gt;0,
INDEX($K$272:$K$977,MATCH(C148,$B$272:$B$977,0)),
INDEX($L$272:$L$977,MATCH(C148,$B$272:$B$977,0))
),
0)</f>
        <v/>
      </c>
      <c r="F148" s="18" t="inlineStr">
        <is>
          <t>Filete para crudo</t>
        </is>
      </c>
      <c r="G148" s="52" t="n">
        <v>0.17</v>
      </c>
      <c r="H148" s="81" t="inlineStr">
        <is>
          <t>Kg</t>
        </is>
      </c>
      <c r="I148" s="79" t="n"/>
      <c r="J148" s="78" t="n"/>
      <c r="K148" s="79" t="n"/>
      <c r="L148" s="80" t="n"/>
      <c r="M148" s="80" t="n"/>
      <c r="N148" s="80" t="n"/>
      <c r="O148" s="20" t="n"/>
      <c r="P148" s="4" t="n"/>
      <c r="Q148" s="4" t="n"/>
    </row>
    <row r="149" ht="15" customHeight="1" s="95">
      <c r="B149" s="4" t="n"/>
      <c r="C149" s="96" t="inlineStr">
        <is>
          <t>VECARAJT012</t>
        </is>
      </c>
      <c r="D149" s="18" t="inlineStr">
        <is>
          <t>Tartaro Filete JT</t>
        </is>
      </c>
      <c r="E149" s="207">
        <f>IFERROR(
IF(
INDEX($K$272:$K$977,MATCH(C149,$B$272:$B$977,0))&lt;&gt;0,
INDEX($K$272:$K$977,MATCH(C149,$B$272:$B$977,0)),
INDEX($L$272:$L$977,MATCH(C149,$B$272:$B$977,0))
),
0)</f>
        <v/>
      </c>
      <c r="F149" s="18" t="inlineStr">
        <is>
          <t>Filete para crudo</t>
        </is>
      </c>
      <c r="G149" s="52" t="n">
        <v>0.17</v>
      </c>
      <c r="H149" s="81" t="inlineStr">
        <is>
          <t>Kg</t>
        </is>
      </c>
      <c r="I149" s="79" t="n"/>
      <c r="J149" s="78" t="n"/>
      <c r="K149" s="79" t="n"/>
      <c r="L149" s="80" t="n"/>
      <c r="M149" s="80" t="n"/>
      <c r="N149" s="80" t="n"/>
      <c r="O149" s="20" t="n"/>
      <c r="P149" s="4" t="n"/>
      <c r="Q149" s="4" t="n"/>
    </row>
    <row r="150" ht="15" customHeight="1" s="95">
      <c r="B150" s="4" t="n"/>
      <c r="C150" s="96" t="inlineStr">
        <is>
          <t>VECARENT027</t>
        </is>
      </c>
      <c r="D150" s="18" t="inlineStr">
        <is>
          <t>Tártaro Res</t>
        </is>
      </c>
      <c r="E150" s="207">
        <f>IFERROR(
IF(
INDEX($K$272:$K$977,MATCH(C150,$B$272:$B$977,0))&lt;&gt;0,
INDEX($K$272:$K$977,MATCH(C150,$B$272:$B$977,0)),
INDEX($L$272:$L$977,MATCH(C150,$B$272:$B$977,0))
),
0)</f>
        <v/>
      </c>
      <c r="F150" s="18" t="inlineStr">
        <is>
          <t>Filete para crudo</t>
        </is>
      </c>
      <c r="G150" s="52" t="n">
        <v>0.17</v>
      </c>
      <c r="H150" s="81" t="inlineStr">
        <is>
          <t>Kg</t>
        </is>
      </c>
      <c r="I150" s="79" t="n"/>
      <c r="J150" s="78" t="n"/>
      <c r="K150" s="79" t="n"/>
      <c r="L150" s="80" t="n"/>
      <c r="M150" s="80" t="n"/>
      <c r="N150" s="80" t="n"/>
      <c r="O150" s="20" t="n"/>
      <c r="P150" s="4" t="n"/>
      <c r="Q150" s="4" t="n"/>
    </row>
    <row r="151" ht="15" customHeight="1" s="95">
      <c r="B151" s="4" t="n"/>
      <c r="C151" s="96" t="inlineStr">
        <is>
          <t>VECARENT041</t>
        </is>
      </c>
      <c r="D151" s="18" t="inlineStr">
        <is>
          <t>Tiradito de Locos</t>
        </is>
      </c>
      <c r="E151" s="207">
        <f>IFERROR(
IF(
INDEX($K$272:$K$977,MATCH(C151,$B$272:$B$977,0))&lt;&gt;0,
INDEX($K$272:$K$977,MATCH(C151,$B$272:$B$977,0)),
INDEX($L$272:$L$977,MATCH(C151,$B$272:$B$977,0))
),
0)</f>
        <v/>
      </c>
      <c r="F151" s="18" t="inlineStr">
        <is>
          <t>Locos</t>
        </is>
      </c>
      <c r="G151" s="52" t="n">
        <v>0.09</v>
      </c>
      <c r="H151" s="81" t="inlineStr">
        <is>
          <t>Kg</t>
        </is>
      </c>
      <c r="I151" s="79" t="n"/>
      <c r="J151" s="78" t="n"/>
      <c r="K151" s="79" t="n"/>
      <c r="L151" s="80" t="n"/>
      <c r="M151" s="80" t="n"/>
      <c r="N151" s="80" t="n"/>
      <c r="O151" s="20" t="n"/>
      <c r="P151" s="4" t="n"/>
      <c r="Q151" s="4" t="n"/>
    </row>
    <row r="152" ht="15" customHeight="1" s="95">
      <c r="B152" s="4" t="n"/>
      <c r="C152" s="97" t="inlineStr">
        <is>
          <t>VECARENT036</t>
        </is>
      </c>
      <c r="D152" s="18" t="inlineStr">
        <is>
          <t>Tiradito Salmón</t>
        </is>
      </c>
      <c r="E152" s="207">
        <f>IFERROR(
IF(
INDEX($K$272:$K$977,MATCH(C152,$B$272:$B$977,0))&lt;&gt;0,
INDEX($K$272:$K$977,MATCH(C152,$B$272:$B$977,0)),
INDEX($L$272:$L$977,MATCH(C152,$B$272:$B$977,0))
),
0)</f>
        <v/>
      </c>
      <c r="F152" s="1" t="inlineStr">
        <is>
          <t>Salmón fresco premium</t>
        </is>
      </c>
      <c r="G152" s="52" t="n">
        <v>0.09</v>
      </c>
      <c r="H152" s="81" t="inlineStr">
        <is>
          <t>Kg</t>
        </is>
      </c>
      <c r="I152" s="79" t="n"/>
      <c r="J152" s="78" t="n"/>
      <c r="K152" s="79" t="n"/>
      <c r="L152" s="80" t="n"/>
      <c r="M152" s="80" t="n"/>
      <c r="N152" s="80" t="n"/>
      <c r="O152" s="20" t="n"/>
      <c r="P152" s="4" t="n"/>
      <c r="Q152" s="4" t="n"/>
    </row>
    <row r="153" ht="15" customHeight="1" s="95" thickBot="1">
      <c r="B153" s="4" t="n"/>
      <c r="C153" s="82" t="inlineStr">
        <is>
          <t>VECARPOS011</t>
        </is>
      </c>
      <c r="D153" s="83" t="inlineStr">
        <is>
          <t>Volcán de Chocolate</t>
        </is>
      </c>
      <c r="E153" s="208">
        <f>IFERROR(
IF(
INDEX($K$272:$K$977,MATCH(C153,$B$272:$B$977,0))&lt;&gt;0,
INDEX($K$272:$K$977,MATCH(C153,$B$272:$B$977,0)),
INDEX($L$272:$L$977,MATCH(C153,$B$272:$B$977,0))
),
0)</f>
        <v/>
      </c>
      <c r="F153" s="31" t="inlineStr">
        <is>
          <t>Volcán de Chocolate</t>
        </is>
      </c>
      <c r="G153" s="84" t="n">
        <v>1</v>
      </c>
      <c r="H153" s="85" t="inlineStr">
        <is>
          <t>Kg</t>
        </is>
      </c>
      <c r="I153" s="79" t="n"/>
      <c r="J153" s="78" t="n"/>
      <c r="K153" s="79" t="n"/>
      <c r="L153" s="80" t="n"/>
      <c r="M153" s="80" t="n"/>
      <c r="N153" s="80" t="n"/>
      <c r="O153" s="20" t="n"/>
      <c r="P153" s="4" t="n"/>
      <c r="Q153" s="4" t="n"/>
    </row>
    <row r="154" ht="15.75" customHeight="1" s="95"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20" t="n"/>
      <c r="M154" s="20" t="n"/>
      <c r="N154" s="20" t="n"/>
      <c r="O154" s="20" t="n"/>
      <c r="P154" s="4" t="n"/>
      <c r="Q154" s="4" t="n"/>
    </row>
    <row r="155"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5" t="n"/>
      <c r="M155" s="5" t="n"/>
      <c r="N155" s="5" t="n"/>
      <c r="O155" s="5" t="n"/>
      <c r="P155" s="5" t="n"/>
      <c r="Q155" s="5" t="n"/>
      <c r="R155" s="209" t="n"/>
    </row>
    <row r="156" ht="13.5" customHeight="1" s="95" thickBot="1"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209" t="n"/>
    </row>
    <row r="157" ht="15.75" customHeight="1" s="95">
      <c r="B157" s="134" t="inlineStr">
        <is>
          <t>GRAMAJE</t>
        </is>
      </c>
      <c r="C157" s="309" t="inlineStr">
        <is>
          <t>MEDIDA</t>
        </is>
      </c>
      <c r="D157" s="309" t="inlineStr">
        <is>
          <t>PRODUCTOS</t>
        </is>
      </c>
      <c r="E157" s="144" t="inlineStr">
        <is>
          <t>STOCK INFORMADO</t>
        </is>
      </c>
      <c r="F157" s="310" t="inlineStr">
        <is>
          <t>* MERMAS EN KILOGRAMOS</t>
        </is>
      </c>
      <c r="G157" s="308" t="n"/>
      <c r="H157" s="308" t="n"/>
      <c r="I157" s="308" t="n"/>
      <c r="J157" s="311" t="n"/>
      <c r="K157" s="28" t="n"/>
      <c r="L157" s="65" t="n"/>
      <c r="M157" s="148" t="n"/>
      <c r="R157" s="209" t="n"/>
    </row>
    <row r="158" ht="26.25" customHeight="1" s="95" thickBot="1">
      <c r="B158" s="312" t="n"/>
      <c r="C158" s="313" t="n"/>
      <c r="D158" s="313" t="n"/>
      <c r="E158" s="314" t="n"/>
      <c r="F158" s="185" t="inlineStr">
        <is>
          <t>PRODUCCIÓN</t>
        </is>
      </c>
      <c r="G158" s="185" t="inlineStr">
        <is>
          <t>DEFECTUOSOS</t>
        </is>
      </c>
      <c r="H158" s="185" t="inlineStr">
        <is>
          <t>CLIENTES</t>
        </is>
      </c>
      <c r="I158" s="185" t="inlineStr">
        <is>
          <t>CORTESÍA</t>
        </is>
      </c>
      <c r="J158" s="76" t="inlineStr">
        <is>
          <t>REUTILIZAR</t>
        </is>
      </c>
      <c r="K158" s="28" t="n"/>
      <c r="L158" s="65" t="n"/>
      <c r="M158" s="148" t="n"/>
      <c r="N158" s="148" t="n"/>
      <c r="O158" s="148" t="n"/>
      <c r="P158" s="148" t="n"/>
      <c r="R158" s="209" t="n"/>
    </row>
    <row r="159" ht="13.5" customHeight="1" s="95" thickBot="1">
      <c r="B159" s="187" t="n">
        <v>0.18</v>
      </c>
      <c r="C159" s="188" t="inlineStr">
        <is>
          <t>Kg</t>
        </is>
      </c>
      <c r="D159" s="189" t="inlineStr">
        <is>
          <t>Atún apanado</t>
        </is>
      </c>
      <c r="E159" s="190" t="n"/>
      <c r="F159" s="190" t="n"/>
      <c r="G159" s="190" t="n"/>
      <c r="H159" s="190" t="n"/>
      <c r="I159" s="191" t="n"/>
      <c r="J159" s="246" t="n"/>
      <c r="K159" s="28" t="n"/>
      <c r="L159" s="65" t="n"/>
      <c r="M159" s="210" t="n"/>
      <c r="N159" s="6" t="n"/>
      <c r="O159" s="6" t="n"/>
      <c r="P159" s="210" t="n"/>
      <c r="R159" s="209" t="n"/>
    </row>
    <row r="160">
      <c r="B160" s="68" t="n">
        <v>0.25</v>
      </c>
      <c r="C160" s="23" t="inlineStr">
        <is>
          <t>Kg</t>
        </is>
      </c>
      <c r="D160" s="25" t="inlineStr">
        <is>
          <t>Atún Trozos</t>
        </is>
      </c>
      <c r="E160" s="26" t="n"/>
      <c r="F160" s="26" t="n"/>
      <c r="G160" s="26" t="n"/>
      <c r="H160" s="26" t="n"/>
      <c r="I160" s="67" t="n"/>
      <c r="J160" s="210" t="n"/>
      <c r="K160" s="28" t="n"/>
      <c r="L160" s="65" t="n"/>
      <c r="M160" s="210" t="n"/>
      <c r="N160" s="210" t="n"/>
      <c r="O160" s="210" t="n"/>
      <c r="P160" s="210" t="n"/>
      <c r="R160" s="209" t="n"/>
    </row>
    <row r="161">
      <c r="B161" s="68" t="n">
        <v>1</v>
      </c>
      <c r="C161" s="23" t="inlineStr">
        <is>
          <t>Kg</t>
        </is>
      </c>
      <c r="D161" s="25" t="inlineStr">
        <is>
          <t>Almejas Julianas</t>
        </is>
      </c>
      <c r="E161" s="26" t="n"/>
      <c r="F161" s="26" t="n"/>
      <c r="G161" s="26" t="n"/>
      <c r="H161" s="26" t="n"/>
      <c r="I161" s="67" t="n"/>
      <c r="J161" s="210" t="n"/>
      <c r="K161" s="28" t="n"/>
      <c r="L161" s="65" t="n"/>
      <c r="M161" s="210" t="n"/>
      <c r="N161" s="210" t="n"/>
      <c r="O161" s="210" t="n"/>
      <c r="P161" s="210" t="n"/>
      <c r="Q161" s="210" t="n"/>
      <c r="R161" s="209" t="n"/>
    </row>
    <row r="162">
      <c r="B162" s="68" t="n">
        <v>0.12</v>
      </c>
      <c r="C162" s="23" t="inlineStr">
        <is>
          <t>Kg</t>
        </is>
      </c>
      <c r="D162" s="25" t="inlineStr">
        <is>
          <t>Carpaccio de res</t>
        </is>
      </c>
      <c r="E162" s="26" t="n"/>
      <c r="F162" s="26" t="n"/>
      <c r="G162" s="26" t="n"/>
      <c r="H162" s="26" t="n"/>
      <c r="I162" s="67" t="n"/>
      <c r="J162" s="210" t="n"/>
      <c r="K162" s="28" t="n"/>
      <c r="L162" s="65" t="n"/>
      <c r="M162" s="43" t="n"/>
      <c r="N162" s="43" t="n"/>
      <c r="O162" s="43" t="n"/>
      <c r="P162" s="43" t="n"/>
      <c r="Q162" s="43" t="n"/>
      <c r="R162" s="209" t="n"/>
    </row>
    <row r="163">
      <c r="B163" s="68" t="n">
        <v>0.1</v>
      </c>
      <c r="C163" s="23" t="inlineStr">
        <is>
          <t>Kg</t>
        </is>
      </c>
      <c r="D163" s="27" t="inlineStr">
        <is>
          <t>Ceviche de Reineta</t>
        </is>
      </c>
      <c r="E163" s="26" t="n"/>
      <c r="F163" s="26" t="n"/>
      <c r="G163" s="26" t="n"/>
      <c r="H163" s="26" t="n"/>
      <c r="I163" s="67" t="n"/>
      <c r="J163" s="210" t="n"/>
      <c r="K163" s="28" t="n"/>
      <c r="L163" s="65" t="n"/>
      <c r="M163" s="65" t="n"/>
      <c r="N163" s="65" t="n"/>
      <c r="O163" s="65" t="n"/>
      <c r="P163" s="65" t="n"/>
      <c r="Q163" s="65" t="n"/>
      <c r="R163" s="209" t="n"/>
    </row>
    <row r="164">
      <c r="B164" s="68" t="n">
        <v>0.15</v>
      </c>
      <c r="C164" s="23" t="inlineStr">
        <is>
          <t>Kg</t>
        </is>
      </c>
      <c r="D164" s="27" t="inlineStr">
        <is>
          <t>Congrio</t>
        </is>
      </c>
      <c r="E164" s="26" t="n"/>
      <c r="F164" s="26" t="n"/>
      <c r="G164" s="26" t="n"/>
      <c r="H164" s="26" t="n"/>
      <c r="I164" s="67" t="n"/>
      <c r="J164" s="210" t="n"/>
      <c r="K164" s="28" t="n"/>
      <c r="L164" s="65" t="n"/>
      <c r="M164" s="65" t="n"/>
      <c r="N164" s="65" t="n"/>
      <c r="O164" s="65" t="n"/>
      <c r="P164" s="65" t="n"/>
      <c r="Q164" s="65" t="n"/>
      <c r="R164" s="209" t="n"/>
    </row>
    <row r="165">
      <c r="B165" s="68" t="n">
        <v>1</v>
      </c>
      <c r="C165" s="23" t="inlineStr">
        <is>
          <t>Porción</t>
        </is>
      </c>
      <c r="D165" s="27" t="inlineStr">
        <is>
          <t>Chupe de Salmón</t>
        </is>
      </c>
      <c r="E165" s="26" t="n"/>
      <c r="F165" s="26" t="n"/>
      <c r="G165" s="26" t="n"/>
      <c r="H165" s="26" t="n"/>
      <c r="I165" s="67" t="n"/>
      <c r="J165" s="210" t="n"/>
      <c r="K165" s="28" t="n"/>
      <c r="L165" s="28" t="n"/>
      <c r="M165" s="28" t="n"/>
      <c r="N165" s="28" t="n"/>
      <c r="O165" s="28" t="n"/>
      <c r="P165" s="28" t="n"/>
      <c r="Q165" s="28" t="n"/>
    </row>
    <row r="166">
      <c r="B166" s="68" t="n">
        <v>1</v>
      </c>
      <c r="C166" s="23" t="inlineStr">
        <is>
          <t>Kg</t>
        </is>
      </c>
      <c r="D166" s="27" t="inlineStr">
        <is>
          <t>Despunte de pulpo</t>
        </is>
      </c>
      <c r="E166" s="26" t="n"/>
      <c r="F166" s="26" t="n"/>
      <c r="G166" s="26" t="n"/>
      <c r="H166" s="26" t="n"/>
      <c r="I166" s="67" t="n"/>
      <c r="J166" s="210" t="n"/>
      <c r="K166" s="28" t="n"/>
      <c r="L166" s="28" t="n"/>
      <c r="M166" s="28" t="n"/>
      <c r="N166" s="28" t="n"/>
      <c r="O166" s="28" t="n"/>
      <c r="P166" s="28" t="n"/>
      <c r="Q166" s="28" t="n"/>
    </row>
    <row r="167">
      <c r="B167" s="68" t="n">
        <v>1</v>
      </c>
      <c r="C167" s="23" t="inlineStr">
        <is>
          <t>Kg</t>
        </is>
      </c>
      <c r="D167" s="27" t="inlineStr">
        <is>
          <t>Filete despunte</t>
        </is>
      </c>
      <c r="E167" s="26" t="n"/>
      <c r="F167" s="26" t="n"/>
      <c r="G167" s="26" t="n"/>
      <c r="H167" s="26" t="n"/>
      <c r="I167" s="67" t="n"/>
      <c r="J167" s="210" t="n"/>
      <c r="K167" s="28" t="n"/>
      <c r="L167" s="28" t="n"/>
      <c r="M167" s="28" t="n"/>
      <c r="N167" s="28" t="n"/>
      <c r="O167" s="28" t="n"/>
      <c r="P167" s="28" t="n"/>
      <c r="Q167" s="28" t="n"/>
    </row>
    <row r="168">
      <c r="B168" s="68" t="n">
        <v>0.12</v>
      </c>
      <c r="C168" s="23" t="inlineStr">
        <is>
          <t>Kg</t>
        </is>
      </c>
      <c r="D168" s="27" t="inlineStr">
        <is>
          <t>Filete para churrasco</t>
        </is>
      </c>
      <c r="E168" s="26" t="n"/>
      <c r="F168" s="26" t="n"/>
      <c r="G168" s="26" t="n"/>
      <c r="H168" s="26" t="n"/>
      <c r="I168" s="67" t="n"/>
      <c r="J168" s="210" t="n"/>
      <c r="K168" s="28" t="n"/>
      <c r="L168" s="28" t="n"/>
      <c r="M168" s="28" t="n"/>
      <c r="N168" s="28" t="n"/>
      <c r="O168" s="28" t="n"/>
      <c r="P168" s="28" t="n"/>
      <c r="Q168" s="28" t="n"/>
    </row>
    <row r="169">
      <c r="B169" s="68" t="n">
        <v>0.48</v>
      </c>
      <c r="C169" s="23" t="inlineStr">
        <is>
          <t>Kg</t>
        </is>
      </c>
      <c r="D169" s="70" t="inlineStr">
        <is>
          <t>Filete para crudo</t>
        </is>
      </c>
      <c r="E169" s="26" t="n"/>
      <c r="F169" s="26" t="n"/>
      <c r="G169" s="26" t="n"/>
      <c r="H169" s="26" t="n"/>
      <c r="I169" s="67" t="n"/>
      <c r="J169" s="210" t="n"/>
      <c r="K169" s="28" t="n"/>
      <c r="L169" s="28" t="n"/>
      <c r="M169" s="28" t="n"/>
      <c r="N169" s="28" t="n"/>
      <c r="O169" s="28" t="n"/>
      <c r="P169" s="28" t="n"/>
      <c r="Q169" s="28" t="n"/>
    </row>
    <row r="170">
      <c r="B170" s="68" t="n">
        <v>0.16</v>
      </c>
      <c r="C170" s="23" t="inlineStr">
        <is>
          <t>Kg</t>
        </is>
      </c>
      <c r="D170" s="25" t="inlineStr">
        <is>
          <t>Filete salteado</t>
        </is>
      </c>
      <c r="E170" s="26" t="n"/>
      <c r="F170" s="26" t="n"/>
      <c r="G170" s="26" t="n"/>
      <c r="H170" s="26" t="n"/>
      <c r="I170" s="67" t="n"/>
      <c r="J170" s="210" t="n"/>
      <c r="K170" s="28" t="n"/>
      <c r="L170" s="28" t="n"/>
      <c r="M170" s="28" t="n"/>
      <c r="N170" s="28" t="n"/>
      <c r="O170" s="28" t="n"/>
      <c r="P170" s="28" t="n"/>
      <c r="Q170" s="28" t="n"/>
    </row>
    <row r="171">
      <c r="B171" s="68" t="n">
        <v>0.12</v>
      </c>
      <c r="C171" s="23" t="inlineStr">
        <is>
          <t>Kg</t>
        </is>
      </c>
      <c r="D171" s="25" t="inlineStr">
        <is>
          <t>Ganso</t>
        </is>
      </c>
      <c r="E171" s="26" t="n"/>
      <c r="F171" s="26" t="n"/>
      <c r="G171" s="26" t="n"/>
      <c r="H171" s="26" t="n"/>
      <c r="I171" s="67" t="n"/>
      <c r="J171" s="210" t="n"/>
      <c r="K171" s="28" t="n"/>
      <c r="L171" s="28" t="n"/>
      <c r="M171" s="28" t="n"/>
      <c r="N171" s="28" t="n"/>
      <c r="O171" s="28" t="n"/>
      <c r="P171" s="28" t="n"/>
      <c r="Q171" s="28" t="n"/>
    </row>
    <row r="172">
      <c r="B172" s="68" t="n">
        <v>0.2</v>
      </c>
      <c r="C172" s="23" t="inlineStr">
        <is>
          <t>Kg</t>
        </is>
      </c>
      <c r="D172" s="25" t="inlineStr">
        <is>
          <t>Hamburguesas</t>
        </is>
      </c>
      <c r="E172" s="26" t="n"/>
      <c r="F172" s="26" t="n"/>
      <c r="G172" s="26" t="n"/>
      <c r="H172" s="26" t="n"/>
      <c r="I172" s="67" t="n"/>
      <c r="J172" s="210" t="n"/>
      <c r="K172" s="28" t="n"/>
      <c r="L172" s="28" t="n"/>
      <c r="M172" s="28" t="n"/>
      <c r="N172" s="28" t="n"/>
      <c r="O172" s="28" t="n"/>
      <c r="P172" s="28" t="n"/>
      <c r="Q172" s="28" t="n"/>
    </row>
    <row r="173">
      <c r="B173" s="68" t="n">
        <v>1</v>
      </c>
      <c r="C173" s="23" t="inlineStr">
        <is>
          <t>Kg</t>
        </is>
      </c>
      <c r="D173" s="70" t="inlineStr">
        <is>
          <t>Langostinos</t>
        </is>
      </c>
      <c r="E173" s="26" t="n"/>
      <c r="F173" s="26" t="n"/>
      <c r="G173" s="26" t="n"/>
      <c r="H173" s="26" t="n"/>
      <c r="I173" s="67" t="n"/>
      <c r="J173" s="210" t="n"/>
      <c r="K173" s="28" t="n"/>
      <c r="L173" s="28" t="n"/>
      <c r="M173" s="28" t="n"/>
      <c r="N173" s="28" t="n"/>
      <c r="O173" s="28" t="n"/>
      <c r="P173" s="28" t="n"/>
      <c r="Q173" s="28" t="n"/>
    </row>
    <row r="174">
      <c r="B174" s="68" t="n">
        <v>1</v>
      </c>
      <c r="C174" s="23" t="inlineStr">
        <is>
          <t>Kg</t>
        </is>
      </c>
      <c r="D174" s="25" t="inlineStr">
        <is>
          <t>Jamón serrano</t>
        </is>
      </c>
      <c r="E174" s="26" t="n"/>
      <c r="F174" s="26" t="n"/>
      <c r="G174" s="26" t="n"/>
      <c r="H174" s="26" t="n"/>
      <c r="I174" s="67" t="n"/>
      <c r="J174" s="210" t="n"/>
      <c r="K174" s="28" t="n"/>
      <c r="L174" s="28" t="n"/>
      <c r="M174" s="4" t="n"/>
      <c r="N174" s="4" t="n"/>
      <c r="O174" s="28" t="n"/>
      <c r="P174" s="28" t="n"/>
      <c r="Q174" s="28" t="n"/>
    </row>
    <row r="175">
      <c r="B175" s="68" t="n">
        <v>1</v>
      </c>
      <c r="C175" s="23" t="inlineStr">
        <is>
          <t>Porción</t>
        </is>
      </c>
      <c r="D175" s="25" t="inlineStr">
        <is>
          <t>Lasagna Berenjenas</t>
        </is>
      </c>
      <c r="E175" s="186" t="n"/>
      <c r="F175" s="26" t="n"/>
      <c r="G175" s="26" t="n"/>
      <c r="H175" s="26" t="n"/>
      <c r="I175" s="67" t="n"/>
      <c r="J175" s="210" t="n"/>
      <c r="K175" s="28" t="n"/>
      <c r="L175" s="28" t="n"/>
      <c r="M175" s="28" t="n"/>
      <c r="N175" s="28" t="n"/>
      <c r="O175" s="28" t="n"/>
      <c r="P175" s="28" t="n"/>
      <c r="Q175" s="28" t="n"/>
    </row>
    <row r="176">
      <c r="B176" s="68" t="n">
        <v>0.18</v>
      </c>
      <c r="C176" s="23" t="inlineStr">
        <is>
          <t>Kg</t>
        </is>
      </c>
      <c r="D176" s="25" t="inlineStr">
        <is>
          <t>Lomo liso</t>
        </is>
      </c>
      <c r="E176" s="26" t="n"/>
      <c r="F176" s="26" t="n"/>
      <c r="G176" s="26" t="n"/>
      <c r="H176" s="26" t="n"/>
      <c r="I176" s="67" t="n"/>
      <c r="J176" s="210" t="n"/>
      <c r="K176" s="28" t="n"/>
      <c r="L176" s="28" t="n"/>
      <c r="M176" s="28" t="n"/>
      <c r="N176" s="28" t="n"/>
      <c r="O176" s="28" t="n"/>
      <c r="P176" s="28" t="n"/>
      <c r="Q176" s="28" t="n"/>
    </row>
    <row r="177">
      <c r="B177" s="68" t="n">
        <v>0.09</v>
      </c>
      <c r="C177" s="23" t="inlineStr">
        <is>
          <t>Kg</t>
        </is>
      </c>
      <c r="D177" s="25" t="inlineStr">
        <is>
          <t>Locos</t>
        </is>
      </c>
      <c r="E177" s="26" t="n"/>
      <c r="F177" s="26" t="n"/>
      <c r="G177" s="26" t="n"/>
      <c r="H177" s="26" t="n"/>
      <c r="I177" s="67" t="n"/>
      <c r="J177" s="210" t="n"/>
      <c r="K177" s="28" t="n"/>
      <c r="L177" s="28" t="n"/>
      <c r="M177" s="28" t="n"/>
      <c r="N177" s="28" t="n"/>
      <c r="O177" s="28" t="n"/>
      <c r="P177" s="28" t="n"/>
      <c r="Q177" s="28" t="n"/>
    </row>
    <row r="178">
      <c r="B178" s="68" t="n">
        <v>1</v>
      </c>
      <c r="C178" s="23" t="inlineStr">
        <is>
          <t>Kg</t>
        </is>
      </c>
      <c r="D178" s="25" t="inlineStr">
        <is>
          <t>Mejillones</t>
        </is>
      </c>
      <c r="E178" s="26" t="n"/>
      <c r="F178" s="26" t="n"/>
      <c r="G178" s="26" t="n"/>
      <c r="H178" s="26" t="n"/>
      <c r="I178" s="67" t="n"/>
      <c r="J178" s="210" t="n"/>
      <c r="K178" s="28" t="n"/>
      <c r="L178" s="28" t="n"/>
      <c r="M178" s="28" t="n"/>
      <c r="N178" s="28" t="n"/>
      <c r="O178" s="28" t="n"/>
      <c r="P178" s="28" t="n"/>
      <c r="Q178" s="28" t="n"/>
    </row>
    <row r="179">
      <c r="B179" s="68" t="n">
        <v>0.18</v>
      </c>
      <c r="C179" s="23" t="inlineStr">
        <is>
          <t>Kg</t>
        </is>
      </c>
      <c r="D179" s="25" t="inlineStr">
        <is>
          <t>Merluza</t>
        </is>
      </c>
      <c r="E179" s="26" t="n"/>
      <c r="F179" s="26" t="n"/>
      <c r="G179" s="26" t="n"/>
      <c r="H179" s="26" t="n"/>
      <c r="I179" s="67" t="n"/>
      <c r="J179" s="210" t="n"/>
      <c r="K179" s="28" t="n"/>
      <c r="L179" s="28" t="n"/>
      <c r="M179" s="28" t="n"/>
      <c r="N179" s="28" t="n"/>
      <c r="O179" s="28" t="n"/>
      <c r="P179" s="28" t="n"/>
      <c r="Q179" s="28" t="n"/>
    </row>
    <row r="180">
      <c r="B180" s="68" t="n">
        <v>0.12</v>
      </c>
      <c r="C180" s="23" t="inlineStr">
        <is>
          <t>Kg</t>
        </is>
      </c>
      <c r="D180" s="25" t="inlineStr">
        <is>
          <t>Paila de Carne</t>
        </is>
      </c>
      <c r="E180" s="26" t="n"/>
      <c r="F180" s="26" t="n"/>
      <c r="G180" s="26" t="n"/>
      <c r="H180" s="26" t="n"/>
      <c r="I180" s="67" t="n"/>
      <c r="J180" s="210" t="n"/>
      <c r="K180" s="28" t="n"/>
      <c r="L180" s="28" t="n"/>
      <c r="M180" s="28" t="n"/>
      <c r="N180" s="28" t="n"/>
      <c r="O180" s="28" t="n"/>
      <c r="P180" s="28" t="n"/>
      <c r="Q180" s="28" t="n"/>
    </row>
    <row r="181">
      <c r="B181" s="68" t="n">
        <v>0.18</v>
      </c>
      <c r="C181" s="23" t="inlineStr">
        <is>
          <t>Kg</t>
        </is>
      </c>
      <c r="D181" s="25" t="inlineStr">
        <is>
          <t>Plateada</t>
        </is>
      </c>
      <c r="E181" s="26" t="n"/>
      <c r="F181" s="26" t="n"/>
      <c r="G181" s="26" t="n"/>
      <c r="H181" s="26" t="n"/>
      <c r="I181" s="67" t="n"/>
      <c r="J181" s="210" t="n"/>
      <c r="K181" s="28" t="n"/>
      <c r="L181" s="28" t="n"/>
      <c r="M181" s="28" t="n"/>
      <c r="N181" s="28" t="n"/>
      <c r="O181" s="28" t="n"/>
      <c r="P181" s="28" t="n"/>
      <c r="Q181" s="28" t="n"/>
    </row>
    <row r="182">
      <c r="B182" s="68" t="n">
        <v>0.145</v>
      </c>
      <c r="C182" s="23" t="inlineStr">
        <is>
          <t>kg</t>
        </is>
      </c>
      <c r="D182" s="25" t="inlineStr">
        <is>
          <t>Pulpo</t>
        </is>
      </c>
      <c r="E182" s="26" t="n"/>
      <c r="F182" s="26" t="n"/>
      <c r="G182" s="26" t="n"/>
      <c r="H182" s="26" t="n"/>
      <c r="I182" s="67" t="n"/>
      <c r="J182" s="210" t="n"/>
      <c r="K182" s="28" t="n"/>
      <c r="L182" s="28" t="n"/>
      <c r="M182" s="4" t="n"/>
      <c r="N182" s="4" t="n"/>
      <c r="O182" s="28" t="n"/>
      <c r="P182" s="28" t="n"/>
      <c r="Q182" s="28" t="n"/>
    </row>
    <row r="183">
      <c r="B183" s="168" t="n">
        <v>0.411</v>
      </c>
      <c r="C183" s="23" t="inlineStr">
        <is>
          <t>Kg</t>
        </is>
      </c>
      <c r="D183" s="25" t="inlineStr">
        <is>
          <t>Ragout Lasagna</t>
        </is>
      </c>
      <c r="E183" s="26" t="n"/>
      <c r="F183" s="26" t="n"/>
      <c r="G183" s="26" t="n"/>
      <c r="H183" s="26" t="n"/>
      <c r="I183" s="67" t="n"/>
      <c r="J183" s="210" t="n"/>
      <c r="K183" s="28" t="n"/>
      <c r="L183" s="28" t="n"/>
      <c r="M183" s="4" t="n"/>
      <c r="N183" s="4" t="n"/>
      <c r="O183" s="28" t="n"/>
      <c r="P183" s="28" t="n"/>
      <c r="Q183" s="28" t="n"/>
    </row>
    <row r="184">
      <c r="B184" s="168" t="n">
        <v>0.36</v>
      </c>
      <c r="C184" s="23" t="inlineStr">
        <is>
          <t>Kg</t>
        </is>
      </c>
      <c r="D184" s="25" t="inlineStr">
        <is>
          <t>Ragout Rigatoni</t>
        </is>
      </c>
      <c r="E184" s="26" t="n"/>
      <c r="F184" s="26" t="n"/>
      <c r="G184" s="26" t="n"/>
      <c r="H184" s="26" t="n"/>
      <c r="I184" s="67" t="n"/>
      <c r="J184" s="210" t="n"/>
      <c r="K184" s="28" t="n"/>
      <c r="L184" s="28" t="n"/>
      <c r="M184" s="4" t="n"/>
      <c r="N184" s="4" t="n"/>
      <c r="O184" s="28" t="n"/>
      <c r="P184" s="28" t="n"/>
      <c r="Q184" s="28" t="n"/>
    </row>
    <row r="185">
      <c r="B185" s="68" t="n">
        <v>1</v>
      </c>
      <c r="C185" s="23" t="inlineStr">
        <is>
          <t>Kg</t>
        </is>
      </c>
      <c r="D185" s="25" t="inlineStr">
        <is>
          <t>Salmon ahumado en frío</t>
        </is>
      </c>
      <c r="E185" s="26" t="n"/>
      <c r="F185" s="26" t="n"/>
      <c r="G185" s="26" t="n"/>
      <c r="H185" s="26" t="n"/>
      <c r="I185" s="67" t="n"/>
      <c r="J185" s="210" t="n"/>
      <c r="K185" s="28" t="n"/>
      <c r="L185" s="28" t="n"/>
      <c r="M185" s="4" t="n"/>
      <c r="N185" s="4" t="n"/>
      <c r="O185" s="28" t="n"/>
      <c r="P185" s="28" t="n"/>
      <c r="Q185" s="28" t="n"/>
    </row>
    <row r="186">
      <c r="B186" s="68" t="n">
        <v>0.12</v>
      </c>
      <c r="C186" s="23" t="inlineStr">
        <is>
          <t>Kg</t>
        </is>
      </c>
      <c r="D186" s="25" t="inlineStr">
        <is>
          <t>Salmón ahumado en caliente</t>
        </is>
      </c>
      <c r="E186" s="26" t="n"/>
      <c r="F186" s="26" t="n"/>
      <c r="G186" s="26" t="n"/>
      <c r="H186" s="26" t="n"/>
      <c r="I186" s="67" t="n"/>
      <c r="J186" s="210" t="n"/>
      <c r="K186" s="28" t="n"/>
      <c r="L186" s="28" t="n"/>
      <c r="M186" s="28" t="n"/>
      <c r="N186" s="28" t="n"/>
      <c r="O186" s="28" t="n"/>
      <c r="P186" s="28" t="n"/>
      <c r="Q186" s="28" t="n"/>
    </row>
    <row r="187">
      <c r="B187" s="68" t="n">
        <v>0.16</v>
      </c>
      <c r="C187" s="23" t="inlineStr">
        <is>
          <t>Kg</t>
        </is>
      </c>
      <c r="D187" s="25" t="inlineStr">
        <is>
          <t>Salmón cancato</t>
        </is>
      </c>
      <c r="E187" s="26" t="n"/>
      <c r="F187" s="26" t="n"/>
      <c r="G187" s="26" t="n"/>
      <c r="H187" s="26" t="n"/>
      <c r="I187" s="67" t="n"/>
      <c r="J187" s="210" t="n"/>
      <c r="K187" s="28" t="n"/>
      <c r="L187" s="28" t="n"/>
      <c r="M187" s="28" t="n"/>
      <c r="N187" s="28" t="n"/>
      <c r="O187" s="28" t="n"/>
      <c r="P187" s="28" t="n"/>
      <c r="Q187" s="28" t="n"/>
    </row>
    <row r="188">
      <c r="B188" s="68" t="n">
        <v>0.09</v>
      </c>
      <c r="C188" s="23" t="inlineStr">
        <is>
          <t>Kg</t>
        </is>
      </c>
      <c r="D188" s="25" t="inlineStr">
        <is>
          <t>Salmón fresco premium</t>
        </is>
      </c>
      <c r="E188" s="26" t="n"/>
      <c r="F188" s="26" t="n"/>
      <c r="G188" s="26" t="n"/>
      <c r="H188" s="26" t="n"/>
      <c r="I188" s="67" t="n"/>
      <c r="J188" s="210" t="n"/>
      <c r="K188" s="28" t="n"/>
      <c r="L188" s="28" t="n"/>
      <c r="M188" s="28" t="n"/>
      <c r="N188" s="28" t="n"/>
      <c r="O188" s="28" t="n"/>
      <c r="P188" s="28" t="n"/>
      <c r="Q188" s="28" t="n"/>
    </row>
    <row r="189">
      <c r="B189" s="68" t="n">
        <v>0.17</v>
      </c>
      <c r="C189" s="23" t="inlineStr">
        <is>
          <t>Kg</t>
        </is>
      </c>
      <c r="D189" s="25" t="inlineStr">
        <is>
          <t>Tartar de res</t>
        </is>
      </c>
      <c r="E189" s="26" t="n"/>
      <c r="F189" s="26" t="n"/>
      <c r="G189" s="26" t="n"/>
      <c r="H189" s="26" t="n"/>
      <c r="I189" s="67" t="n"/>
      <c r="J189" s="210" t="n"/>
      <c r="K189" s="28" t="n"/>
      <c r="L189" s="28" t="n"/>
      <c r="M189" s="28" t="n"/>
      <c r="N189" s="28" t="n"/>
      <c r="O189" s="28" t="n"/>
      <c r="P189" s="28" t="n"/>
      <c r="Q189" s="28" t="n"/>
    </row>
    <row r="190" ht="13.5" customHeight="1" s="95" thickBot="1">
      <c r="B190" s="71" t="n">
        <v>0.18</v>
      </c>
      <c r="C190" s="75" t="inlineStr">
        <is>
          <t>Kg</t>
        </is>
      </c>
      <c r="D190" s="174" t="inlineStr">
        <is>
          <t xml:space="preserve">Tártaro de atún </t>
        </is>
      </c>
      <c r="E190" s="72" t="n"/>
      <c r="F190" s="72" t="n"/>
      <c r="G190" s="72" t="n"/>
      <c r="H190" s="72" t="n"/>
      <c r="I190" s="73" t="n"/>
      <c r="J190" s="210" t="n"/>
      <c r="K190" s="28" t="n"/>
      <c r="L190" s="28" t="n"/>
      <c r="M190" s="28" t="n"/>
      <c r="N190" s="28" t="n"/>
      <c r="O190" s="28" t="n"/>
      <c r="P190" s="28" t="n"/>
      <c r="Q190" s="28" t="n"/>
    </row>
    <row r="191" ht="13.5" customHeight="1" s="95" thickBot="1">
      <c r="B191" s="210" t="n"/>
      <c r="C191" s="28" t="n"/>
      <c r="D191" s="65" t="n"/>
      <c r="E191" s="210" t="n"/>
      <c r="F191" s="210" t="n"/>
      <c r="G191" s="210" t="n"/>
      <c r="H191" s="210" t="n"/>
      <c r="I191" s="210" t="n"/>
      <c r="J191" s="210" t="n"/>
      <c r="K191" s="28" t="n"/>
      <c r="L191" s="28" t="n"/>
      <c r="M191" s="28" t="n"/>
      <c r="N191" s="28" t="n"/>
      <c r="O191" s="28" t="n"/>
      <c r="P191" s="28" t="n"/>
      <c r="Q191" s="28" t="n"/>
    </row>
    <row r="192" ht="15.75" customHeight="1" s="95">
      <c r="B192" s="169" t="inlineStr">
        <is>
          <t>UNIDADES</t>
        </is>
      </c>
      <c r="C192" s="170" t="inlineStr">
        <is>
          <t>MEDIDA</t>
        </is>
      </c>
      <c r="D192" s="170" t="inlineStr">
        <is>
          <t>PRODUCTOS</t>
        </is>
      </c>
      <c r="E192" s="171" t="n"/>
      <c r="F192" s="172" t="n"/>
      <c r="G192" s="308" t="n"/>
      <c r="H192" s="308" t="n"/>
      <c r="I192" s="300" t="n"/>
      <c r="J192" s="136" t="n"/>
      <c r="K192" s="28" t="n"/>
      <c r="L192" s="28" t="n"/>
      <c r="M192" s="28" t="n"/>
      <c r="N192" s="28" t="n"/>
      <c r="O192" s="28" t="n"/>
      <c r="P192" s="28" t="n"/>
      <c r="Q192" s="28" t="n"/>
    </row>
    <row r="193" ht="26.25" customHeight="1" s="95" thickBot="1">
      <c r="B193" s="315" t="n"/>
      <c r="C193" s="316" t="n"/>
      <c r="D193" s="316" t="n"/>
      <c r="E193" s="316" t="n"/>
      <c r="F193" s="180" t="n"/>
      <c r="G193" s="180" t="n"/>
      <c r="H193" s="180" t="n"/>
      <c r="I193" s="181" t="n"/>
      <c r="K193" s="28" t="n"/>
      <c r="L193" s="28" t="n"/>
      <c r="M193" s="28" t="n"/>
      <c r="N193" s="28" t="n"/>
      <c r="O193" s="28" t="n"/>
      <c r="P193" s="28" t="n"/>
      <c r="Q193" s="28" t="n"/>
    </row>
    <row r="194">
      <c r="B194" s="66" t="n">
        <v>1</v>
      </c>
      <c r="C194" s="74" t="inlineStr">
        <is>
          <t>Und</t>
        </is>
      </c>
      <c r="D194" s="24" t="inlineStr">
        <is>
          <t>Brownie Nutella</t>
        </is>
      </c>
      <c r="E194" s="175" t="n"/>
      <c r="F194" s="175" t="n"/>
      <c r="G194" s="175" t="n"/>
      <c r="H194" s="175" t="n"/>
      <c r="I194" s="176" t="n"/>
      <c r="J194" s="210" t="n"/>
      <c r="K194" s="28" t="n"/>
      <c r="L194" s="28" t="n"/>
      <c r="M194" s="28" t="n"/>
      <c r="N194" s="28" t="n"/>
      <c r="O194" s="28" t="n"/>
      <c r="P194" s="28" t="n"/>
      <c r="Q194" s="28" t="n"/>
    </row>
    <row r="195">
      <c r="B195" s="68" t="n">
        <v>4</v>
      </c>
      <c r="C195" s="23" t="inlineStr">
        <is>
          <t>Und</t>
        </is>
      </c>
      <c r="D195" s="25" t="inlineStr">
        <is>
          <t>Brownie Vegano</t>
        </is>
      </c>
      <c r="E195" s="26" t="n"/>
      <c r="F195" s="26" t="n"/>
      <c r="G195" s="26" t="n"/>
      <c r="H195" s="26" t="n"/>
      <c r="I195" s="67" t="n"/>
      <c r="J195" s="210" t="n"/>
      <c r="K195" s="28" t="n"/>
      <c r="L195" s="28" t="n"/>
      <c r="M195" s="28" t="n"/>
      <c r="N195" s="28" t="n"/>
      <c r="O195" s="28" t="n"/>
      <c r="P195" s="28" t="n"/>
      <c r="Q195" s="28" t="n"/>
    </row>
    <row r="196">
      <c r="B196" s="68" t="n">
        <v>1</v>
      </c>
      <c r="C196" s="23" t="inlineStr">
        <is>
          <t>Und</t>
        </is>
      </c>
      <c r="D196" s="25" t="inlineStr">
        <is>
          <t>Cheesecake de Berries</t>
        </is>
      </c>
      <c r="E196" s="26" t="n"/>
      <c r="F196" s="26" t="n"/>
      <c r="G196" s="26" t="n"/>
      <c r="H196" s="26" t="n"/>
      <c r="I196" s="67" t="n"/>
      <c r="J196" s="210" t="n"/>
      <c r="K196" s="28" t="n"/>
      <c r="L196" s="28" t="n"/>
      <c r="M196" s="28" t="n"/>
      <c r="N196" s="28" t="n"/>
      <c r="O196" s="28" t="n"/>
      <c r="P196" s="28" t="n"/>
      <c r="Q196" s="28" t="n"/>
    </row>
    <row r="197">
      <c r="B197" s="68" t="n">
        <v>1</v>
      </c>
      <c r="C197" s="23" t="inlineStr">
        <is>
          <t>Und</t>
        </is>
      </c>
      <c r="D197" s="25" t="inlineStr">
        <is>
          <t>Cheesecake de limón</t>
        </is>
      </c>
      <c r="E197" s="26" t="n"/>
      <c r="F197" s="26" t="n"/>
      <c r="G197" s="26" t="n"/>
      <c r="H197" s="26" t="n"/>
      <c r="I197" s="67" t="n"/>
      <c r="J197" s="210" t="n"/>
      <c r="K197" s="28" t="n"/>
      <c r="L197" s="28" t="n"/>
      <c r="M197" s="28" t="n"/>
      <c r="N197" s="28" t="n"/>
      <c r="O197" s="28" t="n"/>
      <c r="P197" s="28" t="n"/>
      <c r="Q197" s="28" t="n"/>
    </row>
    <row r="198">
      <c r="B198" s="68" t="n">
        <v>1</v>
      </c>
      <c r="C198" s="23" t="inlineStr">
        <is>
          <t>Kg</t>
        </is>
      </c>
      <c r="D198" s="25" t="inlineStr">
        <is>
          <t>Chocolate Blanco</t>
        </is>
      </c>
      <c r="E198" s="26" t="n"/>
      <c r="F198" s="26" t="n"/>
      <c r="G198" s="26" t="n"/>
      <c r="H198" s="26" t="n"/>
      <c r="I198" s="67" t="n"/>
      <c r="J198" s="210" t="n"/>
      <c r="K198" s="28" t="n"/>
      <c r="L198" s="28" t="n"/>
      <c r="M198" s="28" t="n"/>
      <c r="N198" s="28" t="n"/>
      <c r="O198" s="28" t="n"/>
      <c r="P198" s="28" t="n"/>
      <c r="Q198" s="28" t="n"/>
    </row>
    <row r="199">
      <c r="B199" s="68" t="n">
        <v>1</v>
      </c>
      <c r="C199" s="23" t="inlineStr">
        <is>
          <t>Kg</t>
        </is>
      </c>
      <c r="D199" s="25" t="inlineStr">
        <is>
          <t>Chocolate Leche</t>
        </is>
      </c>
      <c r="E199" s="26" t="n"/>
      <c r="F199" s="26" t="n"/>
      <c r="G199" s="26" t="n"/>
      <c r="H199" s="26" t="n"/>
      <c r="I199" s="67" t="n"/>
      <c r="J199" s="210" t="n"/>
      <c r="K199" s="28" t="n"/>
      <c r="L199" s="28" t="n"/>
      <c r="M199" s="28" t="n"/>
      <c r="N199" s="28" t="n"/>
      <c r="O199" s="28" t="n"/>
      <c r="P199" s="28" t="n"/>
      <c r="Q199" s="28" t="n"/>
    </row>
    <row r="200">
      <c r="B200" s="68" t="n">
        <v>1</v>
      </c>
      <c r="C200" s="23" t="inlineStr">
        <is>
          <t>Kg</t>
        </is>
      </c>
      <c r="D200" s="25" t="inlineStr">
        <is>
          <t>Chocolate Negro</t>
        </is>
      </c>
      <c r="E200" s="26" t="n"/>
      <c r="F200" s="26" t="n"/>
      <c r="G200" s="26" t="n"/>
      <c r="H200" s="26" t="n"/>
      <c r="I200" s="67" t="n"/>
      <c r="J200" s="210" t="n"/>
      <c r="K200" s="28" t="n"/>
      <c r="L200" s="28" t="n"/>
      <c r="M200" s="28" t="n"/>
      <c r="N200" s="28" t="n"/>
      <c r="O200" s="28" t="n"/>
      <c r="P200" s="28" t="n"/>
      <c r="Q200" s="28" t="n"/>
    </row>
    <row r="201">
      <c r="B201" s="68" t="n">
        <v>1</v>
      </c>
      <c r="C201" s="23" t="inlineStr">
        <is>
          <t>Kg</t>
        </is>
      </c>
      <c r="D201" s="25" t="inlineStr">
        <is>
          <t>Chocolate Neucober Cobertura</t>
        </is>
      </c>
      <c r="E201" s="26" t="n"/>
      <c r="F201" s="26" t="n"/>
      <c r="G201" s="26" t="n"/>
      <c r="H201" s="26" t="n"/>
      <c r="I201" s="67" t="n"/>
      <c r="J201" s="210" t="n"/>
      <c r="K201" s="28" t="n"/>
      <c r="L201" s="28" t="n"/>
      <c r="M201" s="28" t="n"/>
      <c r="N201" s="28" t="n"/>
      <c r="O201" s="28" t="n"/>
      <c r="P201" s="28" t="n"/>
      <c r="Q201" s="28" t="n"/>
    </row>
    <row r="202">
      <c r="B202" s="68" t="n">
        <v>1</v>
      </c>
      <c r="C202" s="23" t="inlineStr">
        <is>
          <t>Kg</t>
        </is>
      </c>
      <c r="D202" s="25" t="inlineStr">
        <is>
          <t>Chocolate Sicao Cobertura</t>
        </is>
      </c>
      <c r="E202" s="26" t="n"/>
      <c r="F202" s="26" t="n"/>
      <c r="G202" s="26" t="n"/>
      <c r="H202" s="26" t="n"/>
      <c r="I202" s="67" t="n"/>
      <c r="J202" s="210" t="n"/>
      <c r="K202" s="28" t="n"/>
      <c r="L202" s="28" t="n"/>
      <c r="M202" s="28" t="n"/>
      <c r="N202" s="28" t="n"/>
      <c r="O202" s="28" t="n"/>
      <c r="P202" s="28" t="n"/>
      <c r="Q202" s="28" t="n"/>
    </row>
    <row r="203">
      <c r="B203" s="68" t="n">
        <v>1</v>
      </c>
      <c r="C203" s="23" t="inlineStr">
        <is>
          <t>Und</t>
        </is>
      </c>
      <c r="D203" s="25" t="inlineStr">
        <is>
          <t>Discos de Chocolate</t>
        </is>
      </c>
      <c r="E203" s="26" t="n"/>
      <c r="F203" s="26" t="n"/>
      <c r="G203" s="26" t="n"/>
      <c r="H203" s="26" t="n"/>
      <c r="I203" s="67" t="n"/>
      <c r="J203" s="210" t="n"/>
      <c r="K203" s="28" t="n"/>
      <c r="L203" s="28" t="n"/>
      <c r="M203" s="28" t="n"/>
      <c r="N203" s="28" t="n"/>
      <c r="O203" s="28" t="n"/>
      <c r="P203" s="28" t="n"/>
      <c r="Q203" s="28" t="n"/>
    </row>
    <row r="204">
      <c r="B204" s="68" t="n">
        <v>4</v>
      </c>
      <c r="C204" s="23" t="inlineStr">
        <is>
          <t>Pax</t>
        </is>
      </c>
      <c r="D204" s="25" t="inlineStr">
        <is>
          <t>Empanada mechada</t>
        </is>
      </c>
      <c r="E204" s="26" t="n"/>
      <c r="F204" s="26" t="n"/>
      <c r="G204" s="26" t="n"/>
      <c r="H204" s="26" t="n"/>
      <c r="I204" s="67" t="n"/>
      <c r="J204" s="210" t="n"/>
      <c r="K204" s="28" t="n"/>
      <c r="L204" s="28" t="n"/>
      <c r="M204" s="28" t="n"/>
      <c r="N204" s="28" t="n"/>
      <c r="O204" s="28" t="n"/>
      <c r="P204" s="28" t="n"/>
      <c r="Q204" s="28" t="n"/>
    </row>
    <row r="205">
      <c r="B205" s="68" t="n">
        <v>1</v>
      </c>
      <c r="C205" s="23" t="inlineStr">
        <is>
          <t>Und</t>
        </is>
      </c>
      <c r="D205" s="25" t="inlineStr">
        <is>
          <t>Empanada mechada sueltas</t>
        </is>
      </c>
      <c r="E205" s="26" t="n"/>
      <c r="F205" s="26" t="n"/>
      <c r="G205" s="26" t="n"/>
      <c r="H205" s="26" t="n"/>
      <c r="I205" s="67" t="n"/>
      <c r="J205" s="210" t="n"/>
      <c r="K205" s="28" t="n"/>
      <c r="L205" s="28" t="n"/>
      <c r="M205" s="28" t="n"/>
      <c r="N205" s="28" t="n"/>
      <c r="O205" s="28" t="n"/>
      <c r="P205" s="28" t="n"/>
      <c r="Q205" s="28" t="n"/>
    </row>
    <row r="206">
      <c r="B206" s="68" t="n">
        <v>4</v>
      </c>
      <c r="C206" s="23" t="inlineStr">
        <is>
          <t>Pax</t>
        </is>
      </c>
      <c r="D206" s="25" t="inlineStr">
        <is>
          <t>Empanada pulpo</t>
        </is>
      </c>
      <c r="E206" s="26" t="n"/>
      <c r="F206" s="26" t="n"/>
      <c r="G206" s="26" t="n"/>
      <c r="H206" s="26" t="n"/>
      <c r="I206" s="67" t="n"/>
      <c r="J206" s="210" t="n"/>
      <c r="K206" s="28" t="n"/>
      <c r="L206" s="28" t="n"/>
      <c r="M206" s="28" t="n"/>
      <c r="N206" s="28" t="n"/>
      <c r="O206" s="28" t="n"/>
      <c r="P206" s="28" t="n"/>
      <c r="Q206" s="28" t="n"/>
    </row>
    <row r="207">
      <c r="B207" s="68" t="n">
        <v>1</v>
      </c>
      <c r="C207" s="23" t="inlineStr">
        <is>
          <t>Und</t>
        </is>
      </c>
      <c r="D207" s="25" t="inlineStr">
        <is>
          <t>Empanada pulpo sueltas</t>
        </is>
      </c>
      <c r="E207" s="26" t="n"/>
      <c r="F207" s="26" t="n"/>
      <c r="G207" s="26" t="n"/>
      <c r="H207" s="26" t="n"/>
      <c r="I207" s="67" t="n"/>
      <c r="J207" s="210" t="n"/>
      <c r="K207" s="28" t="n"/>
      <c r="L207" s="28" t="n"/>
      <c r="M207" s="28" t="n"/>
      <c r="N207" s="28" t="n"/>
      <c r="O207" s="28" t="n"/>
      <c r="P207" s="28" t="n"/>
      <c r="Q207" s="28" t="n"/>
    </row>
    <row r="208">
      <c r="B208" s="68" t="n">
        <v>1</v>
      </c>
      <c r="C208" s="23" t="inlineStr">
        <is>
          <t>Und</t>
        </is>
      </c>
      <c r="D208" s="27" t="inlineStr">
        <is>
          <t>Flan de caluga</t>
        </is>
      </c>
      <c r="E208" s="26" t="n"/>
      <c r="F208" s="26" t="n"/>
      <c r="G208" s="26" t="n"/>
      <c r="H208" s="26" t="n"/>
      <c r="I208" s="67" t="n"/>
      <c r="J208" s="210" t="n"/>
      <c r="K208" s="28" t="n"/>
      <c r="L208" s="28" t="n"/>
      <c r="M208" s="28" t="n"/>
      <c r="N208" s="28" t="n"/>
      <c r="O208" s="28" t="n"/>
      <c r="P208" s="28" t="n"/>
      <c r="Q208" s="28" t="n"/>
    </row>
    <row r="209">
      <c r="B209" s="68" t="n">
        <v>1</v>
      </c>
      <c r="C209" s="23" t="inlineStr">
        <is>
          <t>Und</t>
        </is>
      </c>
      <c r="D209" s="27" t="inlineStr">
        <is>
          <t>Granola salada</t>
        </is>
      </c>
      <c r="E209" s="26" t="n"/>
      <c r="F209" s="26" t="n"/>
      <c r="G209" s="26" t="n"/>
      <c r="H209" s="26" t="n"/>
      <c r="I209" s="67" t="n"/>
      <c r="J209" s="210" t="n"/>
      <c r="K209" s="28" t="n"/>
      <c r="L209" s="28" t="n"/>
      <c r="M209" s="28" t="n"/>
      <c r="N209" s="28" t="n"/>
      <c r="O209" s="28" t="n"/>
      <c r="P209" s="28" t="n"/>
      <c r="Q209" s="28" t="n"/>
    </row>
    <row r="210">
      <c r="B210" s="68" t="n">
        <v>1</v>
      </c>
      <c r="C210" s="23" t="inlineStr">
        <is>
          <t>Und</t>
        </is>
      </c>
      <c r="D210" s="25" t="inlineStr">
        <is>
          <t>Mix Conchas</t>
        </is>
      </c>
      <c r="E210" s="26" t="n"/>
      <c r="F210" s="26" t="n"/>
      <c r="G210" s="26" t="n"/>
      <c r="H210" s="26" t="n"/>
      <c r="I210" s="67" t="n"/>
      <c r="J210" s="210" t="n"/>
      <c r="K210" s="28" t="n"/>
      <c r="L210" s="28" t="n"/>
      <c r="M210" s="28" t="n"/>
      <c r="N210" s="28" t="n"/>
      <c r="O210" s="28" t="n"/>
      <c r="P210" s="28" t="n"/>
      <c r="Q210" s="28" t="n"/>
    </row>
    <row r="211">
      <c r="B211" s="68" t="n">
        <v>1</v>
      </c>
      <c r="C211" s="23" t="inlineStr">
        <is>
          <t>Kg</t>
        </is>
      </c>
      <c r="D211" s="25" t="inlineStr">
        <is>
          <t>Nutella</t>
        </is>
      </c>
      <c r="E211" s="26" t="n"/>
      <c r="F211" s="26" t="n"/>
      <c r="G211" s="26" t="n"/>
      <c r="H211" s="26" t="n"/>
      <c r="I211" s="67" t="n"/>
      <c r="J211" s="210" t="n"/>
      <c r="K211" s="28" t="n"/>
      <c r="L211" s="28" t="n"/>
      <c r="M211" s="28" t="n"/>
      <c r="N211" s="28" t="n"/>
      <c r="O211" s="28" t="n"/>
      <c r="P211" s="28" t="n"/>
      <c r="Q211" s="28" t="n"/>
    </row>
    <row r="212">
      <c r="B212" s="68" t="n">
        <v>1</v>
      </c>
      <c r="C212" s="23" t="inlineStr">
        <is>
          <t>Und</t>
        </is>
      </c>
      <c r="D212" s="25" t="inlineStr">
        <is>
          <t>Queso Mozzarella</t>
        </is>
      </c>
      <c r="E212" s="26" t="n"/>
      <c r="F212" s="26" t="n"/>
      <c r="G212" s="26" t="n"/>
      <c r="H212" s="26" t="n"/>
      <c r="I212" s="67" t="n"/>
      <c r="J212" s="210" t="n"/>
      <c r="K212" s="28" t="n"/>
      <c r="L212" s="28" t="n"/>
      <c r="M212" s="28" t="n"/>
      <c r="N212" s="28" t="n"/>
      <c r="O212" s="28" t="n"/>
      <c r="P212" s="28" t="n"/>
      <c r="Q212" s="28" t="n"/>
    </row>
    <row r="213">
      <c r="B213" s="68" t="n">
        <v>8</v>
      </c>
      <c r="C213" s="23" t="inlineStr">
        <is>
          <t>Porción</t>
        </is>
      </c>
      <c r="D213" s="70" t="inlineStr">
        <is>
          <t>Sorrentinos carne mechada</t>
        </is>
      </c>
      <c r="E213" s="26" t="n"/>
      <c r="F213" s="26" t="n"/>
      <c r="G213" s="26" t="n"/>
      <c r="H213" s="26" t="n"/>
      <c r="I213" s="67" t="n"/>
      <c r="J213" s="210" t="n"/>
      <c r="K213" s="4" t="n"/>
      <c r="L213" s="4" t="n"/>
      <c r="M213" s="4" t="n"/>
      <c r="N213" s="4" t="n"/>
      <c r="O213" s="4" t="n"/>
      <c r="P213" s="4" t="n"/>
      <c r="Q213" s="4" t="n"/>
    </row>
    <row r="214">
      <c r="B214" s="68" t="n">
        <v>7</v>
      </c>
      <c r="C214" s="23" t="inlineStr">
        <is>
          <t>Porción</t>
        </is>
      </c>
      <c r="D214" s="70" t="inlineStr">
        <is>
          <t>Sorrentinos pulpo y salmón</t>
        </is>
      </c>
      <c r="E214" s="26" t="n"/>
      <c r="F214" s="26" t="n"/>
      <c r="G214" s="26" t="n"/>
      <c r="H214" s="26" t="n"/>
      <c r="I214" s="67" t="n"/>
      <c r="J214" s="210" t="n"/>
      <c r="K214" s="4" t="n"/>
      <c r="L214" s="4" t="n"/>
      <c r="M214" s="4" t="n"/>
      <c r="N214" s="4" t="n"/>
      <c r="O214" s="4" t="n"/>
      <c r="P214" s="4" t="n"/>
      <c r="Q214" s="4" t="n"/>
    </row>
    <row r="215">
      <c r="B215" s="68" t="n">
        <v>8</v>
      </c>
      <c r="C215" s="23" t="inlineStr">
        <is>
          <t>Porción</t>
        </is>
      </c>
      <c r="D215" s="25" t="inlineStr">
        <is>
          <t>Sorrentinos zapallo</t>
        </is>
      </c>
      <c r="E215" s="26" t="n"/>
      <c r="F215" s="26" t="n"/>
      <c r="G215" s="26" t="n"/>
      <c r="H215" s="26" t="n"/>
      <c r="I215" s="67" t="n"/>
      <c r="J215" s="210" t="n"/>
      <c r="K215" s="4" t="n"/>
      <c r="L215" s="4" t="n"/>
      <c r="M215" s="4" t="n"/>
      <c r="N215" s="4" t="n"/>
      <c r="O215" s="4" t="n"/>
      <c r="P215" s="4" t="n"/>
      <c r="Q215" s="4" t="n"/>
    </row>
    <row r="216" ht="13.5" customHeight="1" s="95" thickBot="1">
      <c r="B216" s="71" t="n">
        <v>1</v>
      </c>
      <c r="C216" s="75" t="inlineStr">
        <is>
          <t>Und</t>
        </is>
      </c>
      <c r="D216" s="174" t="inlineStr">
        <is>
          <t>Volcán de chocolate</t>
        </is>
      </c>
      <c r="E216" s="72" t="n"/>
      <c r="F216" s="72" t="n"/>
      <c r="G216" s="72" t="n"/>
      <c r="H216" s="72" t="n"/>
      <c r="I216" s="73" t="n"/>
      <c r="J216" s="210" t="n"/>
      <c r="K216" s="4" t="n"/>
      <c r="L216" s="4" t="n"/>
      <c r="M216" s="4" t="n"/>
      <c r="N216" s="4" t="n"/>
      <c r="O216" s="4" t="n"/>
      <c r="P216" s="4" t="n"/>
      <c r="Q216" s="4" t="n"/>
    </row>
    <row r="217">
      <c r="B217" s="4" t="n"/>
      <c r="C217" s="4" t="n"/>
      <c r="D217" s="4" t="n"/>
      <c r="E217" s="4" t="n"/>
      <c r="F217" s="4" t="n"/>
      <c r="G217" s="4" t="n"/>
      <c r="H217" s="4" t="n"/>
      <c r="I217" s="4" t="n"/>
      <c r="J217" s="5" t="n"/>
      <c r="K217" s="4" t="n"/>
      <c r="L217" s="4" t="n"/>
      <c r="M217" s="4" t="n"/>
      <c r="N217" s="4" t="n"/>
      <c r="O217" s="4" t="n"/>
      <c r="P217" s="4" t="n"/>
      <c r="Q217" s="4" t="n"/>
    </row>
    <row r="218" ht="13.5" customHeight="1" s="95" thickBot="1"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</row>
    <row r="219" ht="13.5" customHeight="1" s="95" thickBot="1">
      <c r="B219" s="4" t="n"/>
      <c r="C219" s="4" t="n"/>
      <c r="D219" s="317" t="inlineStr">
        <is>
          <t>ENTREGAS A COCINA/SALIDA DE BODEGA</t>
        </is>
      </c>
      <c r="E219" s="318" t="n"/>
      <c r="F219" s="319" t="n"/>
      <c r="G219" s="209" t="n"/>
      <c r="H219" s="209" t="n"/>
      <c r="I219" s="209" t="n"/>
      <c r="J219" s="4" t="n"/>
      <c r="K219" s="4" t="n"/>
      <c r="L219" s="4" t="n"/>
      <c r="M219" s="4" t="n"/>
      <c r="N219" s="4" t="n"/>
      <c r="O219" s="4" t="n"/>
      <c r="P219" s="4" t="n"/>
      <c r="Q219" s="4" t="n"/>
    </row>
    <row r="220" ht="13.5" customHeight="1" s="95" thickTop="1">
      <c r="B220" s="4" t="n"/>
      <c r="C220" s="4" t="n"/>
      <c r="D220" s="57" t="inlineStr">
        <is>
          <t>Ítem</t>
        </is>
      </c>
      <c r="E220" s="29" t="inlineStr">
        <is>
          <t>Cant.</t>
        </is>
      </c>
      <c r="F220" s="58" t="inlineStr">
        <is>
          <t>Medida</t>
        </is>
      </c>
      <c r="G220" s="209" t="inlineStr">
        <is>
          <t> </t>
        </is>
      </c>
      <c r="I220" s="209" t="n"/>
      <c r="J220" s="4" t="n"/>
      <c r="K220" s="4" t="n"/>
      <c r="L220" s="4" t="n"/>
      <c r="M220" s="4" t="n"/>
      <c r="N220" s="4" t="n"/>
      <c r="O220" s="4" t="n"/>
      <c r="P220" s="4" t="n"/>
      <c r="Q220" s="4" t="n"/>
    </row>
    <row r="221">
      <c r="B221" s="4" t="n"/>
      <c r="C221" s="4" t="n"/>
      <c r="D221" s="35" t="inlineStr">
        <is>
          <t>Atún Steak</t>
        </is>
      </c>
      <c r="E221" s="320" t="n"/>
      <c r="F221" s="59" t="inlineStr">
        <is>
          <t>Kg</t>
        </is>
      </c>
      <c r="G221" s="209" t="n"/>
      <c r="H221" s="209" t="n"/>
      <c r="I221" s="209" t="n"/>
      <c r="J221" s="209" t="n"/>
      <c r="K221" s="4" t="n"/>
      <c r="L221" s="4" t="n"/>
      <c r="M221" s="4" t="n"/>
      <c r="N221" s="4" t="n"/>
      <c r="O221" s="4" t="n"/>
      <c r="P221" s="4" t="n"/>
      <c r="Q221" s="4" t="n"/>
    </row>
    <row r="222">
      <c r="B222" s="4" t="n"/>
      <c r="C222" s="4" t="n"/>
      <c r="D222" s="35" t="inlineStr">
        <is>
          <t>Atún trozos</t>
        </is>
      </c>
      <c r="E222" s="320" t="n"/>
      <c r="F222" s="59" t="inlineStr">
        <is>
          <t>Kg</t>
        </is>
      </c>
      <c r="G222" s="209" t="n"/>
      <c r="H222" s="209" t="n"/>
      <c r="I222" s="209" t="n"/>
      <c r="J222" s="4" t="n"/>
      <c r="K222" s="4" t="n"/>
      <c r="L222" s="4" t="n"/>
      <c r="M222" s="4" t="n"/>
      <c r="N222" s="4" t="n"/>
      <c r="O222" s="4" t="n"/>
      <c r="P222" s="4" t="n"/>
      <c r="Q222" s="4" t="n"/>
    </row>
    <row r="223">
      <c r="B223" s="4" t="n"/>
      <c r="C223" s="4" t="n"/>
      <c r="D223" s="35" t="inlineStr">
        <is>
          <t>Carpaccio de res</t>
        </is>
      </c>
      <c r="E223" s="320" t="n"/>
      <c r="F223" s="59" t="inlineStr">
        <is>
          <t>Kg</t>
        </is>
      </c>
      <c r="G223" s="209" t="n"/>
      <c r="H223" s="209" t="n"/>
      <c r="I223" s="209" t="n"/>
      <c r="J223" s="4" t="n"/>
      <c r="K223" s="4" t="n"/>
      <c r="L223" s="4" t="n"/>
      <c r="M223" s="4" t="n"/>
      <c r="N223" s="4" t="n"/>
      <c r="O223" s="4" t="n"/>
      <c r="P223" s="4" t="n"/>
      <c r="Q223" s="4" t="n"/>
    </row>
    <row r="224">
      <c r="B224" s="4" t="n"/>
      <c r="C224" s="4" t="n"/>
      <c r="D224" s="35" t="inlineStr">
        <is>
          <t>Ceviche de reineta</t>
        </is>
      </c>
      <c r="E224" s="320" t="n"/>
      <c r="F224" s="59" t="inlineStr">
        <is>
          <t>Kg</t>
        </is>
      </c>
      <c r="G224" s="209" t="n"/>
      <c r="H224" s="209" t="n"/>
      <c r="I224" s="209" t="n"/>
      <c r="J224" s="4" t="n"/>
      <c r="K224" s="4" t="n"/>
      <c r="L224" s="4" t="n"/>
      <c r="M224" s="4" t="n"/>
      <c r="N224" s="4" t="n"/>
      <c r="O224" s="4" t="n"/>
      <c r="P224" s="4" t="n"/>
      <c r="Q224" s="4" t="n"/>
    </row>
    <row r="225">
      <c r="B225" s="4" t="n"/>
      <c r="C225" s="4" t="n"/>
      <c r="D225" s="35" t="inlineStr">
        <is>
          <t>Empanada Mechada</t>
        </is>
      </c>
      <c r="E225" s="320" t="n"/>
      <c r="F225" s="59" t="inlineStr">
        <is>
          <t>Und</t>
        </is>
      </c>
      <c r="G225" s="209" t="n"/>
      <c r="H225" s="209" t="n"/>
      <c r="I225" s="209" t="n"/>
      <c r="J225" s="4" t="n"/>
      <c r="K225" s="4" t="n"/>
      <c r="L225" s="4" t="n"/>
      <c r="M225" s="4" t="n"/>
      <c r="N225" s="4" t="n"/>
      <c r="O225" s="4" t="n"/>
      <c r="P225" s="4" t="n"/>
      <c r="Q225" s="4" t="n"/>
    </row>
    <row r="226">
      <c r="B226" s="4" t="n"/>
      <c r="C226" s="4" t="n"/>
      <c r="D226" s="151" t="inlineStr">
        <is>
          <t>Filete para churrasco</t>
        </is>
      </c>
      <c r="E226" s="320" t="n"/>
      <c r="F226" s="59" t="inlineStr">
        <is>
          <t>Kg</t>
        </is>
      </c>
      <c r="G226" s="209" t="n"/>
      <c r="H226" s="209" t="n"/>
      <c r="I226" s="209" t="n"/>
      <c r="J226" s="4" t="n"/>
      <c r="K226" s="4" t="n"/>
      <c r="L226" s="4" t="n"/>
      <c r="M226" s="4" t="n"/>
      <c r="N226" s="4" t="n"/>
      <c r="O226" s="4" t="n"/>
      <c r="P226" s="4" t="n"/>
      <c r="Q226" s="4" t="n"/>
    </row>
    <row r="227">
      <c r="B227" s="4" t="n"/>
      <c r="C227" s="4" t="n"/>
      <c r="D227" s="151" t="inlineStr">
        <is>
          <t>Filete para crudo</t>
        </is>
      </c>
      <c r="E227" s="320" t="n"/>
      <c r="F227" s="59" t="inlineStr">
        <is>
          <t>Kg</t>
        </is>
      </c>
      <c r="G227" s="209" t="n"/>
      <c r="H227" s="209" t="n"/>
      <c r="I227" s="209" t="n"/>
      <c r="J227" s="4" t="n"/>
      <c r="K227" s="4" t="n"/>
      <c r="L227" s="4" t="n"/>
      <c r="M227" s="4" t="n"/>
      <c r="N227" s="4" t="n"/>
      <c r="O227" s="4" t="n"/>
      <c r="P227" s="4" t="n"/>
      <c r="Q227" s="4" t="n"/>
    </row>
    <row r="228">
      <c r="B228" s="4" t="n"/>
      <c r="C228" s="4" t="n"/>
      <c r="D228" s="35" t="inlineStr">
        <is>
          <t>Filete salteado</t>
        </is>
      </c>
      <c r="E228" s="320" t="n"/>
      <c r="F228" s="59" t="inlineStr">
        <is>
          <t>Kg</t>
        </is>
      </c>
      <c r="G228" s="209" t="n"/>
      <c r="H228" s="209" t="n"/>
      <c r="I228" s="209" t="n"/>
      <c r="J228" s="4" t="n"/>
      <c r="K228" s="4" t="n"/>
      <c r="L228" s="4" t="n"/>
      <c r="M228" s="4" t="n"/>
      <c r="N228" s="4" t="n"/>
      <c r="O228" s="4" t="n"/>
      <c r="P228" s="4" t="n"/>
      <c r="Q228" s="4" t="n"/>
    </row>
    <row r="229">
      <c r="B229" s="4" t="n"/>
      <c r="C229" s="4" t="n"/>
      <c r="D229" s="97" t="inlineStr">
        <is>
          <t>Ganso</t>
        </is>
      </c>
      <c r="E229" s="320" t="n"/>
      <c r="F229" s="59" t="inlineStr">
        <is>
          <t>Kg</t>
        </is>
      </c>
      <c r="G229" s="209" t="n"/>
      <c r="H229" s="209" t="n"/>
      <c r="I229" s="209" t="n"/>
      <c r="J229" s="4" t="n"/>
      <c r="K229" s="4" t="n"/>
      <c r="L229" s="4" t="n"/>
      <c r="M229" s="4" t="n"/>
      <c r="N229" s="4" t="n"/>
      <c r="O229" s="4" t="n"/>
      <c r="P229" s="4" t="n"/>
      <c r="Q229" s="4" t="n"/>
    </row>
    <row r="230">
      <c r="B230" s="4" t="n"/>
      <c r="C230" s="4" t="n"/>
      <c r="D230" s="35" t="inlineStr">
        <is>
          <t>Granola Salada</t>
        </is>
      </c>
      <c r="E230" s="320" t="n"/>
      <c r="F230" s="59" t="inlineStr">
        <is>
          <t>Und</t>
        </is>
      </c>
      <c r="G230" s="209" t="n"/>
      <c r="H230" s="209" t="n"/>
      <c r="I230" s="209" t="n"/>
      <c r="J230" s="4" t="n"/>
      <c r="K230" s="4" t="n"/>
      <c r="L230" s="4" t="n"/>
      <c r="M230" s="4" t="n"/>
      <c r="N230" s="4" t="n"/>
      <c r="O230" s="4" t="n"/>
      <c r="P230" s="4" t="n"/>
      <c r="Q230" s="4" t="n"/>
    </row>
    <row r="231">
      <c r="B231" s="4" t="n"/>
      <c r="C231" s="4" t="n"/>
      <c r="D231" s="35" t="inlineStr">
        <is>
          <t>Hamburguesas</t>
        </is>
      </c>
      <c r="E231" s="320" t="n"/>
      <c r="F231" s="59" t="inlineStr">
        <is>
          <t>Kg</t>
        </is>
      </c>
      <c r="G231" s="209" t="n"/>
      <c r="H231" s="209" t="n"/>
      <c r="I231" s="209" t="n"/>
      <c r="J231" s="4" t="n"/>
      <c r="K231" s="4" t="n"/>
      <c r="L231" s="4" t="n"/>
      <c r="M231" s="4" t="n"/>
      <c r="N231" s="4" t="n"/>
      <c r="O231" s="4" t="n"/>
      <c r="P231" s="4" t="n"/>
      <c r="Q231" s="4" t="n"/>
    </row>
    <row r="232">
      <c r="B232" s="4" t="n"/>
      <c r="C232" s="4" t="n"/>
      <c r="D232" s="35" t="inlineStr">
        <is>
          <t>Jamón Serrano</t>
        </is>
      </c>
      <c r="E232" s="320" t="n"/>
      <c r="F232" s="59" t="inlineStr">
        <is>
          <t>Kg</t>
        </is>
      </c>
      <c r="G232" s="209" t="n"/>
      <c r="H232" s="209" t="n"/>
      <c r="I232" s="209" t="n"/>
      <c r="J232" s="4" t="n"/>
      <c r="K232" s="4" t="n"/>
      <c r="L232" s="4" t="n"/>
      <c r="M232" s="4" t="n"/>
      <c r="N232" s="4" t="n"/>
      <c r="O232" s="4" t="n"/>
      <c r="P232" s="4" t="n"/>
      <c r="Q232" s="4" t="n"/>
    </row>
    <row r="233">
      <c r="B233" s="4" t="n"/>
      <c r="C233" s="4" t="n"/>
      <c r="D233" s="35" t="inlineStr">
        <is>
          <t>Lomo liso</t>
        </is>
      </c>
      <c r="E233" s="320" t="n"/>
      <c r="F233" s="59" t="inlineStr">
        <is>
          <t>Kg</t>
        </is>
      </c>
      <c r="G233" s="209" t="n"/>
      <c r="H233" s="209" t="n"/>
      <c r="I233" s="209" t="n"/>
      <c r="J233" s="4" t="n"/>
      <c r="K233" s="4" t="n"/>
      <c r="L233" s="4" t="n"/>
      <c r="M233" s="4" t="n"/>
      <c r="N233" s="4" t="n"/>
      <c r="O233" s="4" t="n"/>
      <c r="P233" s="4" t="n"/>
      <c r="Q233" s="4" t="n"/>
    </row>
    <row r="234">
      <c r="B234" s="4" t="n"/>
      <c r="C234" s="4" t="n"/>
      <c r="D234" s="35" t="inlineStr">
        <is>
          <t>Plateada</t>
        </is>
      </c>
      <c r="E234" s="320" t="n"/>
      <c r="F234" s="59" t="inlineStr">
        <is>
          <t>Kg</t>
        </is>
      </c>
      <c r="G234" s="209" t="n"/>
      <c r="H234" s="209" t="n"/>
      <c r="I234" s="209" t="n"/>
      <c r="J234" s="4" t="n"/>
      <c r="K234" s="4" t="n"/>
      <c r="L234" s="4" t="n"/>
      <c r="M234" s="4" t="n"/>
      <c r="N234" s="4" t="n"/>
      <c r="O234" s="4" t="n"/>
      <c r="P234" s="4" t="n"/>
      <c r="Q234" s="4" t="n"/>
    </row>
    <row r="235">
      <c r="B235" s="4" t="n"/>
      <c r="C235" s="4" t="n"/>
      <c r="D235" s="35" t="inlineStr">
        <is>
          <t>Pulpo</t>
        </is>
      </c>
      <c r="E235" s="320" t="n"/>
      <c r="F235" s="59" t="inlineStr">
        <is>
          <t>Kg</t>
        </is>
      </c>
      <c r="G235" s="209" t="n"/>
      <c r="H235" s="209" t="n"/>
      <c r="I235" s="209" t="n"/>
      <c r="J235" s="4" t="n"/>
      <c r="K235" s="4" t="n"/>
      <c r="L235" s="4" t="n"/>
      <c r="M235" s="4" t="n"/>
      <c r="N235" s="4" t="n"/>
      <c r="O235" s="4" t="n"/>
      <c r="P235" s="4" t="n"/>
      <c r="Q235" s="4" t="n"/>
    </row>
    <row r="236">
      <c r="B236" s="4" t="n"/>
      <c r="C236" s="4" t="n"/>
      <c r="D236" s="35" t="inlineStr">
        <is>
          <t>Queso Mozzarella</t>
        </is>
      </c>
      <c r="E236" s="320" t="n"/>
      <c r="F236" s="59" t="inlineStr">
        <is>
          <t>Und</t>
        </is>
      </c>
      <c r="G236" s="209" t="n"/>
      <c r="H236" s="209" t="n"/>
      <c r="I236" s="209" t="n"/>
      <c r="J236" s="4" t="n"/>
      <c r="K236" s="4" t="n"/>
      <c r="L236" s="4" t="n"/>
      <c r="M236" s="4" t="n"/>
      <c r="N236" s="4" t="n"/>
      <c r="O236" s="4" t="n"/>
      <c r="P236" s="4" t="n"/>
      <c r="Q236" s="4" t="n"/>
    </row>
    <row r="237">
      <c r="B237" s="4" t="n"/>
      <c r="C237" s="4" t="n"/>
      <c r="D237" s="35" t="inlineStr">
        <is>
          <t>Salmón Ahumado en Caliente</t>
        </is>
      </c>
      <c r="E237" s="320" t="n"/>
      <c r="F237" s="59" t="inlineStr">
        <is>
          <t>Kg</t>
        </is>
      </c>
      <c r="G237" s="209" t="n"/>
      <c r="H237" s="209" t="n"/>
      <c r="I237" s="209" t="n"/>
      <c r="J237" s="4" t="n"/>
      <c r="K237" s="4" t="n"/>
      <c r="L237" s="4" t="n"/>
      <c r="M237" s="4" t="n"/>
      <c r="N237" s="4" t="n"/>
      <c r="O237" s="4" t="n"/>
      <c r="P237" s="4" t="n"/>
      <c r="Q237" s="4" t="n"/>
    </row>
    <row r="238">
      <c r="B238" s="4" t="n"/>
      <c r="C238" s="4" t="n"/>
      <c r="D238" s="60" t="inlineStr">
        <is>
          <t>Salmón cancato</t>
        </is>
      </c>
      <c r="E238" s="321" t="n"/>
      <c r="F238" s="61" t="inlineStr">
        <is>
          <t>Kg</t>
        </is>
      </c>
      <c r="G238" s="209" t="n"/>
      <c r="H238" s="209" t="n"/>
      <c r="I238" s="209" t="n"/>
      <c r="J238" s="4" t="n"/>
      <c r="K238" s="4" t="n"/>
      <c r="L238" s="4" t="n"/>
      <c r="M238" s="4" t="n"/>
      <c r="N238" s="4" t="n"/>
      <c r="O238" s="4" t="n"/>
      <c r="P238" s="4" t="n"/>
      <c r="Q238" s="4" t="n"/>
    </row>
    <row r="239">
      <c r="B239" s="4" t="n"/>
      <c r="C239" s="4" t="n"/>
      <c r="D239" s="60" t="inlineStr">
        <is>
          <t>Salmón fresco premium</t>
        </is>
      </c>
      <c r="E239" s="321" t="n"/>
      <c r="F239" s="61" t="inlineStr">
        <is>
          <t>Kg</t>
        </is>
      </c>
      <c r="G239" s="209" t="n"/>
      <c r="H239" s="209" t="n"/>
      <c r="I239" s="209" t="n"/>
      <c r="J239" s="4" t="n"/>
      <c r="K239" s="4" t="n"/>
      <c r="L239" s="4" t="n"/>
      <c r="M239" s="4" t="n"/>
      <c r="N239" s="4" t="n"/>
      <c r="O239" s="4" t="n"/>
      <c r="P239" s="4" t="n"/>
      <c r="Q239" s="4" t="n"/>
    </row>
    <row r="240">
      <c r="B240" s="4" t="n"/>
      <c r="C240" s="4" t="n"/>
      <c r="D240" s="35" t="inlineStr">
        <is>
          <t>Sorrentinos carne mechada</t>
        </is>
      </c>
      <c r="E240" s="321" t="n"/>
      <c r="F240" s="61" t="inlineStr">
        <is>
          <t>Porción</t>
        </is>
      </c>
      <c r="G240" s="209" t="n"/>
      <c r="H240" s="209" t="n"/>
      <c r="I240" s="209" t="n"/>
      <c r="J240" s="4" t="n"/>
      <c r="K240" s="4" t="n"/>
      <c r="L240" s="4" t="n"/>
      <c r="M240" s="4" t="n"/>
      <c r="N240" s="4" t="n"/>
      <c r="O240" s="4" t="n"/>
      <c r="P240" s="4" t="n"/>
      <c r="Q240" s="4" t="n"/>
    </row>
    <row r="241">
      <c r="B241" s="4" t="n"/>
      <c r="C241" s="4" t="n"/>
      <c r="D241" s="35" t="inlineStr">
        <is>
          <t>Sorrentinos pulpo y salmón</t>
        </is>
      </c>
      <c r="E241" s="321" t="n"/>
      <c r="F241" s="61" t="inlineStr">
        <is>
          <t>Porción</t>
        </is>
      </c>
      <c r="G241" s="209" t="n"/>
      <c r="H241" s="209" t="n"/>
      <c r="I241" s="209" t="n"/>
      <c r="J241" s="4" t="n"/>
      <c r="K241" s="4" t="n"/>
      <c r="L241" s="4" t="n"/>
      <c r="M241" s="4" t="n"/>
      <c r="N241" s="4" t="n"/>
      <c r="O241" s="4" t="n"/>
      <c r="P241" s="4" t="n"/>
      <c r="Q241" s="4" t="n"/>
    </row>
    <row r="242" ht="13.5" customHeight="1" s="95" thickBot="1">
      <c r="B242" s="4" t="n"/>
      <c r="C242" s="4" t="n"/>
      <c r="D242" s="62" t="inlineStr">
        <is>
          <t>Sorrentinos zapallo</t>
        </is>
      </c>
      <c r="E242" s="322" t="n"/>
      <c r="F242" s="64" t="inlineStr">
        <is>
          <t>Porción</t>
        </is>
      </c>
      <c r="G242" s="209" t="n"/>
      <c r="H242" s="209" t="n"/>
      <c r="I242" s="209" t="n"/>
      <c r="J242" s="4" t="n"/>
      <c r="K242" s="4" t="n"/>
      <c r="L242" s="4" t="n"/>
      <c r="M242" s="4" t="n"/>
      <c r="N242" s="4" t="n"/>
      <c r="O242" s="4" t="n"/>
      <c r="P242" s="4" t="n"/>
      <c r="Q242" s="4" t="n"/>
    </row>
    <row r="243">
      <c r="G243" s="209" t="n"/>
      <c r="H243" s="209" t="n"/>
      <c r="I243" s="209" t="n"/>
    </row>
    <row r="244" ht="13.5" customHeight="1" s="95" thickBot="1"/>
    <row r="245" ht="14.25" customHeight="1" s="95" thickBot="1" thickTop="1">
      <c r="D245" s="323" t="inlineStr">
        <is>
          <t xml:space="preserve">ENTREGAS DE PROTEINAS PARA PRODUCCIONES DE COCINA </t>
        </is>
      </c>
      <c r="E245" s="324" t="n"/>
      <c r="F245" s="324" t="n"/>
      <c r="G245" s="325" t="n"/>
    </row>
    <row r="246" ht="13.5" customHeight="1" s="95" thickBot="1">
      <c r="B246" s="211" t="n"/>
      <c r="C246" s="212" t="inlineStr">
        <is>
          <t>Medida</t>
        </is>
      </c>
      <c r="D246" s="101" t="inlineStr">
        <is>
          <t>Producto</t>
        </is>
      </c>
      <c r="E246" s="101" t="inlineStr">
        <is>
          <t>Cantidad</t>
        </is>
      </c>
      <c r="F246" s="101" t="inlineStr">
        <is>
          <t>Producto Final</t>
        </is>
      </c>
      <c r="G246" s="101" t="inlineStr">
        <is>
          <t>Medida</t>
        </is>
      </c>
      <c r="H246" s="142" t="inlineStr">
        <is>
          <t>Cantidad Producida</t>
        </is>
      </c>
      <c r="I246" s="326" t="n"/>
      <c r="J246" s="101" t="inlineStr">
        <is>
          <t>Mermas (Kg)</t>
        </is>
      </c>
      <c r="K246" s="102" t="inlineStr">
        <is>
          <t>Cant. Utilizada</t>
        </is>
      </c>
      <c r="L246" s="56" t="n"/>
    </row>
    <row r="247">
      <c r="B247" s="213" t="n"/>
      <c r="C247" s="214" t="inlineStr">
        <is>
          <t>Kg</t>
        </is>
      </c>
      <c r="D247" s="100" t="inlineStr">
        <is>
          <t>Despunte de pulpo</t>
        </is>
      </c>
      <c r="E247" s="99" t="n"/>
      <c r="F247" s="215" t="inlineStr">
        <is>
          <t>Empanadas de pulpo</t>
        </is>
      </c>
      <c r="G247" s="100" t="inlineStr">
        <is>
          <t>Pax</t>
        </is>
      </c>
      <c r="H247" s="327" t="n"/>
      <c r="I247" s="328" t="n"/>
      <c r="J247" s="263" t="n"/>
      <c r="K247" s="264" t="n"/>
      <c r="L247" s="213" t="n"/>
    </row>
    <row r="248">
      <c r="B248" s="213" t="n"/>
      <c r="C248" s="216" t="inlineStr">
        <is>
          <t>Kg</t>
        </is>
      </c>
      <c r="D248" s="220" t="inlineStr">
        <is>
          <t>Langostinos</t>
        </is>
      </c>
      <c r="E248" s="255" t="n"/>
      <c r="F248" s="218" t="inlineStr">
        <is>
          <t>Brocheta de Langostinos</t>
        </is>
      </c>
      <c r="G248" s="122" t="inlineStr">
        <is>
          <t>Pax</t>
        </is>
      </c>
      <c r="H248" s="255" t="n"/>
      <c r="I248" s="329" t="n"/>
      <c r="J248" s="265" t="n"/>
      <c r="K248" s="266" t="n"/>
      <c r="L248" s="209" t="n"/>
    </row>
    <row r="249">
      <c r="B249" s="213" t="n"/>
      <c r="C249" s="238" t="inlineStr">
        <is>
          <t>Und</t>
        </is>
      </c>
      <c r="D249" s="1" t="inlineStr">
        <is>
          <t>Locos</t>
        </is>
      </c>
      <c r="E249" s="330" t="n"/>
      <c r="F249" s="218" t="inlineStr">
        <is>
          <t>Loco tiradito</t>
        </is>
      </c>
      <c r="G249" s="220" t="inlineStr">
        <is>
          <t>Kg</t>
        </is>
      </c>
      <c r="H249" s="331" t="n"/>
      <c r="I249" s="329" t="n"/>
      <c r="J249" s="265" t="n"/>
      <c r="K249" s="266" t="n"/>
      <c r="L249" s="209" t="n"/>
    </row>
    <row r="250">
      <c r="B250" s="213" t="n"/>
      <c r="C250" s="216" t="inlineStr">
        <is>
          <t>Kg</t>
        </is>
      </c>
      <c r="D250" s="54" t="inlineStr">
        <is>
          <t>Merluza</t>
        </is>
      </c>
      <c r="E250" s="255" t="n"/>
      <c r="F250" s="122" t="inlineStr">
        <is>
          <t>Merluza Porcionada</t>
        </is>
      </c>
      <c r="G250" s="220" t="inlineStr">
        <is>
          <t>Kg</t>
        </is>
      </c>
      <c r="H250" s="332" t="n"/>
      <c r="I250" s="333" t="n"/>
      <c r="J250" s="265" t="n"/>
      <c r="K250" s="266" t="n"/>
      <c r="L250" s="209" t="n"/>
    </row>
    <row r="251">
      <c r="B251" s="213" t="n"/>
      <c r="C251" s="216" t="inlineStr">
        <is>
          <t>Kg</t>
        </is>
      </c>
      <c r="D251" s="1" t="inlineStr">
        <is>
          <t>Reineta</t>
        </is>
      </c>
      <c r="E251" s="255" t="n"/>
      <c r="F251" s="218" t="inlineStr">
        <is>
          <t>Ceviche de Reineta</t>
        </is>
      </c>
      <c r="G251" s="122" t="inlineStr">
        <is>
          <t>Kg</t>
        </is>
      </c>
      <c r="H251" s="255" t="n"/>
      <c r="I251" s="329" t="n"/>
      <c r="J251" s="265" t="n"/>
      <c r="K251" s="266" t="n"/>
      <c r="L251" s="209" t="n"/>
    </row>
    <row r="252">
      <c r="B252" s="213" t="n"/>
      <c r="C252" s="216" t="inlineStr">
        <is>
          <t>Kg</t>
        </is>
      </c>
      <c r="D252" s="1" t="inlineStr">
        <is>
          <t>Congrio</t>
        </is>
      </c>
      <c r="E252" s="255" t="n"/>
      <c r="F252" s="218" t="inlineStr">
        <is>
          <t>Congrio Porcionado</t>
        </is>
      </c>
      <c r="G252" s="122" t="inlineStr">
        <is>
          <t>Kg</t>
        </is>
      </c>
      <c r="H252" s="255" t="n"/>
      <c r="I252" s="329" t="n"/>
      <c r="J252" s="265" t="n"/>
      <c r="K252" s="266" t="n"/>
      <c r="L252" s="209" t="n"/>
    </row>
    <row r="253">
      <c r="B253" s="213" t="n"/>
      <c r="C253" s="216" t="inlineStr">
        <is>
          <t>Kg</t>
        </is>
      </c>
      <c r="D253" s="1" t="inlineStr">
        <is>
          <t>Mejillones</t>
        </is>
      </c>
      <c r="E253" s="255" t="n"/>
      <c r="F253" s="220" t="inlineStr">
        <is>
          <t>Mix Conchas</t>
        </is>
      </c>
      <c r="G253" s="122" t="inlineStr">
        <is>
          <t>Pax</t>
        </is>
      </c>
      <c r="H253" s="255" t="n"/>
      <c r="I253" s="334" t="n"/>
      <c r="J253" s="267" t="n"/>
      <c r="K253" s="268" t="n"/>
      <c r="L253" s="209" t="n"/>
    </row>
    <row r="254">
      <c r="B254" s="213" t="n"/>
      <c r="C254" s="216" t="inlineStr">
        <is>
          <t>Kg</t>
        </is>
      </c>
      <c r="D254" s="1" t="inlineStr">
        <is>
          <t>Almejas Julianas</t>
        </is>
      </c>
      <c r="E254" s="255" t="n"/>
      <c r="F254" s="316" t="n"/>
      <c r="G254" s="316" t="n"/>
      <c r="H254" s="335" t="n"/>
      <c r="I254" s="336" t="n"/>
      <c r="J254" s="267" t="n"/>
      <c r="K254" s="268" t="n"/>
      <c r="L254" s="209" t="n"/>
    </row>
    <row r="255">
      <c r="B255" s="213" t="n"/>
      <c r="C255" s="337" t="inlineStr">
        <is>
          <t>Kg</t>
        </is>
      </c>
      <c r="D255" s="338" t="inlineStr">
        <is>
          <t>Filete Despunte</t>
        </is>
      </c>
      <c r="E255" s="255" t="n"/>
      <c r="F255" s="222" t="inlineStr">
        <is>
          <t>Ragout Lasagna</t>
        </is>
      </c>
      <c r="G255" s="112" t="inlineStr">
        <is>
          <t>Kg</t>
        </is>
      </c>
      <c r="H255" s="255" t="n"/>
      <c r="I255" s="329" t="n"/>
      <c r="J255" s="269" t="n"/>
      <c r="K255" s="270" t="n"/>
      <c r="L255" s="209" t="n"/>
    </row>
    <row r="256">
      <c r="B256" s="213" t="n"/>
      <c r="C256" s="315" t="n"/>
      <c r="D256" s="316" t="n"/>
      <c r="E256" s="339" t="n"/>
      <c r="F256" s="222" t="inlineStr">
        <is>
          <t>Ragout Rigatoni</t>
        </is>
      </c>
      <c r="G256" s="112" t="inlineStr">
        <is>
          <t>Kg</t>
        </is>
      </c>
      <c r="H256" s="255" t="n"/>
      <c r="I256" s="329" t="n"/>
      <c r="J256" s="269" t="n"/>
      <c r="K256" s="270" t="n"/>
      <c r="L256" s="209" t="n"/>
    </row>
    <row r="257">
      <c r="B257" s="213" t="n"/>
      <c r="C257" s="224" t="inlineStr">
        <is>
          <t>Kg</t>
        </is>
      </c>
      <c r="D257" s="120" t="inlineStr">
        <is>
          <t>Ragout Lasagna</t>
        </is>
      </c>
      <c r="E257" s="251" t="n"/>
      <c r="F257" s="222" t="inlineStr">
        <is>
          <t>Lasagna Berenjenas</t>
        </is>
      </c>
      <c r="G257" s="112" t="inlineStr">
        <is>
          <t>Porcion</t>
        </is>
      </c>
      <c r="H257" s="255" t="n"/>
      <c r="I257" s="329" t="n"/>
      <c r="J257" s="269" t="n"/>
      <c r="K257" s="270" t="n"/>
      <c r="L257" s="209" t="n"/>
    </row>
    <row r="258" ht="13.5" customHeight="1" s="95" thickBot="1">
      <c r="B258" s="213" t="n"/>
      <c r="C258" s="225" t="inlineStr">
        <is>
          <t>Kg</t>
        </is>
      </c>
      <c r="D258" s="31" t="inlineStr">
        <is>
          <t>Salmón Ahumado en frío</t>
        </is>
      </c>
      <c r="E258" s="252" t="n"/>
      <c r="F258" s="226" t="inlineStr">
        <is>
          <t>Chupe</t>
        </is>
      </c>
      <c r="G258" s="32" t="inlineStr">
        <is>
          <t>Porcion</t>
        </is>
      </c>
      <c r="H258" s="261" t="n"/>
      <c r="I258" s="340" t="n"/>
      <c r="J258" s="271" t="n"/>
      <c r="K258" s="272" t="n"/>
      <c r="L258" s="209" t="n"/>
    </row>
    <row r="259" ht="13.5" customHeight="1" s="95" thickBot="1">
      <c r="C259" s="228" t="n"/>
    </row>
    <row r="260" ht="13.5" customHeight="1" s="95" thickBot="1">
      <c r="C260" s="228" t="n"/>
      <c r="D260" s="341" t="inlineStr">
        <is>
          <t>REGISTRO PRODUCCIONES PASTELERIA</t>
        </is>
      </c>
      <c r="E260" s="342" t="n"/>
      <c r="F260" s="48" t="n"/>
      <c r="H260" s="343" t="inlineStr">
        <is>
          <t>REGISTRO DE CHOCOLATES</t>
        </is>
      </c>
      <c r="I260" s="318" t="n"/>
      <c r="J260" s="318" t="n"/>
      <c r="K260" s="319" t="n"/>
    </row>
    <row r="261">
      <c r="B261" s="232" t="n"/>
      <c r="C261" s="233" t="inlineStr">
        <is>
          <t>Medida</t>
        </is>
      </c>
      <c r="D261" s="195" t="inlineStr">
        <is>
          <t>Producto</t>
        </is>
      </c>
      <c r="E261" s="234" t="inlineStr">
        <is>
          <t>Cantidad</t>
        </is>
      </c>
      <c r="F261" s="235" t="n"/>
      <c r="G261" s="233" t="inlineStr">
        <is>
          <t>Producto</t>
        </is>
      </c>
      <c r="H261" s="237" t="inlineStr">
        <is>
          <t>Cantidad Entregada</t>
        </is>
      </c>
      <c r="I261" s="300" t="n"/>
      <c r="J261" s="237" t="inlineStr">
        <is>
          <t>Cant. Utilizada</t>
        </is>
      </c>
      <c r="K261" s="234" t="inlineStr">
        <is>
          <t>Medida</t>
        </is>
      </c>
    </row>
    <row r="262">
      <c r="B262" s="235" t="n"/>
      <c r="C262" s="238" t="inlineStr">
        <is>
          <t>Und</t>
        </is>
      </c>
      <c r="D262" s="1" t="inlineStr">
        <is>
          <t>Cheesecake de Berries</t>
        </is>
      </c>
      <c r="E262" s="277" t="n"/>
      <c r="F262" s="235" t="n"/>
      <c r="G262" s="238" t="inlineStr">
        <is>
          <t>Choc. Blanco</t>
        </is>
      </c>
      <c r="H262" s="273" t="n"/>
      <c r="I262" s="329" t="n"/>
      <c r="J262" s="274" t="n"/>
      <c r="K262" s="239" t="n"/>
    </row>
    <row r="263">
      <c r="B263" s="235" t="n"/>
      <c r="C263" s="238" t="inlineStr">
        <is>
          <t>Und</t>
        </is>
      </c>
      <c r="D263" s="1" t="inlineStr">
        <is>
          <t>Cheesecake de Limón</t>
        </is>
      </c>
      <c r="E263" s="277" t="n"/>
      <c r="F263" s="235" t="n"/>
      <c r="G263" s="238" t="inlineStr">
        <is>
          <t>Choc. Leche</t>
        </is>
      </c>
      <c r="H263" s="273" t="n"/>
      <c r="I263" s="329" t="n"/>
      <c r="J263" s="274" t="n"/>
      <c r="K263" s="239" t="n"/>
    </row>
    <row r="264">
      <c r="B264" s="235" t="n"/>
      <c r="C264" s="238" t="inlineStr">
        <is>
          <t>Und</t>
        </is>
      </c>
      <c r="D264" s="18" t="inlineStr">
        <is>
          <t>Brownie Nutella</t>
        </is>
      </c>
      <c r="E264" s="277" t="n"/>
      <c r="F264" s="235" t="n"/>
      <c r="G264" s="238" t="inlineStr">
        <is>
          <t>Choc. Negro</t>
        </is>
      </c>
      <c r="H264" s="273" t="n"/>
      <c r="I264" s="329" t="n"/>
      <c r="J264" s="274" t="n"/>
      <c r="K264" s="239" t="n"/>
    </row>
    <row r="265">
      <c r="B265" s="235" t="n"/>
      <c r="C265" s="238" t="inlineStr">
        <is>
          <t>Und</t>
        </is>
      </c>
      <c r="D265" s="18" t="inlineStr">
        <is>
          <t>Brownie Vegano</t>
        </is>
      </c>
      <c r="E265" s="277" t="n"/>
      <c r="F265" s="235" t="n"/>
      <c r="G265" s="238" t="inlineStr">
        <is>
          <t>Neucober Cob.</t>
        </is>
      </c>
      <c r="H265" s="273" t="n"/>
      <c r="I265" s="329" t="n"/>
      <c r="J265" s="274" t="n"/>
      <c r="K265" s="239" t="n"/>
    </row>
    <row r="266">
      <c r="B266" s="235" t="n"/>
      <c r="C266" s="238" t="inlineStr">
        <is>
          <t>Und</t>
        </is>
      </c>
      <c r="D266" s="1" t="inlineStr">
        <is>
          <t>Flan de Caluga</t>
        </is>
      </c>
      <c r="E266" s="277" t="n"/>
      <c r="F266" s="235" t="n"/>
      <c r="G266" s="238" t="inlineStr">
        <is>
          <t>Sicao Cob.</t>
        </is>
      </c>
      <c r="H266" s="273" t="n"/>
      <c r="I266" s="329" t="n"/>
      <c r="J266" s="274" t="n"/>
      <c r="K266" s="239" t="n"/>
    </row>
    <row r="267" ht="13.5" customHeight="1" s="95" thickBot="1">
      <c r="B267" s="235" t="n"/>
      <c r="C267" s="238" t="inlineStr">
        <is>
          <t>Und</t>
        </is>
      </c>
      <c r="D267" s="1" t="inlineStr">
        <is>
          <t>Volcán de Chocolate</t>
        </is>
      </c>
      <c r="E267" s="277" t="n"/>
      <c r="F267" s="235" t="n"/>
      <c r="G267" s="242" t="inlineStr">
        <is>
          <t>Nutella</t>
        </is>
      </c>
      <c r="H267" s="275" t="n"/>
      <c r="I267" s="344" t="n"/>
      <c r="J267" s="276" t="n"/>
      <c r="K267" s="241" t="n"/>
    </row>
    <row r="268" ht="13.5" customHeight="1" s="95" thickBot="1">
      <c r="B268" s="235" t="n"/>
      <c r="C268" s="242" t="inlineStr">
        <is>
          <t>Und</t>
        </is>
      </c>
      <c r="D268" s="31" t="inlineStr">
        <is>
          <t>Discos de Chocolate</t>
        </is>
      </c>
      <c r="E268" s="278" t="n"/>
      <c r="F268" s="235" t="n"/>
    </row>
    <row r="271" ht="15" customHeight="1" s="95">
      <c r="B271" s="232" t="inlineStr">
        <is>
          <t>Código</t>
        </is>
      </c>
      <c r="C271" s="232" t="inlineStr">
        <is>
          <t>Descripción</t>
        </is>
      </c>
      <c r="I271" s="232" t="inlineStr">
        <is>
          <t>Imp. Bruto</t>
        </is>
      </c>
      <c r="J271" s="232" t="inlineStr">
        <is>
          <t>Imp. Neto</t>
        </is>
      </c>
      <c r="L271" s="232" t="inlineStr">
        <is>
          <t>Cantidad Vendida</t>
        </is>
      </c>
      <c r="Q271" s="232" t="inlineStr">
        <is>
          <t>Precio Medio</t>
        </is>
      </c>
      <c r="T271" s="232" t="inlineStr">
        <is>
          <t>Imp. Descontado</t>
        </is>
      </c>
      <c r="V271" s="232" t="inlineStr">
        <is>
          <t>Descuento Medio</t>
        </is>
      </c>
      <c r="AA271" s="232" t="inlineStr">
        <is>
          <t>Importe de Referencia</t>
        </is>
      </c>
      <c r="AD271" s="232" t="inlineStr">
        <is>
          <t>Ref %</t>
        </is>
      </c>
      <c r="AE271" s="232" t="inlineStr">
        <is>
          <t>Tot%</t>
        </is>
      </c>
    </row>
    <row r="272">
      <c r="B272" s="279" t="n"/>
      <c r="C272" s="280" t="n"/>
      <c r="D272" s="295" t="n"/>
      <c r="E272" s="295" t="n"/>
      <c r="F272" s="295" t="n"/>
      <c r="G272" s="282" t="n"/>
      <c r="H272" s="295" t="n"/>
      <c r="I272" s="295" t="n"/>
      <c r="J272" s="282" t="n"/>
      <c r="K272" s="345" t="n"/>
      <c r="L272" s="295" t="n"/>
      <c r="M272" s="346" t="n"/>
      <c r="N272" s="295" t="n"/>
      <c r="O272" s="285" t="n"/>
      <c r="P272" s="295" t="n"/>
      <c r="Q272" s="295" t="n"/>
      <c r="R272" s="282" t="n"/>
      <c r="S272" s="295" t="n"/>
      <c r="T272" s="295" t="n"/>
      <c r="U272" s="285" t="n"/>
      <c r="V272" s="295" t="n"/>
      <c r="W272" s="282" t="n"/>
      <c r="X272" s="295" t="n"/>
      <c r="Y272" s="295" t="n"/>
      <c r="Z272" s="295" t="n"/>
      <c r="AA272" s="295" t="n"/>
      <c r="AB272" s="285" t="n"/>
      <c r="AC272" s="295" t="n"/>
      <c r="AD272" s="295" t="n"/>
      <c r="AE272" s="286" t="n"/>
    </row>
    <row r="273">
      <c r="B273" s="287" t="n"/>
      <c r="C273" s="288" t="n"/>
      <c r="D273" s="295" t="n"/>
      <c r="E273" s="295" t="n"/>
      <c r="F273" s="295" t="n"/>
      <c r="G273" s="290" t="n"/>
      <c r="H273" s="295" t="n"/>
      <c r="I273" s="295" t="n"/>
      <c r="J273" s="290" t="n"/>
      <c r="K273" s="347" t="n"/>
      <c r="L273" s="295" t="n"/>
      <c r="M273" s="348" t="n"/>
      <c r="N273" s="295" t="n"/>
      <c r="O273" s="293" t="n"/>
      <c r="P273" s="295" t="n"/>
      <c r="Q273" s="295" t="n"/>
      <c r="R273" s="290" t="n"/>
      <c r="S273" s="295" t="n"/>
      <c r="T273" s="295" t="n"/>
      <c r="U273" s="293" t="n"/>
      <c r="V273" s="295" t="n"/>
      <c r="W273" s="290" t="n"/>
      <c r="X273" s="295" t="n"/>
      <c r="Y273" s="295" t="n"/>
      <c r="Z273" s="295" t="n"/>
      <c r="AA273" s="295" t="n"/>
      <c r="AB273" s="293" t="n"/>
      <c r="AC273" s="295" t="n"/>
      <c r="AD273" s="295" t="n"/>
      <c r="AE273" s="294" t="n"/>
    </row>
    <row r="274">
      <c r="B274" s="279" t="n"/>
      <c r="C274" s="280" t="n"/>
      <c r="D274" s="295" t="n"/>
      <c r="E274" s="295" t="n"/>
      <c r="F274" s="295" t="n"/>
      <c r="G274" s="282" t="n"/>
      <c r="H274" s="295" t="n"/>
      <c r="I274" s="295" t="n"/>
      <c r="J274" s="282" t="n"/>
      <c r="K274" s="345" t="n"/>
      <c r="L274" s="295" t="n"/>
      <c r="M274" s="346" t="n"/>
      <c r="N274" s="295" t="n"/>
      <c r="O274" s="285" t="n"/>
      <c r="P274" s="295" t="n"/>
      <c r="Q274" s="295" t="n"/>
      <c r="R274" s="282" t="n"/>
      <c r="S274" s="295" t="n"/>
      <c r="T274" s="295" t="n"/>
      <c r="U274" s="285" t="n"/>
      <c r="V274" s="295" t="n"/>
      <c r="W274" s="282" t="n"/>
      <c r="X274" s="295" t="n"/>
      <c r="Y274" s="295" t="n"/>
      <c r="Z274" s="295" t="n"/>
      <c r="AA274" s="295" t="n"/>
      <c r="AB274" s="285" t="n"/>
      <c r="AC274" s="295" t="n"/>
      <c r="AD274" s="295" t="n"/>
      <c r="AE274" s="286" t="n"/>
    </row>
    <row r="275">
      <c r="B275" s="287" t="n"/>
      <c r="C275" s="288" t="n"/>
      <c r="D275" s="295" t="n"/>
      <c r="E275" s="295" t="n"/>
      <c r="F275" s="295" t="n"/>
      <c r="G275" s="290" t="n"/>
      <c r="H275" s="295" t="n"/>
      <c r="I275" s="295" t="n"/>
      <c r="J275" s="290" t="n"/>
      <c r="K275" s="347" t="n"/>
      <c r="L275" s="295" t="n"/>
      <c r="M275" s="348" t="n"/>
      <c r="N275" s="295" t="n"/>
      <c r="O275" s="293" t="n"/>
      <c r="P275" s="295" t="n"/>
      <c r="Q275" s="295" t="n"/>
      <c r="R275" s="290" t="n"/>
      <c r="S275" s="295" t="n"/>
      <c r="T275" s="295" t="n"/>
      <c r="U275" s="293" t="n"/>
      <c r="V275" s="295" t="n"/>
      <c r="W275" s="290" t="n"/>
      <c r="X275" s="295" t="n"/>
      <c r="Y275" s="295" t="n"/>
      <c r="Z275" s="295" t="n"/>
      <c r="AA275" s="295" t="n"/>
      <c r="AB275" s="293" t="n"/>
      <c r="AC275" s="295" t="n"/>
      <c r="AD275" s="295" t="n"/>
      <c r="AE275" s="294" t="n"/>
    </row>
    <row r="276">
      <c r="B276" s="279" t="n"/>
      <c r="C276" s="280" t="n"/>
      <c r="D276" s="295" t="n"/>
      <c r="E276" s="295" t="n"/>
      <c r="F276" s="295" t="n"/>
      <c r="G276" s="282" t="n"/>
      <c r="H276" s="295" t="n"/>
      <c r="I276" s="295" t="n"/>
      <c r="J276" s="282" t="n"/>
      <c r="K276" s="345" t="n"/>
      <c r="L276" s="295" t="n"/>
      <c r="M276" s="346" t="n"/>
      <c r="N276" s="295" t="n"/>
      <c r="O276" s="285" t="n"/>
      <c r="P276" s="295" t="n"/>
      <c r="Q276" s="295" t="n"/>
      <c r="R276" s="282" t="n"/>
      <c r="S276" s="295" t="n"/>
      <c r="T276" s="295" t="n"/>
      <c r="U276" s="285" t="n"/>
      <c r="V276" s="295" t="n"/>
      <c r="W276" s="282" t="n"/>
      <c r="X276" s="295" t="n"/>
      <c r="Y276" s="295" t="n"/>
      <c r="Z276" s="295" t="n"/>
      <c r="AA276" s="295" t="n"/>
      <c r="AB276" s="285" t="n"/>
      <c r="AC276" s="295" t="n"/>
      <c r="AD276" s="295" t="n"/>
      <c r="AE276" s="286" t="n"/>
    </row>
    <row r="277">
      <c r="B277" s="287" t="n"/>
      <c r="C277" s="288" t="n"/>
      <c r="D277" s="295" t="n"/>
      <c r="E277" s="295" t="n"/>
      <c r="F277" s="295" t="n"/>
      <c r="G277" s="290" t="n"/>
      <c r="H277" s="295" t="n"/>
      <c r="I277" s="295" t="n"/>
      <c r="J277" s="290" t="n"/>
      <c r="K277" s="347" t="n"/>
      <c r="L277" s="295" t="n"/>
      <c r="M277" s="348" t="n"/>
      <c r="N277" s="295" t="n"/>
      <c r="O277" s="293" t="n"/>
      <c r="P277" s="295" t="n"/>
      <c r="Q277" s="295" t="n"/>
      <c r="R277" s="290" t="n"/>
      <c r="S277" s="295" t="n"/>
      <c r="T277" s="295" t="n"/>
      <c r="U277" s="293" t="n"/>
      <c r="V277" s="295" t="n"/>
      <c r="W277" s="290" t="n"/>
      <c r="X277" s="295" t="n"/>
      <c r="Y277" s="295" t="n"/>
      <c r="Z277" s="295" t="n"/>
      <c r="AA277" s="295" t="n"/>
      <c r="AB277" s="293" t="n"/>
      <c r="AC277" s="295" t="n"/>
      <c r="AD277" s="295" t="n"/>
      <c r="AE277" s="294" t="n"/>
    </row>
    <row r="278">
      <c r="B278" s="279" t="n"/>
      <c r="C278" s="280" t="n"/>
      <c r="D278" s="295" t="n"/>
      <c r="E278" s="295" t="n"/>
      <c r="F278" s="295" t="n"/>
      <c r="G278" s="282" t="n"/>
      <c r="H278" s="295" t="n"/>
      <c r="I278" s="295" t="n"/>
      <c r="J278" s="282" t="n"/>
      <c r="K278" s="345" t="n"/>
      <c r="L278" s="295" t="n"/>
      <c r="M278" s="346" t="n"/>
      <c r="N278" s="295" t="n"/>
      <c r="O278" s="285" t="n"/>
      <c r="P278" s="295" t="n"/>
      <c r="Q278" s="295" t="n"/>
      <c r="R278" s="282" t="n"/>
      <c r="S278" s="295" t="n"/>
      <c r="T278" s="295" t="n"/>
      <c r="U278" s="285" t="n"/>
      <c r="V278" s="295" t="n"/>
      <c r="W278" s="282" t="n"/>
      <c r="X278" s="295" t="n"/>
      <c r="Y278" s="295" t="n"/>
      <c r="Z278" s="295" t="n"/>
      <c r="AA278" s="295" t="n"/>
      <c r="AB278" s="285" t="n"/>
      <c r="AC278" s="295" t="n"/>
      <c r="AD278" s="295" t="n"/>
      <c r="AE278" s="286" t="n"/>
    </row>
    <row r="279">
      <c r="B279" s="287" t="n"/>
      <c r="C279" s="288" t="n"/>
      <c r="D279" s="295" t="n"/>
      <c r="E279" s="295" t="n"/>
      <c r="F279" s="295" t="n"/>
      <c r="G279" s="290" t="n"/>
      <c r="H279" s="295" t="n"/>
      <c r="I279" s="295" t="n"/>
      <c r="J279" s="290" t="n"/>
      <c r="K279" s="347" t="n"/>
      <c r="L279" s="295" t="n"/>
      <c r="M279" s="348" t="n"/>
      <c r="N279" s="295" t="n"/>
      <c r="O279" s="293" t="n"/>
      <c r="P279" s="295" t="n"/>
      <c r="Q279" s="295" t="n"/>
      <c r="R279" s="290" t="n"/>
      <c r="S279" s="295" t="n"/>
      <c r="T279" s="295" t="n"/>
      <c r="U279" s="293" t="n"/>
      <c r="V279" s="295" t="n"/>
      <c r="W279" s="290" t="n"/>
      <c r="X279" s="295" t="n"/>
      <c r="Y279" s="295" t="n"/>
      <c r="Z279" s="295" t="n"/>
      <c r="AA279" s="295" t="n"/>
      <c r="AB279" s="293" t="n"/>
      <c r="AC279" s="295" t="n"/>
      <c r="AD279" s="295" t="n"/>
      <c r="AE279" s="294" t="n"/>
    </row>
    <row r="280">
      <c r="B280" s="279" t="n"/>
      <c r="C280" s="280" t="n"/>
      <c r="D280" s="295" t="n"/>
      <c r="E280" s="295" t="n"/>
      <c r="F280" s="295" t="n"/>
      <c r="G280" s="282" t="n"/>
      <c r="H280" s="295" t="n"/>
      <c r="I280" s="295" t="n"/>
      <c r="J280" s="282" t="n"/>
      <c r="K280" s="345" t="n"/>
      <c r="L280" s="295" t="n"/>
      <c r="M280" s="346" t="n"/>
      <c r="N280" s="295" t="n"/>
      <c r="O280" s="285" t="n"/>
      <c r="P280" s="295" t="n"/>
      <c r="Q280" s="295" t="n"/>
      <c r="R280" s="282" t="n"/>
      <c r="S280" s="295" t="n"/>
      <c r="T280" s="295" t="n"/>
      <c r="U280" s="285" t="n"/>
      <c r="V280" s="295" t="n"/>
      <c r="W280" s="282" t="n"/>
      <c r="X280" s="295" t="n"/>
      <c r="Y280" s="295" t="n"/>
      <c r="Z280" s="295" t="n"/>
      <c r="AA280" s="295" t="n"/>
      <c r="AB280" s="285" t="n"/>
      <c r="AC280" s="295" t="n"/>
      <c r="AD280" s="295" t="n"/>
      <c r="AE280" s="286" t="n"/>
    </row>
    <row r="281">
      <c r="B281" s="287" t="n"/>
      <c r="C281" s="288" t="n"/>
      <c r="D281" s="295" t="n"/>
      <c r="E281" s="295" t="n"/>
      <c r="F281" s="295" t="n"/>
      <c r="G281" s="290" t="n"/>
      <c r="H281" s="295" t="n"/>
      <c r="I281" s="295" t="n"/>
      <c r="J281" s="290" t="n"/>
      <c r="K281" s="347" t="n"/>
      <c r="L281" s="295" t="n"/>
      <c r="M281" s="348" t="n"/>
      <c r="N281" s="295" t="n"/>
      <c r="O281" s="293" t="n"/>
      <c r="P281" s="295" t="n"/>
      <c r="Q281" s="295" t="n"/>
      <c r="R281" s="290" t="n"/>
      <c r="S281" s="295" t="n"/>
      <c r="T281" s="295" t="n"/>
      <c r="U281" s="293" t="n"/>
      <c r="V281" s="295" t="n"/>
      <c r="W281" s="290" t="n"/>
      <c r="X281" s="295" t="n"/>
      <c r="Y281" s="295" t="n"/>
      <c r="Z281" s="295" t="n"/>
      <c r="AA281" s="295" t="n"/>
      <c r="AB281" s="293" t="n"/>
      <c r="AC281" s="295" t="n"/>
      <c r="AD281" s="295" t="n"/>
      <c r="AE281" s="294" t="n"/>
    </row>
    <row r="282">
      <c r="B282" s="279" t="n"/>
      <c r="C282" s="280" t="n"/>
      <c r="D282" s="295" t="n"/>
      <c r="E282" s="295" t="n"/>
      <c r="F282" s="295" t="n"/>
      <c r="G282" s="282" t="n"/>
      <c r="H282" s="295" t="n"/>
      <c r="I282" s="295" t="n"/>
      <c r="J282" s="282" t="n"/>
      <c r="K282" s="345" t="n"/>
      <c r="L282" s="295" t="n"/>
      <c r="M282" s="346" t="n"/>
      <c r="N282" s="295" t="n"/>
      <c r="O282" s="285" t="n"/>
      <c r="P282" s="295" t="n"/>
      <c r="Q282" s="295" t="n"/>
      <c r="R282" s="282" t="n"/>
      <c r="S282" s="295" t="n"/>
      <c r="T282" s="295" t="n"/>
      <c r="U282" s="285" t="n"/>
      <c r="V282" s="295" t="n"/>
      <c r="W282" s="282" t="n"/>
      <c r="X282" s="295" t="n"/>
      <c r="Y282" s="295" t="n"/>
      <c r="Z282" s="295" t="n"/>
      <c r="AA282" s="295" t="n"/>
      <c r="AB282" s="285" t="n"/>
      <c r="AC282" s="295" t="n"/>
      <c r="AD282" s="295" t="n"/>
      <c r="AE282" s="286" t="n"/>
    </row>
    <row r="283">
      <c r="B283" s="287" t="n"/>
      <c r="C283" s="288" t="n"/>
      <c r="D283" s="295" t="n"/>
      <c r="E283" s="295" t="n"/>
      <c r="F283" s="295" t="n"/>
      <c r="G283" s="290" t="n"/>
      <c r="H283" s="295" t="n"/>
      <c r="I283" s="295" t="n"/>
      <c r="J283" s="290" t="n"/>
      <c r="K283" s="347" t="n"/>
      <c r="L283" s="295" t="n"/>
      <c r="M283" s="348" t="n"/>
      <c r="N283" s="295" t="n"/>
      <c r="O283" s="293" t="n"/>
      <c r="P283" s="295" t="n"/>
      <c r="Q283" s="295" t="n"/>
      <c r="R283" s="290" t="n"/>
      <c r="S283" s="295" t="n"/>
      <c r="T283" s="295" t="n"/>
      <c r="U283" s="293" t="n"/>
      <c r="V283" s="295" t="n"/>
      <c r="W283" s="290" t="n"/>
      <c r="X283" s="295" t="n"/>
      <c r="Y283" s="295" t="n"/>
      <c r="Z283" s="295" t="n"/>
      <c r="AA283" s="295" t="n"/>
      <c r="AB283" s="293" t="n"/>
      <c r="AC283" s="295" t="n"/>
      <c r="AD283" s="295" t="n"/>
      <c r="AE283" s="294" t="n"/>
    </row>
    <row r="284">
      <c r="B284" s="279" t="n"/>
      <c r="C284" s="280" t="n"/>
      <c r="D284" s="295" t="n"/>
      <c r="E284" s="295" t="n"/>
      <c r="F284" s="295" t="n"/>
      <c r="G284" s="282" t="n"/>
      <c r="H284" s="295" t="n"/>
      <c r="I284" s="295" t="n"/>
      <c r="J284" s="282" t="n"/>
      <c r="K284" s="345" t="n"/>
      <c r="L284" s="295" t="n"/>
      <c r="M284" s="346" t="n"/>
      <c r="N284" s="295" t="n"/>
      <c r="O284" s="285" t="n"/>
      <c r="P284" s="295" t="n"/>
      <c r="Q284" s="295" t="n"/>
      <c r="R284" s="282" t="n"/>
      <c r="S284" s="295" t="n"/>
      <c r="T284" s="295" t="n"/>
      <c r="U284" s="285" t="n"/>
      <c r="V284" s="295" t="n"/>
      <c r="W284" s="282" t="n"/>
      <c r="X284" s="295" t="n"/>
      <c r="Y284" s="295" t="n"/>
      <c r="Z284" s="295" t="n"/>
      <c r="AA284" s="295" t="n"/>
      <c r="AB284" s="285" t="n"/>
      <c r="AC284" s="295" t="n"/>
      <c r="AD284" s="295" t="n"/>
      <c r="AE284" s="286" t="n"/>
    </row>
    <row r="285">
      <c r="B285" s="287" t="n"/>
      <c r="C285" s="288" t="n"/>
      <c r="D285" s="295" t="n"/>
      <c r="E285" s="295" t="n"/>
      <c r="F285" s="295" t="n"/>
      <c r="G285" s="290" t="n"/>
      <c r="H285" s="295" t="n"/>
      <c r="I285" s="295" t="n"/>
      <c r="J285" s="290" t="n"/>
      <c r="K285" s="347" t="n"/>
      <c r="L285" s="295" t="n"/>
      <c r="M285" s="348" t="n"/>
      <c r="N285" s="295" t="n"/>
      <c r="O285" s="293" t="n"/>
      <c r="P285" s="295" t="n"/>
      <c r="Q285" s="295" t="n"/>
      <c r="R285" s="290" t="n"/>
      <c r="S285" s="295" t="n"/>
      <c r="T285" s="295" t="n"/>
      <c r="U285" s="293" t="n"/>
      <c r="V285" s="295" t="n"/>
      <c r="W285" s="290" t="n"/>
      <c r="X285" s="295" t="n"/>
      <c r="Y285" s="295" t="n"/>
      <c r="Z285" s="295" t="n"/>
      <c r="AA285" s="295" t="n"/>
      <c r="AB285" s="293" t="n"/>
      <c r="AC285" s="295" t="n"/>
      <c r="AD285" s="295" t="n"/>
      <c r="AE285" s="294" t="n"/>
    </row>
    <row r="286">
      <c r="B286" s="279" t="n"/>
      <c r="C286" s="280" t="n"/>
      <c r="D286" s="295" t="n"/>
      <c r="E286" s="295" t="n"/>
      <c r="F286" s="295" t="n"/>
      <c r="G286" s="282" t="n"/>
      <c r="H286" s="295" t="n"/>
      <c r="I286" s="295" t="n"/>
      <c r="J286" s="282" t="n"/>
      <c r="K286" s="345" t="n"/>
      <c r="L286" s="295" t="n"/>
      <c r="M286" s="346" t="n"/>
      <c r="N286" s="295" t="n"/>
      <c r="O286" s="285" t="n"/>
      <c r="P286" s="295" t="n"/>
      <c r="Q286" s="295" t="n"/>
      <c r="R286" s="282" t="n"/>
      <c r="S286" s="295" t="n"/>
      <c r="T286" s="295" t="n"/>
      <c r="U286" s="285" t="n"/>
      <c r="V286" s="295" t="n"/>
      <c r="W286" s="282" t="n"/>
      <c r="X286" s="295" t="n"/>
      <c r="Y286" s="295" t="n"/>
      <c r="Z286" s="295" t="n"/>
      <c r="AA286" s="295" t="n"/>
      <c r="AB286" s="285" t="n"/>
      <c r="AC286" s="295" t="n"/>
      <c r="AD286" s="295" t="n"/>
      <c r="AE286" s="286" t="n"/>
    </row>
    <row r="287">
      <c r="B287" s="287" t="n"/>
      <c r="C287" s="288" t="n"/>
      <c r="D287" s="295" t="n"/>
      <c r="E287" s="295" t="n"/>
      <c r="F287" s="295" t="n"/>
      <c r="G287" s="290" t="n"/>
      <c r="H287" s="295" t="n"/>
      <c r="I287" s="295" t="n"/>
      <c r="J287" s="290" t="n"/>
      <c r="K287" s="347" t="n"/>
      <c r="L287" s="295" t="n"/>
      <c r="M287" s="348" t="n"/>
      <c r="N287" s="295" t="n"/>
      <c r="O287" s="293" t="n"/>
      <c r="P287" s="295" t="n"/>
      <c r="Q287" s="295" t="n"/>
      <c r="R287" s="290" t="n"/>
      <c r="S287" s="295" t="n"/>
      <c r="T287" s="295" t="n"/>
      <c r="U287" s="293" t="n"/>
      <c r="V287" s="295" t="n"/>
      <c r="W287" s="290" t="n"/>
      <c r="X287" s="295" t="n"/>
      <c r="Y287" s="295" t="n"/>
      <c r="Z287" s="295" t="n"/>
      <c r="AA287" s="295" t="n"/>
      <c r="AB287" s="293" t="n"/>
      <c r="AC287" s="295" t="n"/>
      <c r="AD287" s="295" t="n"/>
      <c r="AE287" s="294" t="n"/>
    </row>
    <row r="288">
      <c r="B288" s="279" t="n"/>
      <c r="C288" s="280" t="n"/>
      <c r="D288" s="295" t="n"/>
      <c r="E288" s="295" t="n"/>
      <c r="F288" s="295" t="n"/>
      <c r="G288" s="282" t="n"/>
      <c r="H288" s="295" t="n"/>
      <c r="I288" s="295" t="n"/>
      <c r="J288" s="282" t="n"/>
      <c r="K288" s="345" t="n"/>
      <c r="L288" s="295" t="n"/>
      <c r="M288" s="346" t="n"/>
      <c r="N288" s="295" t="n"/>
      <c r="O288" s="285" t="n"/>
      <c r="P288" s="295" t="n"/>
      <c r="Q288" s="295" t="n"/>
      <c r="R288" s="282" t="n"/>
      <c r="S288" s="295" t="n"/>
      <c r="T288" s="295" t="n"/>
      <c r="U288" s="285" t="n"/>
      <c r="V288" s="295" t="n"/>
      <c r="W288" s="282" t="n"/>
      <c r="X288" s="295" t="n"/>
      <c r="Y288" s="295" t="n"/>
      <c r="Z288" s="295" t="n"/>
      <c r="AA288" s="295" t="n"/>
      <c r="AB288" s="285" t="n"/>
      <c r="AC288" s="295" t="n"/>
      <c r="AD288" s="295" t="n"/>
      <c r="AE288" s="286" t="n"/>
    </row>
    <row r="289">
      <c r="B289" s="287" t="n"/>
      <c r="C289" s="288" t="n"/>
      <c r="D289" s="295" t="n"/>
      <c r="E289" s="295" t="n"/>
      <c r="F289" s="295" t="n"/>
      <c r="G289" s="290" t="n"/>
      <c r="H289" s="295" t="n"/>
      <c r="I289" s="295" t="n"/>
      <c r="J289" s="290" t="n"/>
      <c r="K289" s="347" t="n"/>
      <c r="L289" s="295" t="n"/>
      <c r="M289" s="348" t="n"/>
      <c r="N289" s="295" t="n"/>
      <c r="O289" s="293" t="n"/>
      <c r="P289" s="295" t="n"/>
      <c r="Q289" s="295" t="n"/>
      <c r="R289" s="290" t="n"/>
      <c r="S289" s="295" t="n"/>
      <c r="T289" s="295" t="n"/>
      <c r="U289" s="293" t="n"/>
      <c r="V289" s="295" t="n"/>
      <c r="W289" s="290" t="n"/>
      <c r="X289" s="295" t="n"/>
      <c r="Y289" s="295" t="n"/>
      <c r="Z289" s="295" t="n"/>
      <c r="AA289" s="295" t="n"/>
      <c r="AB289" s="293" t="n"/>
      <c r="AC289" s="295" t="n"/>
      <c r="AD289" s="295" t="n"/>
      <c r="AE289" s="294" t="n"/>
    </row>
    <row r="290">
      <c r="B290" s="279" t="n"/>
      <c r="C290" s="280" t="n"/>
      <c r="D290" s="295" t="n"/>
      <c r="E290" s="295" t="n"/>
      <c r="F290" s="295" t="n"/>
      <c r="G290" s="282" t="n"/>
      <c r="H290" s="295" t="n"/>
      <c r="I290" s="295" t="n"/>
      <c r="J290" s="282" t="n"/>
      <c r="K290" s="345" t="n"/>
      <c r="L290" s="295" t="n"/>
      <c r="M290" s="346" t="n"/>
      <c r="N290" s="295" t="n"/>
      <c r="O290" s="285" t="n"/>
      <c r="P290" s="295" t="n"/>
      <c r="Q290" s="295" t="n"/>
      <c r="R290" s="282" t="n"/>
      <c r="S290" s="295" t="n"/>
      <c r="T290" s="295" t="n"/>
      <c r="U290" s="285" t="n"/>
      <c r="V290" s="295" t="n"/>
      <c r="W290" s="282" t="n"/>
      <c r="X290" s="295" t="n"/>
      <c r="Y290" s="295" t="n"/>
      <c r="Z290" s="295" t="n"/>
      <c r="AA290" s="295" t="n"/>
      <c r="AB290" s="285" t="n"/>
      <c r="AC290" s="295" t="n"/>
      <c r="AD290" s="295" t="n"/>
      <c r="AE290" s="286" t="n"/>
    </row>
    <row r="291">
      <c r="B291" s="287" t="n"/>
      <c r="C291" s="288" t="n"/>
      <c r="D291" s="295" t="n"/>
      <c r="E291" s="295" t="n"/>
      <c r="F291" s="295" t="n"/>
      <c r="G291" s="290" t="n"/>
      <c r="H291" s="295" t="n"/>
      <c r="I291" s="295" t="n"/>
      <c r="J291" s="290" t="n"/>
      <c r="K291" s="347" t="n"/>
      <c r="L291" s="295" t="n"/>
      <c r="M291" s="348" t="n"/>
      <c r="N291" s="295" t="n"/>
      <c r="O291" s="293" t="n"/>
      <c r="P291" s="295" t="n"/>
      <c r="Q291" s="295" t="n"/>
      <c r="R291" s="290" t="n"/>
      <c r="S291" s="295" t="n"/>
      <c r="T291" s="295" t="n"/>
      <c r="U291" s="293" t="n"/>
      <c r="V291" s="295" t="n"/>
      <c r="W291" s="290" t="n"/>
      <c r="X291" s="295" t="n"/>
      <c r="Y291" s="295" t="n"/>
      <c r="Z291" s="295" t="n"/>
      <c r="AA291" s="295" t="n"/>
      <c r="AB291" s="293" t="n"/>
      <c r="AC291" s="295" t="n"/>
      <c r="AD291" s="295" t="n"/>
      <c r="AE291" s="294" t="n"/>
    </row>
    <row r="292">
      <c r="B292" s="279" t="n"/>
      <c r="C292" s="280" t="n"/>
      <c r="D292" s="295" t="n"/>
      <c r="E292" s="295" t="n"/>
      <c r="F292" s="295" t="n"/>
      <c r="G292" s="282" t="n"/>
      <c r="H292" s="295" t="n"/>
      <c r="I292" s="295" t="n"/>
      <c r="J292" s="282" t="n"/>
      <c r="K292" s="345" t="n"/>
      <c r="L292" s="295" t="n"/>
      <c r="M292" s="346" t="n"/>
      <c r="N292" s="295" t="n"/>
      <c r="O292" s="285" t="n"/>
      <c r="P292" s="295" t="n"/>
      <c r="Q292" s="295" t="n"/>
      <c r="R292" s="282" t="n"/>
      <c r="S292" s="295" t="n"/>
      <c r="T292" s="295" t="n"/>
      <c r="U292" s="285" t="n"/>
      <c r="V292" s="295" t="n"/>
      <c r="W292" s="282" t="n"/>
      <c r="X292" s="295" t="n"/>
      <c r="Y292" s="295" t="n"/>
      <c r="Z292" s="295" t="n"/>
      <c r="AA292" s="295" t="n"/>
      <c r="AB292" s="285" t="n"/>
      <c r="AC292" s="295" t="n"/>
      <c r="AD292" s="295" t="n"/>
      <c r="AE292" s="286" t="n"/>
    </row>
    <row r="293">
      <c r="B293" s="287" t="n"/>
      <c r="C293" s="288" t="n"/>
      <c r="D293" s="295" t="n"/>
      <c r="E293" s="295" t="n"/>
      <c r="F293" s="295" t="n"/>
      <c r="G293" s="290" t="n"/>
      <c r="H293" s="295" t="n"/>
      <c r="I293" s="295" t="n"/>
      <c r="J293" s="290" t="n"/>
      <c r="K293" s="347" t="n"/>
      <c r="L293" s="295" t="n"/>
      <c r="M293" s="348" t="n"/>
      <c r="N293" s="295" t="n"/>
      <c r="O293" s="293" t="n"/>
      <c r="P293" s="295" t="n"/>
      <c r="Q293" s="295" t="n"/>
      <c r="R293" s="290" t="n"/>
      <c r="S293" s="295" t="n"/>
      <c r="T293" s="295" t="n"/>
      <c r="U293" s="293" t="n"/>
      <c r="V293" s="295" t="n"/>
      <c r="W293" s="290" t="n"/>
      <c r="X293" s="295" t="n"/>
      <c r="Y293" s="295" t="n"/>
      <c r="Z293" s="295" t="n"/>
      <c r="AA293" s="295" t="n"/>
      <c r="AB293" s="293" t="n"/>
      <c r="AC293" s="295" t="n"/>
      <c r="AD293" s="295" t="n"/>
      <c r="AE293" s="294" t="n"/>
    </row>
    <row r="294">
      <c r="B294" s="279" t="n"/>
      <c r="C294" s="280" t="n"/>
      <c r="D294" s="295" t="n"/>
      <c r="E294" s="295" t="n"/>
      <c r="F294" s="295" t="n"/>
      <c r="G294" s="282" t="n"/>
      <c r="H294" s="295" t="n"/>
      <c r="I294" s="295" t="n"/>
      <c r="J294" s="282" t="n"/>
      <c r="K294" s="345" t="n"/>
      <c r="L294" s="295" t="n"/>
      <c r="M294" s="346" t="n"/>
      <c r="N294" s="295" t="n"/>
      <c r="O294" s="285" t="n"/>
      <c r="P294" s="295" t="n"/>
      <c r="Q294" s="295" t="n"/>
      <c r="R294" s="282" t="n"/>
      <c r="S294" s="295" t="n"/>
      <c r="T294" s="295" t="n"/>
      <c r="U294" s="285" t="n"/>
      <c r="V294" s="295" t="n"/>
      <c r="W294" s="282" t="n"/>
      <c r="X294" s="295" t="n"/>
      <c r="Y294" s="295" t="n"/>
      <c r="Z294" s="295" t="n"/>
      <c r="AA294" s="295" t="n"/>
      <c r="AB294" s="285" t="n"/>
      <c r="AC294" s="295" t="n"/>
      <c r="AD294" s="295" t="n"/>
      <c r="AE294" s="286" t="n"/>
    </row>
    <row r="295">
      <c r="B295" s="287" t="n"/>
      <c r="C295" s="288" t="n"/>
      <c r="D295" s="295" t="n"/>
      <c r="E295" s="295" t="n"/>
      <c r="F295" s="295" t="n"/>
      <c r="G295" s="290" t="n"/>
      <c r="H295" s="295" t="n"/>
      <c r="I295" s="295" t="n"/>
      <c r="J295" s="290" t="n"/>
      <c r="K295" s="347" t="n"/>
      <c r="L295" s="295" t="n"/>
      <c r="M295" s="348" t="n"/>
      <c r="N295" s="295" t="n"/>
      <c r="O295" s="293" t="n"/>
      <c r="P295" s="295" t="n"/>
      <c r="Q295" s="295" t="n"/>
      <c r="R295" s="290" t="n"/>
      <c r="S295" s="295" t="n"/>
      <c r="T295" s="295" t="n"/>
      <c r="U295" s="293" t="n"/>
      <c r="V295" s="295" t="n"/>
      <c r="W295" s="290" t="n"/>
      <c r="X295" s="295" t="n"/>
      <c r="Y295" s="295" t="n"/>
      <c r="Z295" s="295" t="n"/>
      <c r="AA295" s="295" t="n"/>
      <c r="AB295" s="293" t="n"/>
      <c r="AC295" s="295" t="n"/>
      <c r="AD295" s="295" t="n"/>
      <c r="AE295" s="294" t="n"/>
    </row>
    <row r="296">
      <c r="B296" s="279" t="n"/>
      <c r="C296" s="280" t="n"/>
      <c r="D296" s="295" t="n"/>
      <c r="E296" s="295" t="n"/>
      <c r="F296" s="295" t="n"/>
      <c r="G296" s="282" t="n"/>
      <c r="H296" s="295" t="n"/>
      <c r="I296" s="295" t="n"/>
      <c r="J296" s="282" t="n"/>
      <c r="K296" s="345" t="n"/>
      <c r="L296" s="295" t="n"/>
      <c r="M296" s="346" t="n"/>
      <c r="N296" s="295" t="n"/>
      <c r="O296" s="285" t="n"/>
      <c r="P296" s="295" t="n"/>
      <c r="Q296" s="295" t="n"/>
      <c r="R296" s="282" t="n"/>
      <c r="S296" s="295" t="n"/>
      <c r="T296" s="295" t="n"/>
      <c r="U296" s="285" t="n"/>
      <c r="V296" s="295" t="n"/>
      <c r="W296" s="282" t="n"/>
      <c r="X296" s="295" t="n"/>
      <c r="Y296" s="295" t="n"/>
      <c r="Z296" s="295" t="n"/>
      <c r="AA296" s="295" t="n"/>
      <c r="AB296" s="285" t="n"/>
      <c r="AC296" s="295" t="n"/>
      <c r="AD296" s="295" t="n"/>
      <c r="AE296" s="286" t="n"/>
    </row>
    <row r="297">
      <c r="B297" s="287" t="n"/>
      <c r="C297" s="288" t="n"/>
      <c r="D297" s="295" t="n"/>
      <c r="E297" s="295" t="n"/>
      <c r="F297" s="295" t="n"/>
      <c r="G297" s="290" t="n"/>
      <c r="H297" s="295" t="n"/>
      <c r="I297" s="295" t="n"/>
      <c r="J297" s="290" t="n"/>
      <c r="K297" s="347" t="n"/>
      <c r="L297" s="295" t="n"/>
      <c r="M297" s="348" t="n"/>
      <c r="N297" s="295" t="n"/>
      <c r="O297" s="293" t="n"/>
      <c r="P297" s="295" t="n"/>
      <c r="Q297" s="295" t="n"/>
      <c r="R297" s="290" t="n"/>
      <c r="S297" s="295" t="n"/>
      <c r="T297" s="295" t="n"/>
      <c r="U297" s="293" t="n"/>
      <c r="V297" s="295" t="n"/>
      <c r="W297" s="290" t="n"/>
      <c r="X297" s="295" t="n"/>
      <c r="Y297" s="295" t="n"/>
      <c r="Z297" s="295" t="n"/>
      <c r="AA297" s="295" t="n"/>
      <c r="AB297" s="293" t="n"/>
      <c r="AC297" s="295" t="n"/>
      <c r="AD297" s="295" t="n"/>
      <c r="AE297" s="294" t="n"/>
    </row>
    <row r="298">
      <c r="B298" s="279" t="n"/>
      <c r="C298" s="280" t="n"/>
      <c r="D298" s="295" t="n"/>
      <c r="E298" s="295" t="n"/>
      <c r="F298" s="295" t="n"/>
      <c r="G298" s="282" t="n"/>
      <c r="H298" s="295" t="n"/>
      <c r="I298" s="295" t="n"/>
      <c r="J298" s="282" t="n"/>
      <c r="K298" s="345" t="n"/>
      <c r="L298" s="295" t="n"/>
      <c r="M298" s="346" t="n"/>
      <c r="N298" s="295" t="n"/>
      <c r="O298" s="285" t="n"/>
      <c r="P298" s="295" t="n"/>
      <c r="Q298" s="295" t="n"/>
      <c r="R298" s="282" t="n"/>
      <c r="S298" s="295" t="n"/>
      <c r="T298" s="295" t="n"/>
      <c r="U298" s="285" t="n"/>
      <c r="V298" s="295" t="n"/>
      <c r="W298" s="282" t="n"/>
      <c r="X298" s="295" t="n"/>
      <c r="Y298" s="295" t="n"/>
      <c r="Z298" s="295" t="n"/>
      <c r="AA298" s="295" t="n"/>
      <c r="AB298" s="285" t="n"/>
      <c r="AC298" s="295" t="n"/>
      <c r="AD298" s="295" t="n"/>
      <c r="AE298" s="286" t="n"/>
    </row>
    <row r="299">
      <c r="B299" s="287" t="n"/>
      <c r="C299" s="288" t="n"/>
      <c r="D299" s="295" t="n"/>
      <c r="E299" s="295" t="n"/>
      <c r="F299" s="295" t="n"/>
      <c r="G299" s="290" t="n"/>
      <c r="H299" s="295" t="n"/>
      <c r="I299" s="295" t="n"/>
      <c r="J299" s="290" t="n"/>
      <c r="K299" s="347" t="n"/>
      <c r="L299" s="295" t="n"/>
      <c r="M299" s="348" t="n"/>
      <c r="N299" s="295" t="n"/>
      <c r="O299" s="293" t="n"/>
      <c r="P299" s="295" t="n"/>
      <c r="Q299" s="295" t="n"/>
      <c r="R299" s="290" t="n"/>
      <c r="S299" s="295" t="n"/>
      <c r="T299" s="295" t="n"/>
      <c r="U299" s="293" t="n"/>
      <c r="V299" s="295" t="n"/>
      <c r="W299" s="290" t="n"/>
      <c r="X299" s="295" t="n"/>
      <c r="Y299" s="295" t="n"/>
      <c r="Z299" s="295" t="n"/>
      <c r="AA299" s="295" t="n"/>
      <c r="AB299" s="293" t="n"/>
      <c r="AC299" s="295" t="n"/>
      <c r="AD299" s="295" t="n"/>
      <c r="AE299" s="294" t="n"/>
    </row>
    <row r="300">
      <c r="B300" s="279" t="n"/>
      <c r="C300" s="280" t="n"/>
      <c r="D300" s="295" t="n"/>
      <c r="E300" s="295" t="n"/>
      <c r="F300" s="295" t="n"/>
      <c r="G300" s="282" t="n"/>
      <c r="H300" s="295" t="n"/>
      <c r="I300" s="295" t="n"/>
      <c r="J300" s="282" t="n"/>
      <c r="K300" s="345" t="n"/>
      <c r="L300" s="295" t="n"/>
      <c r="M300" s="346" t="n"/>
      <c r="N300" s="295" t="n"/>
      <c r="O300" s="285" t="n"/>
      <c r="P300" s="295" t="n"/>
      <c r="Q300" s="295" t="n"/>
      <c r="R300" s="282" t="n"/>
      <c r="S300" s="295" t="n"/>
      <c r="T300" s="295" t="n"/>
      <c r="U300" s="285" t="n"/>
      <c r="V300" s="295" t="n"/>
      <c r="W300" s="282" t="n"/>
      <c r="X300" s="295" t="n"/>
      <c r="Y300" s="295" t="n"/>
      <c r="Z300" s="295" t="n"/>
      <c r="AA300" s="295" t="n"/>
      <c r="AB300" s="285" t="n"/>
      <c r="AC300" s="295" t="n"/>
      <c r="AD300" s="295" t="n"/>
      <c r="AE300" s="286" t="n"/>
    </row>
    <row r="301">
      <c r="B301" s="287" t="n"/>
      <c r="C301" s="288" t="n"/>
      <c r="D301" s="295" t="n"/>
      <c r="E301" s="295" t="n"/>
      <c r="F301" s="295" t="n"/>
      <c r="G301" s="290" t="n"/>
      <c r="H301" s="295" t="n"/>
      <c r="I301" s="295" t="n"/>
      <c r="J301" s="290" t="n"/>
      <c r="K301" s="347" t="n"/>
      <c r="L301" s="295" t="n"/>
      <c r="M301" s="348" t="n"/>
      <c r="N301" s="295" t="n"/>
      <c r="O301" s="293" t="n"/>
      <c r="P301" s="295" t="n"/>
      <c r="Q301" s="295" t="n"/>
      <c r="R301" s="290" t="n"/>
      <c r="S301" s="295" t="n"/>
      <c r="T301" s="295" t="n"/>
      <c r="U301" s="293" t="n"/>
      <c r="V301" s="295" t="n"/>
      <c r="W301" s="290" t="n"/>
      <c r="X301" s="295" t="n"/>
      <c r="Y301" s="295" t="n"/>
      <c r="Z301" s="295" t="n"/>
      <c r="AA301" s="295" t="n"/>
      <c r="AB301" s="293" t="n"/>
      <c r="AC301" s="295" t="n"/>
      <c r="AD301" s="295" t="n"/>
      <c r="AE301" s="294" t="n"/>
    </row>
    <row r="302">
      <c r="B302" s="279" t="n"/>
      <c r="C302" s="280" t="n"/>
      <c r="D302" s="295" t="n"/>
      <c r="E302" s="295" t="n"/>
      <c r="F302" s="295" t="n"/>
      <c r="G302" s="282" t="n"/>
      <c r="H302" s="295" t="n"/>
      <c r="I302" s="295" t="n"/>
      <c r="J302" s="282" t="n"/>
      <c r="K302" s="345" t="n"/>
      <c r="L302" s="295" t="n"/>
      <c r="M302" s="346" t="n"/>
      <c r="N302" s="295" t="n"/>
      <c r="O302" s="285" t="n"/>
      <c r="P302" s="295" t="n"/>
      <c r="Q302" s="295" t="n"/>
      <c r="R302" s="282" t="n"/>
      <c r="S302" s="295" t="n"/>
      <c r="T302" s="295" t="n"/>
      <c r="U302" s="285" t="n"/>
      <c r="V302" s="295" t="n"/>
      <c r="W302" s="282" t="n"/>
      <c r="X302" s="295" t="n"/>
      <c r="Y302" s="295" t="n"/>
      <c r="Z302" s="295" t="n"/>
      <c r="AA302" s="295" t="n"/>
      <c r="AB302" s="285" t="n"/>
      <c r="AC302" s="295" t="n"/>
      <c r="AD302" s="295" t="n"/>
      <c r="AE302" s="286" t="n"/>
    </row>
    <row r="303">
      <c r="B303" s="287" t="n"/>
      <c r="C303" s="288" t="n"/>
      <c r="D303" s="295" t="n"/>
      <c r="E303" s="295" t="n"/>
      <c r="F303" s="295" t="n"/>
      <c r="G303" s="290" t="n"/>
      <c r="H303" s="295" t="n"/>
      <c r="I303" s="295" t="n"/>
      <c r="J303" s="290" t="n"/>
      <c r="K303" s="347" t="n"/>
      <c r="L303" s="295" t="n"/>
      <c r="M303" s="348" t="n"/>
      <c r="N303" s="295" t="n"/>
      <c r="O303" s="293" t="n"/>
      <c r="P303" s="295" t="n"/>
      <c r="Q303" s="295" t="n"/>
      <c r="R303" s="290" t="n"/>
      <c r="S303" s="295" t="n"/>
      <c r="T303" s="295" t="n"/>
      <c r="U303" s="293" t="n"/>
      <c r="V303" s="295" t="n"/>
      <c r="W303" s="290" t="n"/>
      <c r="X303" s="295" t="n"/>
      <c r="Y303" s="295" t="n"/>
      <c r="Z303" s="295" t="n"/>
      <c r="AA303" s="295" t="n"/>
      <c r="AB303" s="293" t="n"/>
      <c r="AC303" s="295" t="n"/>
      <c r="AD303" s="295" t="n"/>
      <c r="AE303" s="294" t="n"/>
    </row>
    <row r="304">
      <c r="B304" s="279" t="n"/>
      <c r="C304" s="280" t="n"/>
      <c r="D304" s="295" t="n"/>
      <c r="E304" s="295" t="n"/>
      <c r="F304" s="295" t="n"/>
      <c r="G304" s="282" t="n"/>
      <c r="H304" s="295" t="n"/>
      <c r="I304" s="295" t="n"/>
      <c r="J304" s="282" t="n"/>
      <c r="K304" s="345" t="n"/>
      <c r="L304" s="295" t="n"/>
      <c r="M304" s="346" t="n"/>
      <c r="N304" s="295" t="n"/>
      <c r="O304" s="285" t="n"/>
      <c r="P304" s="295" t="n"/>
      <c r="Q304" s="295" t="n"/>
      <c r="R304" s="282" t="n"/>
      <c r="S304" s="295" t="n"/>
      <c r="T304" s="295" t="n"/>
      <c r="U304" s="285" t="n"/>
      <c r="V304" s="295" t="n"/>
      <c r="W304" s="282" t="n"/>
      <c r="X304" s="295" t="n"/>
      <c r="Y304" s="295" t="n"/>
      <c r="Z304" s="295" t="n"/>
      <c r="AA304" s="295" t="n"/>
      <c r="AB304" s="285" t="n"/>
      <c r="AC304" s="295" t="n"/>
      <c r="AD304" s="295" t="n"/>
      <c r="AE304" s="286" t="n"/>
    </row>
    <row r="305">
      <c r="B305" s="287" t="n"/>
      <c r="C305" s="288" t="n"/>
      <c r="D305" s="295" t="n"/>
      <c r="E305" s="295" t="n"/>
      <c r="F305" s="295" t="n"/>
      <c r="G305" s="290" t="n"/>
      <c r="H305" s="295" t="n"/>
      <c r="I305" s="295" t="n"/>
      <c r="J305" s="290" t="n"/>
      <c r="K305" s="347" t="n"/>
      <c r="L305" s="295" t="n"/>
      <c r="M305" s="348" t="n"/>
      <c r="N305" s="295" t="n"/>
      <c r="O305" s="293" t="n"/>
      <c r="P305" s="295" t="n"/>
      <c r="Q305" s="295" t="n"/>
      <c r="R305" s="290" t="n"/>
      <c r="S305" s="295" t="n"/>
      <c r="T305" s="295" t="n"/>
      <c r="U305" s="293" t="n"/>
      <c r="V305" s="295" t="n"/>
      <c r="W305" s="290" t="n"/>
      <c r="X305" s="295" t="n"/>
      <c r="Y305" s="295" t="n"/>
      <c r="Z305" s="295" t="n"/>
      <c r="AA305" s="295" t="n"/>
      <c r="AB305" s="293" t="n"/>
      <c r="AC305" s="295" t="n"/>
      <c r="AD305" s="295" t="n"/>
      <c r="AE305" s="294" t="n"/>
    </row>
    <row r="306">
      <c r="B306" s="279" t="n"/>
      <c r="C306" s="280" t="n"/>
      <c r="D306" s="295" t="n"/>
      <c r="E306" s="295" t="n"/>
      <c r="F306" s="295" t="n"/>
      <c r="G306" s="282" t="n"/>
      <c r="H306" s="295" t="n"/>
      <c r="I306" s="295" t="n"/>
      <c r="J306" s="282" t="n"/>
      <c r="K306" s="345" t="n"/>
      <c r="L306" s="295" t="n"/>
      <c r="M306" s="346" t="n"/>
      <c r="N306" s="295" t="n"/>
      <c r="O306" s="285" t="n"/>
      <c r="P306" s="295" t="n"/>
      <c r="Q306" s="295" t="n"/>
      <c r="R306" s="282" t="n"/>
      <c r="S306" s="295" t="n"/>
      <c r="T306" s="295" t="n"/>
      <c r="U306" s="285" t="n"/>
      <c r="V306" s="295" t="n"/>
      <c r="W306" s="282" t="n"/>
      <c r="X306" s="295" t="n"/>
      <c r="Y306" s="295" t="n"/>
      <c r="Z306" s="295" t="n"/>
      <c r="AA306" s="295" t="n"/>
      <c r="AB306" s="285" t="n"/>
      <c r="AC306" s="295" t="n"/>
      <c r="AD306" s="295" t="n"/>
      <c r="AE306" s="286" t="n"/>
    </row>
    <row r="307">
      <c r="B307" s="287" t="n"/>
      <c r="C307" s="288" t="n"/>
      <c r="D307" s="295" t="n"/>
      <c r="E307" s="295" t="n"/>
      <c r="F307" s="295" t="n"/>
      <c r="G307" s="290" t="n"/>
      <c r="H307" s="295" t="n"/>
      <c r="I307" s="295" t="n"/>
      <c r="J307" s="290" t="n"/>
      <c r="K307" s="347" t="n"/>
      <c r="L307" s="295" t="n"/>
      <c r="M307" s="348" t="n"/>
      <c r="N307" s="295" t="n"/>
      <c r="O307" s="293" t="n"/>
      <c r="P307" s="295" t="n"/>
      <c r="Q307" s="295" t="n"/>
      <c r="R307" s="290" t="n"/>
      <c r="S307" s="295" t="n"/>
      <c r="T307" s="295" t="n"/>
      <c r="U307" s="293" t="n"/>
      <c r="V307" s="295" t="n"/>
      <c r="W307" s="290" t="n"/>
      <c r="X307" s="295" t="n"/>
      <c r="Y307" s="295" t="n"/>
      <c r="Z307" s="295" t="n"/>
      <c r="AA307" s="295" t="n"/>
      <c r="AB307" s="293" t="n"/>
      <c r="AC307" s="295" t="n"/>
      <c r="AD307" s="295" t="n"/>
      <c r="AE307" s="294" t="n"/>
    </row>
    <row r="308">
      <c r="B308" s="279" t="n"/>
      <c r="C308" s="280" t="n"/>
      <c r="D308" s="295" t="n"/>
      <c r="E308" s="295" t="n"/>
      <c r="F308" s="295" t="n"/>
      <c r="G308" s="282" t="n"/>
      <c r="H308" s="295" t="n"/>
      <c r="I308" s="295" t="n"/>
      <c r="J308" s="282" t="n"/>
      <c r="K308" s="345" t="n"/>
      <c r="L308" s="295" t="n"/>
      <c r="M308" s="346" t="n"/>
      <c r="N308" s="295" t="n"/>
      <c r="O308" s="285" t="n"/>
      <c r="P308" s="295" t="n"/>
      <c r="Q308" s="295" t="n"/>
      <c r="R308" s="282" t="n"/>
      <c r="S308" s="295" t="n"/>
      <c r="T308" s="295" t="n"/>
      <c r="U308" s="285" t="n"/>
      <c r="V308" s="295" t="n"/>
      <c r="W308" s="282" t="n"/>
      <c r="X308" s="295" t="n"/>
      <c r="Y308" s="295" t="n"/>
      <c r="Z308" s="295" t="n"/>
      <c r="AA308" s="295" t="n"/>
      <c r="AB308" s="285" t="n"/>
      <c r="AC308" s="295" t="n"/>
      <c r="AD308" s="295" t="n"/>
      <c r="AE308" s="286" t="n"/>
    </row>
    <row r="309">
      <c r="B309" s="287" t="n"/>
      <c r="C309" s="288" t="n"/>
      <c r="D309" s="295" t="n"/>
      <c r="E309" s="295" t="n"/>
      <c r="F309" s="295" t="n"/>
      <c r="G309" s="290" t="n"/>
      <c r="H309" s="295" t="n"/>
      <c r="I309" s="295" t="n"/>
      <c r="J309" s="290" t="n"/>
      <c r="K309" s="347" t="n"/>
      <c r="L309" s="295" t="n"/>
      <c r="M309" s="348" t="n"/>
      <c r="N309" s="295" t="n"/>
      <c r="O309" s="293" t="n"/>
      <c r="P309" s="295" t="n"/>
      <c r="Q309" s="295" t="n"/>
      <c r="R309" s="290" t="n"/>
      <c r="S309" s="295" t="n"/>
      <c r="T309" s="295" t="n"/>
      <c r="U309" s="293" t="n"/>
      <c r="V309" s="295" t="n"/>
      <c r="W309" s="290" t="n"/>
      <c r="X309" s="295" t="n"/>
      <c r="Y309" s="295" t="n"/>
      <c r="Z309" s="295" t="n"/>
      <c r="AA309" s="295" t="n"/>
      <c r="AB309" s="293" t="n"/>
      <c r="AC309" s="295" t="n"/>
      <c r="AD309" s="295" t="n"/>
      <c r="AE309" s="294" t="n"/>
    </row>
    <row r="310">
      <c r="B310" s="279" t="n"/>
      <c r="C310" s="280" t="n"/>
      <c r="D310" s="295" t="n"/>
      <c r="E310" s="295" t="n"/>
      <c r="F310" s="295" t="n"/>
      <c r="G310" s="282" t="n"/>
      <c r="H310" s="295" t="n"/>
      <c r="I310" s="295" t="n"/>
      <c r="J310" s="282" t="n"/>
      <c r="K310" s="345" t="n"/>
      <c r="L310" s="295" t="n"/>
      <c r="M310" s="346" t="n"/>
      <c r="N310" s="295" t="n"/>
      <c r="O310" s="285" t="n"/>
      <c r="P310" s="295" t="n"/>
      <c r="Q310" s="295" t="n"/>
      <c r="R310" s="282" t="n"/>
      <c r="S310" s="295" t="n"/>
      <c r="T310" s="295" t="n"/>
      <c r="U310" s="285" t="n"/>
      <c r="V310" s="295" t="n"/>
      <c r="W310" s="282" t="n"/>
      <c r="X310" s="295" t="n"/>
      <c r="Y310" s="295" t="n"/>
      <c r="Z310" s="295" t="n"/>
      <c r="AA310" s="295" t="n"/>
      <c r="AB310" s="285" t="n"/>
      <c r="AC310" s="295" t="n"/>
      <c r="AD310" s="295" t="n"/>
      <c r="AE310" s="286" t="n"/>
    </row>
    <row r="311">
      <c r="B311" s="287" t="n"/>
      <c r="C311" s="288" t="n"/>
      <c r="D311" s="295" t="n"/>
      <c r="E311" s="295" t="n"/>
      <c r="F311" s="295" t="n"/>
      <c r="G311" s="290" t="n"/>
      <c r="H311" s="295" t="n"/>
      <c r="I311" s="295" t="n"/>
      <c r="J311" s="290" t="n"/>
      <c r="K311" s="347" t="n"/>
      <c r="L311" s="295" t="n"/>
      <c r="M311" s="348" t="n"/>
      <c r="N311" s="295" t="n"/>
      <c r="O311" s="293" t="n"/>
      <c r="P311" s="295" t="n"/>
      <c r="Q311" s="295" t="n"/>
      <c r="R311" s="290" t="n"/>
      <c r="S311" s="295" t="n"/>
      <c r="T311" s="295" t="n"/>
      <c r="U311" s="293" t="n"/>
      <c r="V311" s="295" t="n"/>
      <c r="W311" s="290" t="n"/>
      <c r="X311" s="295" t="n"/>
      <c r="Y311" s="295" t="n"/>
      <c r="Z311" s="295" t="n"/>
      <c r="AA311" s="295" t="n"/>
      <c r="AB311" s="293" t="n"/>
      <c r="AC311" s="295" t="n"/>
      <c r="AD311" s="295" t="n"/>
      <c r="AE311" s="294" t="n"/>
    </row>
    <row r="312">
      <c r="B312" s="279" t="n"/>
      <c r="C312" s="280" t="n"/>
      <c r="D312" s="295" t="n"/>
      <c r="E312" s="295" t="n"/>
      <c r="F312" s="295" t="n"/>
      <c r="G312" s="282" t="n"/>
      <c r="H312" s="295" t="n"/>
      <c r="I312" s="295" t="n"/>
      <c r="J312" s="282" t="n"/>
      <c r="K312" s="345" t="n"/>
      <c r="L312" s="295" t="n"/>
      <c r="M312" s="346" t="n"/>
      <c r="N312" s="295" t="n"/>
      <c r="O312" s="285" t="n"/>
      <c r="P312" s="295" t="n"/>
      <c r="Q312" s="295" t="n"/>
      <c r="R312" s="282" t="n"/>
      <c r="S312" s="295" t="n"/>
      <c r="T312" s="295" t="n"/>
      <c r="U312" s="285" t="n"/>
      <c r="V312" s="295" t="n"/>
      <c r="W312" s="282" t="n"/>
      <c r="X312" s="295" t="n"/>
      <c r="Y312" s="295" t="n"/>
      <c r="Z312" s="295" t="n"/>
      <c r="AA312" s="295" t="n"/>
      <c r="AB312" s="285" t="n"/>
      <c r="AC312" s="295" t="n"/>
      <c r="AD312" s="295" t="n"/>
      <c r="AE312" s="286" t="n"/>
    </row>
    <row r="313">
      <c r="B313" s="287" t="n"/>
      <c r="C313" s="288" t="n"/>
      <c r="D313" s="295" t="n"/>
      <c r="E313" s="295" t="n"/>
      <c r="F313" s="295" t="n"/>
      <c r="G313" s="290" t="n"/>
      <c r="H313" s="295" t="n"/>
      <c r="I313" s="295" t="n"/>
      <c r="J313" s="290" t="n"/>
      <c r="K313" s="347" t="n"/>
      <c r="L313" s="295" t="n"/>
      <c r="M313" s="348" t="n"/>
      <c r="N313" s="295" t="n"/>
      <c r="O313" s="293" t="n"/>
      <c r="P313" s="295" t="n"/>
      <c r="Q313" s="295" t="n"/>
      <c r="R313" s="290" t="n"/>
      <c r="S313" s="295" t="n"/>
      <c r="T313" s="295" t="n"/>
      <c r="U313" s="293" t="n"/>
      <c r="V313" s="295" t="n"/>
      <c r="W313" s="290" t="n"/>
      <c r="X313" s="295" t="n"/>
      <c r="Y313" s="295" t="n"/>
      <c r="Z313" s="295" t="n"/>
      <c r="AA313" s="295" t="n"/>
      <c r="AB313" s="293" t="n"/>
      <c r="AC313" s="295" t="n"/>
      <c r="AD313" s="295" t="n"/>
      <c r="AE313" s="294" t="n"/>
    </row>
    <row r="314">
      <c r="B314" s="279" t="n"/>
      <c r="C314" s="280" t="n"/>
      <c r="D314" s="295" t="n"/>
      <c r="E314" s="295" t="n"/>
      <c r="F314" s="295" t="n"/>
      <c r="G314" s="282" t="n"/>
      <c r="H314" s="295" t="n"/>
      <c r="I314" s="295" t="n"/>
      <c r="J314" s="282" t="n"/>
      <c r="K314" s="345" t="n"/>
      <c r="L314" s="295" t="n"/>
      <c r="M314" s="346" t="n"/>
      <c r="N314" s="295" t="n"/>
      <c r="O314" s="285" t="n"/>
      <c r="P314" s="295" t="n"/>
      <c r="Q314" s="295" t="n"/>
      <c r="R314" s="282" t="n"/>
      <c r="S314" s="295" t="n"/>
      <c r="T314" s="295" t="n"/>
      <c r="U314" s="285" t="n"/>
      <c r="V314" s="295" t="n"/>
      <c r="W314" s="282" t="n"/>
      <c r="X314" s="295" t="n"/>
      <c r="Y314" s="295" t="n"/>
      <c r="Z314" s="295" t="n"/>
      <c r="AA314" s="295" t="n"/>
      <c r="AB314" s="285" t="n"/>
      <c r="AC314" s="295" t="n"/>
      <c r="AD314" s="295" t="n"/>
      <c r="AE314" s="286" t="n"/>
    </row>
    <row r="315">
      <c r="B315" s="287" t="n"/>
      <c r="C315" s="288" t="n"/>
      <c r="D315" s="295" t="n"/>
      <c r="E315" s="295" t="n"/>
      <c r="F315" s="295" t="n"/>
      <c r="G315" s="290" t="n"/>
      <c r="H315" s="295" t="n"/>
      <c r="I315" s="295" t="n"/>
      <c r="J315" s="290" t="n"/>
      <c r="K315" s="347" t="n"/>
      <c r="L315" s="295" t="n"/>
      <c r="M315" s="348" t="n"/>
      <c r="N315" s="295" t="n"/>
      <c r="O315" s="293" t="n"/>
      <c r="P315" s="295" t="n"/>
      <c r="Q315" s="295" t="n"/>
      <c r="R315" s="290" t="n"/>
      <c r="S315" s="295" t="n"/>
      <c r="T315" s="295" t="n"/>
      <c r="U315" s="293" t="n"/>
      <c r="V315" s="295" t="n"/>
      <c r="W315" s="290" t="n"/>
      <c r="X315" s="295" t="n"/>
      <c r="Y315" s="295" t="n"/>
      <c r="Z315" s="295" t="n"/>
      <c r="AA315" s="295" t="n"/>
      <c r="AB315" s="293" t="n"/>
      <c r="AC315" s="295" t="n"/>
      <c r="AD315" s="295" t="n"/>
      <c r="AE315" s="294" t="n"/>
    </row>
    <row r="316">
      <c r="B316" s="279" t="n"/>
      <c r="C316" s="280" t="n"/>
      <c r="D316" s="295" t="n"/>
      <c r="E316" s="295" t="n"/>
      <c r="F316" s="295" t="n"/>
      <c r="G316" s="282" t="n"/>
      <c r="H316" s="295" t="n"/>
      <c r="I316" s="295" t="n"/>
      <c r="J316" s="282" t="n"/>
      <c r="K316" s="345" t="n"/>
      <c r="L316" s="295" t="n"/>
      <c r="M316" s="346" t="n"/>
      <c r="N316" s="295" t="n"/>
      <c r="O316" s="285" t="n"/>
      <c r="P316" s="295" t="n"/>
      <c r="Q316" s="295" t="n"/>
      <c r="R316" s="282" t="n"/>
      <c r="S316" s="295" t="n"/>
      <c r="T316" s="295" t="n"/>
      <c r="U316" s="285" t="n"/>
      <c r="V316" s="295" t="n"/>
      <c r="W316" s="282" t="n"/>
      <c r="X316" s="295" t="n"/>
      <c r="Y316" s="295" t="n"/>
      <c r="Z316" s="295" t="n"/>
      <c r="AA316" s="295" t="n"/>
      <c r="AB316" s="285" t="n"/>
      <c r="AC316" s="295" t="n"/>
      <c r="AD316" s="295" t="n"/>
      <c r="AE316" s="286" t="n"/>
    </row>
    <row r="317">
      <c r="B317" s="287" t="n"/>
      <c r="C317" s="288" t="n"/>
      <c r="D317" s="295" t="n"/>
      <c r="E317" s="295" t="n"/>
      <c r="F317" s="295" t="n"/>
      <c r="G317" s="290" t="n"/>
      <c r="H317" s="295" t="n"/>
      <c r="I317" s="295" t="n"/>
      <c r="J317" s="290" t="n"/>
      <c r="K317" s="347" t="n"/>
      <c r="L317" s="295" t="n"/>
      <c r="M317" s="348" t="n"/>
      <c r="N317" s="295" t="n"/>
      <c r="O317" s="293" t="n"/>
      <c r="P317" s="295" t="n"/>
      <c r="Q317" s="295" t="n"/>
      <c r="R317" s="290" t="n"/>
      <c r="S317" s="295" t="n"/>
      <c r="T317" s="295" t="n"/>
      <c r="U317" s="293" t="n"/>
      <c r="V317" s="295" t="n"/>
      <c r="W317" s="290" t="n"/>
      <c r="X317" s="295" t="n"/>
      <c r="Y317" s="295" t="n"/>
      <c r="Z317" s="295" t="n"/>
      <c r="AA317" s="295" t="n"/>
      <c r="AB317" s="293" t="n"/>
      <c r="AC317" s="295" t="n"/>
      <c r="AD317" s="295" t="n"/>
      <c r="AE317" s="294" t="n"/>
    </row>
    <row r="318">
      <c r="B318" s="279" t="n"/>
      <c r="C318" s="280" t="n"/>
      <c r="D318" s="295" t="n"/>
      <c r="E318" s="295" t="n"/>
      <c r="F318" s="295" t="n"/>
      <c r="G318" s="282" t="n"/>
      <c r="H318" s="295" t="n"/>
      <c r="I318" s="295" t="n"/>
      <c r="J318" s="282" t="n"/>
      <c r="K318" s="345" t="n"/>
      <c r="L318" s="295" t="n"/>
      <c r="M318" s="346" t="n"/>
      <c r="N318" s="295" t="n"/>
      <c r="O318" s="285" t="n"/>
      <c r="P318" s="295" t="n"/>
      <c r="Q318" s="295" t="n"/>
      <c r="R318" s="282" t="n"/>
      <c r="S318" s="295" t="n"/>
      <c r="T318" s="295" t="n"/>
      <c r="U318" s="285" t="n"/>
      <c r="V318" s="295" t="n"/>
      <c r="W318" s="282" t="n"/>
      <c r="X318" s="295" t="n"/>
      <c r="Y318" s="295" t="n"/>
      <c r="Z318" s="295" t="n"/>
      <c r="AA318" s="295" t="n"/>
      <c r="AB318" s="285" t="n"/>
      <c r="AC318" s="295" t="n"/>
      <c r="AD318" s="295" t="n"/>
      <c r="AE318" s="286" t="n"/>
    </row>
    <row r="319">
      <c r="B319" s="287" t="n"/>
      <c r="C319" s="288" t="n"/>
      <c r="D319" s="295" t="n"/>
      <c r="E319" s="295" t="n"/>
      <c r="F319" s="295" t="n"/>
      <c r="G319" s="290" t="n"/>
      <c r="H319" s="295" t="n"/>
      <c r="I319" s="295" t="n"/>
      <c r="J319" s="290" t="n"/>
      <c r="K319" s="347" t="n"/>
      <c r="L319" s="295" t="n"/>
      <c r="M319" s="348" t="n"/>
      <c r="N319" s="295" t="n"/>
      <c r="O319" s="293" t="n"/>
      <c r="P319" s="295" t="n"/>
      <c r="Q319" s="295" t="n"/>
      <c r="R319" s="290" t="n"/>
      <c r="S319" s="295" t="n"/>
      <c r="T319" s="295" t="n"/>
      <c r="U319" s="293" t="n"/>
      <c r="V319" s="295" t="n"/>
      <c r="W319" s="290" t="n"/>
      <c r="X319" s="295" t="n"/>
      <c r="Y319" s="295" t="n"/>
      <c r="Z319" s="295" t="n"/>
      <c r="AA319" s="295" t="n"/>
      <c r="AB319" s="293" t="n"/>
      <c r="AC319" s="295" t="n"/>
      <c r="AD319" s="295" t="n"/>
      <c r="AE319" s="294" t="n"/>
    </row>
    <row r="320">
      <c r="B320" s="279" t="n"/>
      <c r="C320" s="280" t="n"/>
      <c r="D320" s="295" t="n"/>
      <c r="E320" s="295" t="n"/>
      <c r="F320" s="295" t="n"/>
      <c r="G320" s="282" t="n"/>
      <c r="H320" s="295" t="n"/>
      <c r="I320" s="295" t="n"/>
      <c r="J320" s="282" t="n"/>
      <c r="K320" s="345" t="n"/>
      <c r="L320" s="295" t="n"/>
      <c r="M320" s="346" t="n"/>
      <c r="N320" s="295" t="n"/>
      <c r="O320" s="285" t="n"/>
      <c r="P320" s="295" t="n"/>
      <c r="Q320" s="295" t="n"/>
      <c r="R320" s="282" t="n"/>
      <c r="S320" s="295" t="n"/>
      <c r="T320" s="295" t="n"/>
      <c r="U320" s="285" t="n"/>
      <c r="V320" s="295" t="n"/>
      <c r="W320" s="282" t="n"/>
      <c r="X320" s="295" t="n"/>
      <c r="Y320" s="295" t="n"/>
      <c r="Z320" s="295" t="n"/>
      <c r="AA320" s="295" t="n"/>
      <c r="AB320" s="285" t="n"/>
      <c r="AC320" s="295" t="n"/>
      <c r="AD320" s="295" t="n"/>
      <c r="AE320" s="286" t="n"/>
    </row>
    <row r="321">
      <c r="B321" s="287" t="n"/>
      <c r="C321" s="288" t="n"/>
      <c r="D321" s="295" t="n"/>
      <c r="E321" s="295" t="n"/>
      <c r="F321" s="295" t="n"/>
      <c r="G321" s="290" t="n"/>
      <c r="H321" s="295" t="n"/>
      <c r="I321" s="295" t="n"/>
      <c r="J321" s="290" t="n"/>
      <c r="K321" s="347" t="n"/>
      <c r="L321" s="295" t="n"/>
      <c r="M321" s="348" t="n"/>
      <c r="N321" s="295" t="n"/>
      <c r="O321" s="293" t="n"/>
      <c r="P321" s="295" t="n"/>
      <c r="Q321" s="295" t="n"/>
      <c r="R321" s="290" t="n"/>
      <c r="S321" s="295" t="n"/>
      <c r="T321" s="295" t="n"/>
      <c r="U321" s="293" t="n"/>
      <c r="V321" s="295" t="n"/>
      <c r="W321" s="290" t="n"/>
      <c r="X321" s="295" t="n"/>
      <c r="Y321" s="295" t="n"/>
      <c r="Z321" s="295" t="n"/>
      <c r="AA321" s="295" t="n"/>
      <c r="AB321" s="293" t="n"/>
      <c r="AC321" s="295" t="n"/>
      <c r="AD321" s="295" t="n"/>
      <c r="AE321" s="294" t="n"/>
    </row>
    <row r="322">
      <c r="B322" s="279" t="n"/>
      <c r="C322" s="280" t="n"/>
      <c r="D322" s="295" t="n"/>
      <c r="E322" s="295" t="n"/>
      <c r="F322" s="295" t="n"/>
      <c r="G322" s="282" t="n"/>
      <c r="H322" s="295" t="n"/>
      <c r="I322" s="295" t="n"/>
      <c r="J322" s="282" t="n"/>
      <c r="K322" s="345" t="n"/>
      <c r="L322" s="295" t="n"/>
      <c r="M322" s="346" t="n"/>
      <c r="N322" s="295" t="n"/>
      <c r="O322" s="285" t="n"/>
      <c r="P322" s="295" t="n"/>
      <c r="Q322" s="295" t="n"/>
      <c r="R322" s="282" t="n"/>
      <c r="S322" s="295" t="n"/>
      <c r="T322" s="295" t="n"/>
      <c r="U322" s="285" t="n"/>
      <c r="V322" s="295" t="n"/>
      <c r="W322" s="282" t="n"/>
      <c r="X322" s="295" t="n"/>
      <c r="Y322" s="295" t="n"/>
      <c r="Z322" s="295" t="n"/>
      <c r="AA322" s="295" t="n"/>
      <c r="AB322" s="285" t="n"/>
      <c r="AC322" s="295" t="n"/>
      <c r="AD322" s="295" t="n"/>
      <c r="AE322" s="286" t="n"/>
    </row>
    <row r="323">
      <c r="B323" s="287" t="n"/>
      <c r="C323" s="288" t="n"/>
      <c r="D323" s="295" t="n"/>
      <c r="E323" s="295" t="n"/>
      <c r="F323" s="295" t="n"/>
      <c r="G323" s="290" t="n"/>
      <c r="H323" s="295" t="n"/>
      <c r="I323" s="295" t="n"/>
      <c r="J323" s="290" t="n"/>
      <c r="K323" s="347" t="n"/>
      <c r="L323" s="295" t="n"/>
      <c r="M323" s="348" t="n"/>
      <c r="N323" s="295" t="n"/>
      <c r="O323" s="293" t="n"/>
      <c r="P323" s="295" t="n"/>
      <c r="Q323" s="295" t="n"/>
      <c r="R323" s="290" t="n"/>
      <c r="S323" s="295" t="n"/>
      <c r="T323" s="295" t="n"/>
      <c r="U323" s="293" t="n"/>
      <c r="V323" s="295" t="n"/>
      <c r="W323" s="290" t="n"/>
      <c r="X323" s="295" t="n"/>
      <c r="Y323" s="295" t="n"/>
      <c r="Z323" s="295" t="n"/>
      <c r="AA323" s="295" t="n"/>
      <c r="AB323" s="293" t="n"/>
      <c r="AC323" s="295" t="n"/>
      <c r="AD323" s="295" t="n"/>
      <c r="AE323" s="294" t="n"/>
    </row>
    <row r="324">
      <c r="B324" s="279" t="n"/>
      <c r="C324" s="280" t="n"/>
      <c r="D324" s="295" t="n"/>
      <c r="E324" s="295" t="n"/>
      <c r="F324" s="295" t="n"/>
      <c r="G324" s="282" t="n"/>
      <c r="H324" s="295" t="n"/>
      <c r="I324" s="295" t="n"/>
      <c r="J324" s="282" t="n"/>
      <c r="K324" s="345" t="n"/>
      <c r="L324" s="295" t="n"/>
      <c r="M324" s="346" t="n"/>
      <c r="N324" s="295" t="n"/>
      <c r="O324" s="285" t="n"/>
      <c r="P324" s="295" t="n"/>
      <c r="Q324" s="295" t="n"/>
      <c r="R324" s="282" t="n"/>
      <c r="S324" s="295" t="n"/>
      <c r="T324" s="295" t="n"/>
      <c r="U324" s="285" t="n"/>
      <c r="V324" s="295" t="n"/>
      <c r="W324" s="282" t="n"/>
      <c r="X324" s="295" t="n"/>
      <c r="Y324" s="295" t="n"/>
      <c r="Z324" s="295" t="n"/>
      <c r="AA324" s="295" t="n"/>
      <c r="AB324" s="285" t="n"/>
      <c r="AC324" s="295" t="n"/>
      <c r="AD324" s="295" t="n"/>
      <c r="AE324" s="286" t="n"/>
    </row>
    <row r="325">
      <c r="B325" s="287" t="n"/>
      <c r="C325" s="288" t="n"/>
      <c r="D325" s="295" t="n"/>
      <c r="E325" s="295" t="n"/>
      <c r="F325" s="295" t="n"/>
      <c r="G325" s="290" t="n"/>
      <c r="H325" s="295" t="n"/>
      <c r="I325" s="295" t="n"/>
      <c r="J325" s="290" t="n"/>
      <c r="K325" s="347" t="n"/>
      <c r="L325" s="295" t="n"/>
      <c r="M325" s="348" t="n"/>
      <c r="N325" s="295" t="n"/>
      <c r="O325" s="293" t="n"/>
      <c r="P325" s="295" t="n"/>
      <c r="Q325" s="295" t="n"/>
      <c r="R325" s="290" t="n"/>
      <c r="S325" s="295" t="n"/>
      <c r="T325" s="295" t="n"/>
      <c r="U325" s="293" t="n"/>
      <c r="V325" s="295" t="n"/>
      <c r="W325" s="290" t="n"/>
      <c r="X325" s="295" t="n"/>
      <c r="Y325" s="295" t="n"/>
      <c r="Z325" s="295" t="n"/>
      <c r="AA325" s="295" t="n"/>
      <c r="AB325" s="293" t="n"/>
      <c r="AC325" s="295" t="n"/>
      <c r="AD325" s="295" t="n"/>
      <c r="AE325" s="294" t="n"/>
    </row>
    <row r="326">
      <c r="B326" s="279" t="n"/>
      <c r="C326" s="280" t="n"/>
      <c r="D326" s="295" t="n"/>
      <c r="E326" s="295" t="n"/>
      <c r="F326" s="295" t="n"/>
      <c r="G326" s="282" t="n"/>
      <c r="H326" s="295" t="n"/>
      <c r="I326" s="295" t="n"/>
      <c r="J326" s="282" t="n"/>
      <c r="K326" s="345" t="n"/>
      <c r="L326" s="295" t="n"/>
      <c r="M326" s="346" t="n"/>
      <c r="N326" s="295" t="n"/>
      <c r="O326" s="285" t="n"/>
      <c r="P326" s="295" t="n"/>
      <c r="Q326" s="295" t="n"/>
      <c r="R326" s="282" t="n"/>
      <c r="S326" s="295" t="n"/>
      <c r="T326" s="295" t="n"/>
      <c r="U326" s="285" t="n"/>
      <c r="V326" s="295" t="n"/>
      <c r="W326" s="282" t="n"/>
      <c r="X326" s="295" t="n"/>
      <c r="Y326" s="295" t="n"/>
      <c r="Z326" s="295" t="n"/>
      <c r="AA326" s="295" t="n"/>
      <c r="AB326" s="285" t="n"/>
      <c r="AC326" s="295" t="n"/>
      <c r="AD326" s="295" t="n"/>
      <c r="AE326" s="286" t="n"/>
    </row>
    <row r="327">
      <c r="B327" s="287" t="n"/>
      <c r="C327" s="288" t="n"/>
      <c r="D327" s="295" t="n"/>
      <c r="E327" s="295" t="n"/>
      <c r="F327" s="295" t="n"/>
      <c r="G327" s="290" t="n"/>
      <c r="H327" s="295" t="n"/>
      <c r="I327" s="295" t="n"/>
      <c r="J327" s="290" t="n"/>
      <c r="K327" s="347" t="n"/>
      <c r="L327" s="295" t="n"/>
      <c r="M327" s="348" t="n"/>
      <c r="N327" s="295" t="n"/>
      <c r="O327" s="293" t="n"/>
      <c r="P327" s="295" t="n"/>
      <c r="Q327" s="295" t="n"/>
      <c r="R327" s="290" t="n"/>
      <c r="S327" s="295" t="n"/>
      <c r="T327" s="295" t="n"/>
      <c r="U327" s="293" t="n"/>
      <c r="V327" s="295" t="n"/>
      <c r="W327" s="290" t="n"/>
      <c r="X327" s="295" t="n"/>
      <c r="Y327" s="295" t="n"/>
      <c r="Z327" s="295" t="n"/>
      <c r="AA327" s="295" t="n"/>
      <c r="AB327" s="293" t="n"/>
      <c r="AC327" s="295" t="n"/>
      <c r="AD327" s="295" t="n"/>
      <c r="AE327" s="294" t="n"/>
    </row>
    <row r="328">
      <c r="B328" s="279" t="n"/>
      <c r="C328" s="280" t="n"/>
      <c r="D328" s="295" t="n"/>
      <c r="E328" s="295" t="n"/>
      <c r="F328" s="295" t="n"/>
      <c r="G328" s="282" t="n"/>
      <c r="H328" s="295" t="n"/>
      <c r="I328" s="295" t="n"/>
      <c r="J328" s="282" t="n"/>
      <c r="K328" s="345" t="n"/>
      <c r="L328" s="295" t="n"/>
      <c r="M328" s="346" t="n"/>
      <c r="N328" s="295" t="n"/>
      <c r="O328" s="285" t="n"/>
      <c r="P328" s="295" t="n"/>
      <c r="Q328" s="295" t="n"/>
      <c r="R328" s="282" t="n"/>
      <c r="S328" s="295" t="n"/>
      <c r="T328" s="295" t="n"/>
      <c r="U328" s="285" t="n"/>
      <c r="V328" s="295" t="n"/>
      <c r="W328" s="282" t="n"/>
      <c r="X328" s="295" t="n"/>
      <c r="Y328" s="295" t="n"/>
      <c r="Z328" s="295" t="n"/>
      <c r="AA328" s="295" t="n"/>
      <c r="AB328" s="285" t="n"/>
      <c r="AC328" s="295" t="n"/>
      <c r="AD328" s="295" t="n"/>
      <c r="AE328" s="286" t="n"/>
    </row>
    <row r="329">
      <c r="B329" s="287" t="n"/>
      <c r="C329" s="288" t="n"/>
      <c r="D329" s="295" t="n"/>
      <c r="E329" s="295" t="n"/>
      <c r="F329" s="295" t="n"/>
      <c r="G329" s="290" t="n"/>
      <c r="H329" s="295" t="n"/>
      <c r="I329" s="295" t="n"/>
      <c r="J329" s="290" t="n"/>
      <c r="K329" s="347" t="n"/>
      <c r="L329" s="295" t="n"/>
      <c r="M329" s="348" t="n"/>
      <c r="N329" s="295" t="n"/>
      <c r="O329" s="293" t="n"/>
      <c r="P329" s="295" t="n"/>
      <c r="Q329" s="295" t="n"/>
      <c r="R329" s="290" t="n"/>
      <c r="S329" s="295" t="n"/>
      <c r="T329" s="295" t="n"/>
      <c r="U329" s="293" t="n"/>
      <c r="V329" s="295" t="n"/>
      <c r="W329" s="290" t="n"/>
      <c r="X329" s="295" t="n"/>
      <c r="Y329" s="295" t="n"/>
      <c r="Z329" s="295" t="n"/>
      <c r="AA329" s="295" t="n"/>
      <c r="AB329" s="293" t="n"/>
      <c r="AC329" s="295" t="n"/>
      <c r="AD329" s="295" t="n"/>
      <c r="AE329" s="294" t="n"/>
    </row>
    <row r="330">
      <c r="B330" s="279" t="n"/>
      <c r="C330" s="280" t="n"/>
      <c r="D330" s="295" t="n"/>
      <c r="E330" s="295" t="n"/>
      <c r="F330" s="295" t="n"/>
      <c r="G330" s="282" t="n"/>
      <c r="H330" s="295" t="n"/>
      <c r="I330" s="295" t="n"/>
      <c r="J330" s="282" t="n"/>
      <c r="K330" s="345" t="n"/>
      <c r="L330" s="295" t="n"/>
      <c r="M330" s="346" t="n"/>
      <c r="N330" s="295" t="n"/>
      <c r="O330" s="285" t="n"/>
      <c r="P330" s="295" t="n"/>
      <c r="Q330" s="295" t="n"/>
      <c r="R330" s="282" t="n"/>
      <c r="S330" s="295" t="n"/>
      <c r="T330" s="295" t="n"/>
      <c r="U330" s="285" t="n"/>
      <c r="V330" s="295" t="n"/>
      <c r="W330" s="282" t="n"/>
      <c r="X330" s="295" t="n"/>
      <c r="Y330" s="295" t="n"/>
      <c r="Z330" s="295" t="n"/>
      <c r="AA330" s="295" t="n"/>
      <c r="AB330" s="285" t="n"/>
      <c r="AC330" s="295" t="n"/>
      <c r="AD330" s="295" t="n"/>
      <c r="AE330" s="286" t="n"/>
    </row>
    <row r="331">
      <c r="B331" s="287" t="n"/>
      <c r="C331" s="288" t="n"/>
      <c r="D331" s="295" t="n"/>
      <c r="E331" s="295" t="n"/>
      <c r="F331" s="295" t="n"/>
      <c r="G331" s="290" t="n"/>
      <c r="H331" s="295" t="n"/>
      <c r="I331" s="295" t="n"/>
      <c r="J331" s="290" t="n"/>
      <c r="K331" s="347" t="n"/>
      <c r="L331" s="295" t="n"/>
      <c r="M331" s="348" t="n"/>
      <c r="N331" s="295" t="n"/>
      <c r="O331" s="293" t="n"/>
      <c r="P331" s="295" t="n"/>
      <c r="Q331" s="295" t="n"/>
      <c r="R331" s="290" t="n"/>
      <c r="S331" s="295" t="n"/>
      <c r="T331" s="295" t="n"/>
      <c r="U331" s="293" t="n"/>
      <c r="V331" s="295" t="n"/>
      <c r="W331" s="290" t="n"/>
      <c r="X331" s="295" t="n"/>
      <c r="Y331" s="295" t="n"/>
      <c r="Z331" s="295" t="n"/>
      <c r="AA331" s="295" t="n"/>
      <c r="AB331" s="293" t="n"/>
      <c r="AC331" s="295" t="n"/>
      <c r="AD331" s="295" t="n"/>
      <c r="AE331" s="294" t="n"/>
    </row>
    <row r="332">
      <c r="B332" s="279" t="n"/>
      <c r="C332" s="280" t="n"/>
      <c r="D332" s="295" t="n"/>
      <c r="E332" s="295" t="n"/>
      <c r="F332" s="295" t="n"/>
      <c r="G332" s="282" t="n"/>
      <c r="H332" s="295" t="n"/>
      <c r="I332" s="295" t="n"/>
      <c r="J332" s="282" t="n"/>
      <c r="K332" s="345" t="n"/>
      <c r="L332" s="295" t="n"/>
      <c r="M332" s="346" t="n"/>
      <c r="N332" s="295" t="n"/>
      <c r="O332" s="285" t="n"/>
      <c r="P332" s="295" t="n"/>
      <c r="Q332" s="295" t="n"/>
      <c r="R332" s="282" t="n"/>
      <c r="S332" s="295" t="n"/>
      <c r="T332" s="295" t="n"/>
      <c r="U332" s="285" t="n"/>
      <c r="V332" s="295" t="n"/>
      <c r="W332" s="282" t="n"/>
      <c r="X332" s="295" t="n"/>
      <c r="Y332" s="295" t="n"/>
      <c r="Z332" s="295" t="n"/>
      <c r="AA332" s="295" t="n"/>
      <c r="AB332" s="285" t="n"/>
      <c r="AC332" s="295" t="n"/>
      <c r="AD332" s="295" t="n"/>
      <c r="AE332" s="286" t="n"/>
    </row>
    <row r="333">
      <c r="B333" s="287" t="n"/>
      <c r="C333" s="288" t="n"/>
      <c r="D333" s="295" t="n"/>
      <c r="E333" s="295" t="n"/>
      <c r="F333" s="295" t="n"/>
      <c r="G333" s="290" t="n"/>
      <c r="H333" s="295" t="n"/>
      <c r="I333" s="295" t="n"/>
      <c r="J333" s="290" t="n"/>
      <c r="K333" s="347" t="n"/>
      <c r="L333" s="295" t="n"/>
      <c r="M333" s="348" t="n"/>
      <c r="N333" s="295" t="n"/>
      <c r="O333" s="293" t="n"/>
      <c r="P333" s="295" t="n"/>
      <c r="Q333" s="295" t="n"/>
      <c r="R333" s="290" t="n"/>
      <c r="S333" s="295" t="n"/>
      <c r="T333" s="295" t="n"/>
      <c r="U333" s="293" t="n"/>
      <c r="V333" s="295" t="n"/>
      <c r="W333" s="290" t="n"/>
      <c r="X333" s="295" t="n"/>
      <c r="Y333" s="295" t="n"/>
      <c r="Z333" s="295" t="n"/>
      <c r="AA333" s="295" t="n"/>
      <c r="AB333" s="293" t="n"/>
      <c r="AC333" s="295" t="n"/>
      <c r="AD333" s="295" t="n"/>
      <c r="AE333" s="294" t="n"/>
    </row>
    <row r="334">
      <c r="B334" s="279" t="n"/>
      <c r="C334" s="280" t="n"/>
      <c r="D334" s="295" t="n"/>
      <c r="E334" s="295" t="n"/>
      <c r="F334" s="295" t="n"/>
      <c r="G334" s="282" t="n"/>
      <c r="H334" s="295" t="n"/>
      <c r="I334" s="295" t="n"/>
      <c r="J334" s="282" t="n"/>
      <c r="K334" s="345" t="n"/>
      <c r="L334" s="295" t="n"/>
      <c r="M334" s="346" t="n"/>
      <c r="N334" s="295" t="n"/>
      <c r="O334" s="285" t="n"/>
      <c r="P334" s="295" t="n"/>
      <c r="Q334" s="295" t="n"/>
      <c r="R334" s="282" t="n"/>
      <c r="S334" s="295" t="n"/>
      <c r="T334" s="295" t="n"/>
      <c r="U334" s="285" t="n"/>
      <c r="V334" s="295" t="n"/>
      <c r="W334" s="282" t="n"/>
      <c r="X334" s="295" t="n"/>
      <c r="Y334" s="295" t="n"/>
      <c r="Z334" s="295" t="n"/>
      <c r="AA334" s="295" t="n"/>
      <c r="AB334" s="285" t="n"/>
      <c r="AC334" s="295" t="n"/>
      <c r="AD334" s="295" t="n"/>
      <c r="AE334" s="286" t="n"/>
    </row>
    <row r="335">
      <c r="B335" s="287" t="n"/>
      <c r="C335" s="288" t="n"/>
      <c r="D335" s="295" t="n"/>
      <c r="E335" s="295" t="n"/>
      <c r="F335" s="295" t="n"/>
      <c r="G335" s="290" t="n"/>
      <c r="H335" s="295" t="n"/>
      <c r="I335" s="295" t="n"/>
      <c r="J335" s="290" t="n"/>
      <c r="K335" s="347" t="n"/>
      <c r="L335" s="295" t="n"/>
      <c r="M335" s="348" t="n"/>
      <c r="N335" s="295" t="n"/>
      <c r="O335" s="293" t="n"/>
      <c r="P335" s="295" t="n"/>
      <c r="Q335" s="295" t="n"/>
      <c r="R335" s="290" t="n"/>
      <c r="S335" s="295" t="n"/>
      <c r="T335" s="295" t="n"/>
      <c r="U335" s="293" t="n"/>
      <c r="V335" s="295" t="n"/>
      <c r="W335" s="290" t="n"/>
      <c r="X335" s="295" t="n"/>
      <c r="Y335" s="295" t="n"/>
      <c r="Z335" s="295" t="n"/>
      <c r="AA335" s="295" t="n"/>
      <c r="AB335" s="293" t="n"/>
      <c r="AC335" s="295" t="n"/>
      <c r="AD335" s="295" t="n"/>
      <c r="AE335" s="294" t="n"/>
    </row>
    <row r="336">
      <c r="B336" s="279" t="n"/>
      <c r="C336" s="280" t="n"/>
      <c r="D336" s="295" t="n"/>
      <c r="E336" s="295" t="n"/>
      <c r="F336" s="295" t="n"/>
      <c r="G336" s="282" t="n"/>
      <c r="H336" s="295" t="n"/>
      <c r="I336" s="295" t="n"/>
      <c r="J336" s="282" t="n"/>
      <c r="K336" s="345" t="n"/>
      <c r="L336" s="295" t="n"/>
      <c r="M336" s="346" t="n"/>
      <c r="N336" s="295" t="n"/>
      <c r="O336" s="285" t="n"/>
      <c r="P336" s="295" t="n"/>
      <c r="Q336" s="295" t="n"/>
      <c r="R336" s="282" t="n"/>
      <c r="S336" s="295" t="n"/>
      <c r="T336" s="295" t="n"/>
      <c r="U336" s="285" t="n"/>
      <c r="V336" s="295" t="n"/>
      <c r="W336" s="282" t="n"/>
      <c r="X336" s="295" t="n"/>
      <c r="Y336" s="295" t="n"/>
      <c r="Z336" s="295" t="n"/>
      <c r="AA336" s="295" t="n"/>
      <c r="AB336" s="285" t="n"/>
      <c r="AC336" s="295" t="n"/>
      <c r="AD336" s="295" t="n"/>
      <c r="AE336" s="286" t="n"/>
    </row>
    <row r="337">
      <c r="B337" s="287" t="n"/>
      <c r="C337" s="288" t="n"/>
      <c r="D337" s="295" t="n"/>
      <c r="E337" s="295" t="n"/>
      <c r="F337" s="295" t="n"/>
      <c r="G337" s="290" t="n"/>
      <c r="H337" s="295" t="n"/>
      <c r="I337" s="295" t="n"/>
      <c r="J337" s="290" t="n"/>
      <c r="K337" s="347" t="n"/>
      <c r="L337" s="295" t="n"/>
      <c r="M337" s="348" t="n"/>
      <c r="N337" s="295" t="n"/>
      <c r="O337" s="293" t="n"/>
      <c r="P337" s="295" t="n"/>
      <c r="Q337" s="295" t="n"/>
      <c r="R337" s="290" t="n"/>
      <c r="S337" s="295" t="n"/>
      <c r="T337" s="295" t="n"/>
      <c r="U337" s="293" t="n"/>
      <c r="V337" s="295" t="n"/>
      <c r="W337" s="290" t="n"/>
      <c r="X337" s="295" t="n"/>
      <c r="Y337" s="295" t="n"/>
      <c r="Z337" s="295" t="n"/>
      <c r="AA337" s="295" t="n"/>
      <c r="AB337" s="293" t="n"/>
      <c r="AC337" s="295" t="n"/>
      <c r="AD337" s="295" t="n"/>
      <c r="AE337" s="294" t="n"/>
    </row>
    <row r="338">
      <c r="B338" s="279" t="n"/>
      <c r="C338" s="280" t="n"/>
      <c r="D338" s="295" t="n"/>
      <c r="E338" s="295" t="n"/>
      <c r="F338" s="295" t="n"/>
      <c r="G338" s="282" t="n"/>
      <c r="H338" s="295" t="n"/>
      <c r="I338" s="295" t="n"/>
      <c r="J338" s="282" t="n"/>
      <c r="K338" s="345" t="n"/>
      <c r="L338" s="295" t="n"/>
      <c r="M338" s="346" t="n"/>
      <c r="N338" s="295" t="n"/>
      <c r="O338" s="285" t="n"/>
      <c r="P338" s="295" t="n"/>
      <c r="Q338" s="295" t="n"/>
      <c r="R338" s="282" t="n"/>
      <c r="S338" s="295" t="n"/>
      <c r="T338" s="295" t="n"/>
      <c r="U338" s="285" t="n"/>
      <c r="V338" s="295" t="n"/>
      <c r="W338" s="282" t="n"/>
      <c r="X338" s="295" t="n"/>
      <c r="Y338" s="295" t="n"/>
      <c r="Z338" s="295" t="n"/>
      <c r="AA338" s="295" t="n"/>
      <c r="AB338" s="285" t="n"/>
      <c r="AC338" s="295" t="n"/>
      <c r="AD338" s="295" t="n"/>
      <c r="AE338" s="286" t="n"/>
    </row>
    <row r="339">
      <c r="B339" s="287" t="n"/>
      <c r="C339" s="288" t="n"/>
      <c r="D339" s="295" t="n"/>
      <c r="E339" s="295" t="n"/>
      <c r="F339" s="295" t="n"/>
      <c r="G339" s="290" t="n"/>
      <c r="H339" s="295" t="n"/>
      <c r="I339" s="295" t="n"/>
      <c r="J339" s="290" t="n"/>
      <c r="K339" s="347" t="n"/>
      <c r="L339" s="295" t="n"/>
      <c r="M339" s="348" t="n"/>
      <c r="N339" s="295" t="n"/>
      <c r="O339" s="293" t="n"/>
      <c r="P339" s="295" t="n"/>
      <c r="Q339" s="295" t="n"/>
      <c r="R339" s="290" t="n"/>
      <c r="S339" s="295" t="n"/>
      <c r="T339" s="295" t="n"/>
      <c r="U339" s="293" t="n"/>
      <c r="V339" s="295" t="n"/>
      <c r="W339" s="290" t="n"/>
      <c r="X339" s="295" t="n"/>
      <c r="Y339" s="295" t="n"/>
      <c r="Z339" s="295" t="n"/>
      <c r="AA339" s="295" t="n"/>
      <c r="AB339" s="293" t="n"/>
      <c r="AC339" s="295" t="n"/>
      <c r="AD339" s="295" t="n"/>
      <c r="AE339" s="294" t="n"/>
    </row>
    <row r="340">
      <c r="B340" s="279" t="n"/>
      <c r="C340" s="280" t="n"/>
      <c r="D340" s="295" t="n"/>
      <c r="E340" s="295" t="n"/>
      <c r="F340" s="295" t="n"/>
      <c r="G340" s="282" t="n"/>
      <c r="H340" s="295" t="n"/>
      <c r="I340" s="295" t="n"/>
      <c r="J340" s="282" t="n"/>
      <c r="K340" s="345" t="n"/>
      <c r="L340" s="295" t="n"/>
      <c r="M340" s="346" t="n"/>
      <c r="N340" s="295" t="n"/>
      <c r="O340" s="285" t="n"/>
      <c r="P340" s="295" t="n"/>
      <c r="Q340" s="295" t="n"/>
      <c r="R340" s="282" t="n"/>
      <c r="S340" s="295" t="n"/>
      <c r="T340" s="295" t="n"/>
      <c r="U340" s="285" t="n"/>
      <c r="V340" s="295" t="n"/>
      <c r="W340" s="282" t="n"/>
      <c r="X340" s="295" t="n"/>
      <c r="Y340" s="295" t="n"/>
      <c r="Z340" s="295" t="n"/>
      <c r="AA340" s="295" t="n"/>
      <c r="AB340" s="285" t="n"/>
      <c r="AC340" s="295" t="n"/>
      <c r="AD340" s="295" t="n"/>
      <c r="AE340" s="286" t="n"/>
    </row>
    <row r="341">
      <c r="B341" s="287" t="n"/>
      <c r="C341" s="288" t="n"/>
      <c r="D341" s="295" t="n"/>
      <c r="E341" s="295" t="n"/>
      <c r="F341" s="295" t="n"/>
      <c r="G341" s="290" t="n"/>
      <c r="H341" s="295" t="n"/>
      <c r="I341" s="295" t="n"/>
      <c r="J341" s="290" t="n"/>
      <c r="K341" s="347" t="n"/>
      <c r="L341" s="295" t="n"/>
      <c r="M341" s="348" t="n"/>
      <c r="N341" s="295" t="n"/>
      <c r="O341" s="293" t="n"/>
      <c r="P341" s="295" t="n"/>
      <c r="Q341" s="295" t="n"/>
      <c r="R341" s="290" t="n"/>
      <c r="S341" s="295" t="n"/>
      <c r="T341" s="295" t="n"/>
      <c r="U341" s="293" t="n"/>
      <c r="V341" s="295" t="n"/>
      <c r="W341" s="290" t="n"/>
      <c r="X341" s="295" t="n"/>
      <c r="Y341" s="295" t="n"/>
      <c r="Z341" s="295" t="n"/>
      <c r="AA341" s="295" t="n"/>
      <c r="AB341" s="293" t="n"/>
      <c r="AC341" s="295" t="n"/>
      <c r="AD341" s="295" t="n"/>
      <c r="AE341" s="294" t="n"/>
    </row>
    <row r="342">
      <c r="B342" s="279" t="n"/>
      <c r="C342" s="280" t="n"/>
      <c r="D342" s="295" t="n"/>
      <c r="E342" s="295" t="n"/>
      <c r="F342" s="295" t="n"/>
      <c r="G342" s="282" t="n"/>
      <c r="H342" s="295" t="n"/>
      <c r="I342" s="295" t="n"/>
      <c r="J342" s="282" t="n"/>
      <c r="K342" s="345" t="n"/>
      <c r="L342" s="295" t="n"/>
      <c r="M342" s="346" t="n"/>
      <c r="N342" s="295" t="n"/>
      <c r="O342" s="285" t="n"/>
      <c r="P342" s="295" t="n"/>
      <c r="Q342" s="295" t="n"/>
      <c r="R342" s="282" t="n"/>
      <c r="S342" s="295" t="n"/>
      <c r="T342" s="295" t="n"/>
      <c r="U342" s="285" t="n"/>
      <c r="V342" s="295" t="n"/>
      <c r="W342" s="282" t="n"/>
      <c r="X342" s="295" t="n"/>
      <c r="Y342" s="295" t="n"/>
      <c r="Z342" s="295" t="n"/>
      <c r="AA342" s="295" t="n"/>
      <c r="AB342" s="285" t="n"/>
      <c r="AC342" s="295" t="n"/>
      <c r="AD342" s="295" t="n"/>
      <c r="AE342" s="286" t="n"/>
    </row>
    <row r="343">
      <c r="B343" s="287" t="n"/>
      <c r="C343" s="288" t="n"/>
      <c r="D343" s="295" t="n"/>
      <c r="E343" s="295" t="n"/>
      <c r="F343" s="295" t="n"/>
      <c r="G343" s="290" t="n"/>
      <c r="H343" s="295" t="n"/>
      <c r="I343" s="295" t="n"/>
      <c r="J343" s="290" t="n"/>
      <c r="K343" s="347" t="n"/>
      <c r="L343" s="295" t="n"/>
      <c r="M343" s="348" t="n"/>
      <c r="N343" s="295" t="n"/>
      <c r="O343" s="293" t="n"/>
      <c r="P343" s="295" t="n"/>
      <c r="Q343" s="295" t="n"/>
      <c r="R343" s="290" t="n"/>
      <c r="S343" s="295" t="n"/>
      <c r="T343" s="295" t="n"/>
      <c r="U343" s="293" t="n"/>
      <c r="V343" s="295" t="n"/>
      <c r="W343" s="290" t="n"/>
      <c r="X343" s="295" t="n"/>
      <c r="Y343" s="295" t="n"/>
      <c r="Z343" s="295" t="n"/>
      <c r="AA343" s="295" t="n"/>
      <c r="AB343" s="293" t="n"/>
      <c r="AC343" s="295" t="n"/>
      <c r="AD343" s="295" t="n"/>
      <c r="AE343" s="294" t="n"/>
    </row>
    <row r="344">
      <c r="B344" s="279" t="n"/>
      <c r="C344" s="280" t="n"/>
      <c r="D344" s="295" t="n"/>
      <c r="E344" s="295" t="n"/>
      <c r="F344" s="295" t="n"/>
      <c r="G344" s="282" t="n"/>
      <c r="H344" s="295" t="n"/>
      <c r="I344" s="295" t="n"/>
      <c r="J344" s="282" t="n"/>
      <c r="K344" s="345" t="n"/>
      <c r="L344" s="295" t="n"/>
      <c r="M344" s="346" t="n"/>
      <c r="N344" s="295" t="n"/>
      <c r="O344" s="285" t="n"/>
      <c r="P344" s="295" t="n"/>
      <c r="Q344" s="295" t="n"/>
      <c r="R344" s="282" t="n"/>
      <c r="S344" s="295" t="n"/>
      <c r="T344" s="295" t="n"/>
      <c r="U344" s="285" t="n"/>
      <c r="V344" s="295" t="n"/>
      <c r="W344" s="282" t="n"/>
      <c r="X344" s="295" t="n"/>
      <c r="Y344" s="295" t="n"/>
      <c r="Z344" s="295" t="n"/>
      <c r="AA344" s="295" t="n"/>
      <c r="AB344" s="285" t="n"/>
      <c r="AC344" s="295" t="n"/>
      <c r="AD344" s="295" t="n"/>
      <c r="AE344" s="286" t="n"/>
    </row>
    <row r="345">
      <c r="B345" s="287" t="n"/>
      <c r="C345" s="288" t="n"/>
      <c r="D345" s="295" t="n"/>
      <c r="E345" s="295" t="n"/>
      <c r="F345" s="295" t="n"/>
      <c r="G345" s="290" t="n"/>
      <c r="H345" s="295" t="n"/>
      <c r="I345" s="295" t="n"/>
      <c r="J345" s="290" t="n"/>
      <c r="K345" s="347" t="n"/>
      <c r="L345" s="295" t="n"/>
      <c r="M345" s="348" t="n"/>
      <c r="N345" s="295" t="n"/>
      <c r="O345" s="293" t="n"/>
      <c r="P345" s="295" t="n"/>
      <c r="Q345" s="295" t="n"/>
      <c r="R345" s="290" t="n"/>
      <c r="S345" s="295" t="n"/>
      <c r="T345" s="295" t="n"/>
      <c r="U345" s="293" t="n"/>
      <c r="V345" s="295" t="n"/>
      <c r="W345" s="290" t="n"/>
      <c r="X345" s="295" t="n"/>
      <c r="Y345" s="295" t="n"/>
      <c r="Z345" s="295" t="n"/>
      <c r="AA345" s="295" t="n"/>
      <c r="AB345" s="293" t="n"/>
      <c r="AC345" s="295" t="n"/>
      <c r="AD345" s="295" t="n"/>
      <c r="AE345" s="294" t="n"/>
    </row>
    <row r="346">
      <c r="B346" s="279" t="n"/>
      <c r="C346" s="280" t="n"/>
      <c r="D346" s="295" t="n"/>
      <c r="E346" s="295" t="n"/>
      <c r="F346" s="295" t="n"/>
      <c r="G346" s="282" t="n"/>
      <c r="H346" s="295" t="n"/>
      <c r="I346" s="295" t="n"/>
      <c r="J346" s="282" t="n"/>
      <c r="K346" s="345" t="n"/>
      <c r="L346" s="295" t="n"/>
      <c r="M346" s="346" t="n"/>
      <c r="N346" s="295" t="n"/>
      <c r="O346" s="285" t="n"/>
      <c r="P346" s="295" t="n"/>
      <c r="Q346" s="295" t="n"/>
      <c r="R346" s="282" t="n"/>
      <c r="S346" s="295" t="n"/>
      <c r="T346" s="295" t="n"/>
      <c r="U346" s="285" t="n"/>
      <c r="V346" s="295" t="n"/>
      <c r="W346" s="282" t="n"/>
      <c r="X346" s="295" t="n"/>
      <c r="Y346" s="295" t="n"/>
      <c r="Z346" s="295" t="n"/>
      <c r="AA346" s="295" t="n"/>
      <c r="AB346" s="285" t="n"/>
      <c r="AC346" s="295" t="n"/>
      <c r="AD346" s="295" t="n"/>
      <c r="AE346" s="286" t="n"/>
    </row>
    <row r="347">
      <c r="B347" s="287" t="n"/>
      <c r="C347" s="288" t="n"/>
      <c r="D347" s="295" t="n"/>
      <c r="E347" s="295" t="n"/>
      <c r="F347" s="295" t="n"/>
      <c r="G347" s="290" t="n"/>
      <c r="H347" s="295" t="n"/>
      <c r="I347" s="295" t="n"/>
      <c r="J347" s="290" t="n"/>
      <c r="K347" s="347" t="n"/>
      <c r="L347" s="295" t="n"/>
      <c r="M347" s="348" t="n"/>
      <c r="N347" s="295" t="n"/>
      <c r="O347" s="293" t="n"/>
      <c r="P347" s="295" t="n"/>
      <c r="Q347" s="295" t="n"/>
      <c r="R347" s="290" t="n"/>
      <c r="S347" s="295" t="n"/>
      <c r="T347" s="295" t="n"/>
      <c r="U347" s="293" t="n"/>
      <c r="V347" s="295" t="n"/>
      <c r="W347" s="290" t="n"/>
      <c r="X347" s="295" t="n"/>
      <c r="Y347" s="295" t="n"/>
      <c r="Z347" s="295" t="n"/>
      <c r="AA347" s="295" t="n"/>
      <c r="AB347" s="293" t="n"/>
      <c r="AC347" s="295" t="n"/>
      <c r="AD347" s="295" t="n"/>
      <c r="AE347" s="294" t="n"/>
    </row>
    <row r="348">
      <c r="B348" s="279" t="n"/>
      <c r="C348" s="280" t="n"/>
      <c r="D348" s="295" t="n"/>
      <c r="E348" s="295" t="n"/>
      <c r="F348" s="295" t="n"/>
      <c r="G348" s="282" t="n"/>
      <c r="H348" s="295" t="n"/>
      <c r="I348" s="295" t="n"/>
      <c r="J348" s="282" t="n"/>
      <c r="K348" s="345" t="n"/>
      <c r="L348" s="295" t="n"/>
      <c r="M348" s="346" t="n"/>
      <c r="N348" s="295" t="n"/>
      <c r="O348" s="285" t="n"/>
      <c r="P348" s="295" t="n"/>
      <c r="Q348" s="295" t="n"/>
      <c r="R348" s="282" t="n"/>
      <c r="S348" s="295" t="n"/>
      <c r="T348" s="295" t="n"/>
      <c r="U348" s="285" t="n"/>
      <c r="V348" s="295" t="n"/>
      <c r="W348" s="282" t="n"/>
      <c r="X348" s="295" t="n"/>
      <c r="Y348" s="295" t="n"/>
      <c r="Z348" s="295" t="n"/>
      <c r="AA348" s="295" t="n"/>
      <c r="AB348" s="285" t="n"/>
      <c r="AC348" s="295" t="n"/>
      <c r="AD348" s="295" t="n"/>
      <c r="AE348" s="286" t="n"/>
    </row>
    <row r="349">
      <c r="B349" s="287" t="n"/>
      <c r="C349" s="288" t="n"/>
      <c r="D349" s="295" t="n"/>
      <c r="E349" s="295" t="n"/>
      <c r="F349" s="295" t="n"/>
      <c r="G349" s="290" t="n"/>
      <c r="H349" s="295" t="n"/>
      <c r="I349" s="295" t="n"/>
      <c r="J349" s="290" t="n"/>
      <c r="K349" s="347" t="n"/>
      <c r="L349" s="295" t="n"/>
      <c r="M349" s="348" t="n"/>
      <c r="N349" s="295" t="n"/>
      <c r="O349" s="293" t="n"/>
      <c r="P349" s="295" t="n"/>
      <c r="Q349" s="295" t="n"/>
      <c r="R349" s="290" t="n"/>
      <c r="S349" s="295" t="n"/>
      <c r="T349" s="295" t="n"/>
      <c r="U349" s="293" t="n"/>
      <c r="V349" s="295" t="n"/>
      <c r="W349" s="290" t="n"/>
      <c r="X349" s="295" t="n"/>
      <c r="Y349" s="295" t="n"/>
      <c r="Z349" s="295" t="n"/>
      <c r="AA349" s="295" t="n"/>
      <c r="AB349" s="293" t="n"/>
      <c r="AC349" s="295" t="n"/>
      <c r="AD349" s="295" t="n"/>
      <c r="AE349" s="294" t="n"/>
    </row>
    <row r="350">
      <c r="B350" s="279" t="n"/>
      <c r="C350" s="280" t="n"/>
      <c r="D350" s="295" t="n"/>
      <c r="E350" s="295" t="n"/>
      <c r="F350" s="295" t="n"/>
      <c r="G350" s="282" t="n"/>
      <c r="H350" s="295" t="n"/>
      <c r="I350" s="295" t="n"/>
      <c r="J350" s="282" t="n"/>
      <c r="K350" s="345" t="n"/>
      <c r="L350" s="295" t="n"/>
      <c r="M350" s="346" t="n"/>
      <c r="N350" s="295" t="n"/>
      <c r="O350" s="285" t="n"/>
      <c r="P350" s="295" t="n"/>
      <c r="Q350" s="295" t="n"/>
      <c r="R350" s="282" t="n"/>
      <c r="S350" s="295" t="n"/>
      <c r="T350" s="295" t="n"/>
      <c r="U350" s="285" t="n"/>
      <c r="V350" s="295" t="n"/>
      <c r="W350" s="282" t="n"/>
      <c r="X350" s="295" t="n"/>
      <c r="Y350" s="295" t="n"/>
      <c r="Z350" s="295" t="n"/>
      <c r="AA350" s="295" t="n"/>
      <c r="AB350" s="285" t="n"/>
      <c r="AC350" s="295" t="n"/>
      <c r="AD350" s="295" t="n"/>
      <c r="AE350" s="286" t="n"/>
    </row>
    <row r="351">
      <c r="B351" s="287" t="n"/>
      <c r="C351" s="288" t="n"/>
      <c r="D351" s="295" t="n"/>
      <c r="E351" s="295" t="n"/>
      <c r="F351" s="295" t="n"/>
      <c r="G351" s="290" t="n"/>
      <c r="H351" s="295" t="n"/>
      <c r="I351" s="295" t="n"/>
      <c r="J351" s="290" t="n"/>
      <c r="K351" s="347" t="n"/>
      <c r="L351" s="295" t="n"/>
      <c r="M351" s="348" t="n"/>
      <c r="N351" s="295" t="n"/>
      <c r="O351" s="293" t="n"/>
      <c r="P351" s="295" t="n"/>
      <c r="Q351" s="295" t="n"/>
      <c r="R351" s="290" t="n"/>
      <c r="S351" s="295" t="n"/>
      <c r="T351" s="295" t="n"/>
      <c r="U351" s="293" t="n"/>
      <c r="V351" s="295" t="n"/>
      <c r="W351" s="290" t="n"/>
      <c r="X351" s="295" t="n"/>
      <c r="Y351" s="295" t="n"/>
      <c r="Z351" s="295" t="n"/>
      <c r="AA351" s="295" t="n"/>
      <c r="AB351" s="293" t="n"/>
      <c r="AC351" s="295" t="n"/>
      <c r="AD351" s="295" t="n"/>
      <c r="AE351" s="294" t="n"/>
    </row>
    <row r="352">
      <c r="B352" s="279" t="n"/>
      <c r="C352" s="280" t="n"/>
      <c r="D352" s="295" t="n"/>
      <c r="E352" s="295" t="n"/>
      <c r="F352" s="295" t="n"/>
      <c r="G352" s="282" t="n"/>
      <c r="H352" s="295" t="n"/>
      <c r="I352" s="295" t="n"/>
      <c r="J352" s="282" t="n"/>
      <c r="K352" s="345" t="n"/>
      <c r="L352" s="295" t="n"/>
      <c r="M352" s="346" t="n"/>
      <c r="N352" s="295" t="n"/>
      <c r="O352" s="285" t="n"/>
      <c r="P352" s="295" t="n"/>
      <c r="Q352" s="295" t="n"/>
      <c r="R352" s="282" t="n"/>
      <c r="S352" s="295" t="n"/>
      <c r="T352" s="295" t="n"/>
      <c r="U352" s="285" t="n"/>
      <c r="V352" s="295" t="n"/>
      <c r="W352" s="282" t="n"/>
      <c r="X352" s="295" t="n"/>
      <c r="Y352" s="295" t="n"/>
      <c r="Z352" s="295" t="n"/>
      <c r="AA352" s="295" t="n"/>
      <c r="AB352" s="285" t="n"/>
      <c r="AC352" s="295" t="n"/>
      <c r="AD352" s="295" t="n"/>
      <c r="AE352" s="286" t="n"/>
    </row>
    <row r="353">
      <c r="B353" s="287" t="n"/>
      <c r="C353" s="288" t="n"/>
      <c r="D353" s="295" t="n"/>
      <c r="E353" s="295" t="n"/>
      <c r="F353" s="295" t="n"/>
      <c r="G353" s="290" t="n"/>
      <c r="H353" s="295" t="n"/>
      <c r="I353" s="295" t="n"/>
      <c r="J353" s="290" t="n"/>
      <c r="K353" s="347" t="n"/>
      <c r="L353" s="295" t="n"/>
      <c r="M353" s="348" t="n"/>
      <c r="N353" s="295" t="n"/>
      <c r="O353" s="293" t="n"/>
      <c r="P353" s="295" t="n"/>
      <c r="Q353" s="295" t="n"/>
      <c r="R353" s="290" t="n"/>
      <c r="S353" s="295" t="n"/>
      <c r="T353" s="295" t="n"/>
      <c r="U353" s="293" t="n"/>
      <c r="V353" s="295" t="n"/>
      <c r="W353" s="290" t="n"/>
      <c r="X353" s="295" t="n"/>
      <c r="Y353" s="295" t="n"/>
      <c r="Z353" s="295" t="n"/>
      <c r="AA353" s="295" t="n"/>
      <c r="AB353" s="293" t="n"/>
      <c r="AC353" s="295" t="n"/>
      <c r="AD353" s="295" t="n"/>
      <c r="AE353" s="294" t="n"/>
    </row>
    <row r="354">
      <c r="B354" s="279" t="n"/>
      <c r="C354" s="280" t="n"/>
      <c r="D354" s="295" t="n"/>
      <c r="E354" s="295" t="n"/>
      <c r="F354" s="295" t="n"/>
      <c r="G354" s="282" t="n"/>
      <c r="H354" s="295" t="n"/>
      <c r="I354" s="295" t="n"/>
      <c r="J354" s="282" t="n"/>
      <c r="K354" s="345" t="n"/>
      <c r="L354" s="295" t="n"/>
      <c r="M354" s="346" t="n"/>
      <c r="N354" s="295" t="n"/>
      <c r="O354" s="285" t="n"/>
      <c r="P354" s="295" t="n"/>
      <c r="Q354" s="295" t="n"/>
      <c r="R354" s="282" t="n"/>
      <c r="S354" s="295" t="n"/>
      <c r="T354" s="295" t="n"/>
      <c r="U354" s="285" t="n"/>
      <c r="V354" s="295" t="n"/>
      <c r="W354" s="282" t="n"/>
      <c r="X354" s="295" t="n"/>
      <c r="Y354" s="295" t="n"/>
      <c r="Z354" s="295" t="n"/>
      <c r="AA354" s="295" t="n"/>
      <c r="AB354" s="285" t="n"/>
      <c r="AC354" s="295" t="n"/>
      <c r="AD354" s="295" t="n"/>
      <c r="AE354" s="286" t="n"/>
    </row>
    <row r="355">
      <c r="B355" s="287" t="n"/>
      <c r="C355" s="288" t="n"/>
      <c r="D355" s="295" t="n"/>
      <c r="E355" s="295" t="n"/>
      <c r="F355" s="295" t="n"/>
      <c r="G355" s="290" t="n"/>
      <c r="H355" s="295" t="n"/>
      <c r="I355" s="295" t="n"/>
      <c r="J355" s="290" t="n"/>
      <c r="K355" s="347" t="n"/>
      <c r="L355" s="295" t="n"/>
      <c r="M355" s="348" t="n"/>
      <c r="N355" s="295" t="n"/>
      <c r="O355" s="293" t="n"/>
      <c r="P355" s="295" t="n"/>
      <c r="Q355" s="295" t="n"/>
      <c r="R355" s="290" t="n"/>
      <c r="S355" s="295" t="n"/>
      <c r="T355" s="295" t="n"/>
      <c r="U355" s="293" t="n"/>
      <c r="V355" s="295" t="n"/>
      <c r="W355" s="290" t="n"/>
      <c r="X355" s="295" t="n"/>
      <c r="Y355" s="295" t="n"/>
      <c r="Z355" s="295" t="n"/>
      <c r="AA355" s="295" t="n"/>
      <c r="AB355" s="293" t="n"/>
      <c r="AC355" s="295" t="n"/>
      <c r="AD355" s="295" t="n"/>
      <c r="AE355" s="294" t="n"/>
    </row>
    <row r="356">
      <c r="B356" s="279" t="n"/>
      <c r="C356" s="280" t="n"/>
      <c r="D356" s="295" t="n"/>
      <c r="E356" s="295" t="n"/>
      <c r="F356" s="295" t="n"/>
      <c r="G356" s="282" t="n"/>
      <c r="H356" s="295" t="n"/>
      <c r="I356" s="295" t="n"/>
      <c r="J356" s="282" t="n"/>
      <c r="K356" s="345" t="n"/>
      <c r="L356" s="295" t="n"/>
      <c r="M356" s="346" t="n"/>
      <c r="N356" s="295" t="n"/>
      <c r="O356" s="285" t="n"/>
      <c r="P356" s="295" t="n"/>
      <c r="Q356" s="295" t="n"/>
      <c r="R356" s="282" t="n"/>
      <c r="S356" s="295" t="n"/>
      <c r="T356" s="295" t="n"/>
      <c r="U356" s="285" t="n"/>
      <c r="V356" s="295" t="n"/>
      <c r="W356" s="282" t="n"/>
      <c r="X356" s="295" t="n"/>
      <c r="Y356" s="295" t="n"/>
      <c r="Z356" s="295" t="n"/>
      <c r="AA356" s="295" t="n"/>
      <c r="AB356" s="285" t="n"/>
      <c r="AC356" s="295" t="n"/>
      <c r="AD356" s="295" t="n"/>
      <c r="AE356" s="286" t="n"/>
    </row>
    <row r="357">
      <c r="B357" s="287" t="n"/>
      <c r="C357" s="288" t="n"/>
      <c r="D357" s="295" t="n"/>
      <c r="E357" s="295" t="n"/>
      <c r="F357" s="295" t="n"/>
      <c r="G357" s="290" t="n"/>
      <c r="H357" s="295" t="n"/>
      <c r="I357" s="295" t="n"/>
      <c r="J357" s="290" t="n"/>
      <c r="K357" s="347" t="n"/>
      <c r="L357" s="295" t="n"/>
      <c r="M357" s="348" t="n"/>
      <c r="N357" s="295" t="n"/>
      <c r="O357" s="293" t="n"/>
      <c r="P357" s="295" t="n"/>
      <c r="Q357" s="295" t="n"/>
      <c r="R357" s="290" t="n"/>
      <c r="S357" s="295" t="n"/>
      <c r="T357" s="295" t="n"/>
      <c r="U357" s="293" t="n"/>
      <c r="V357" s="295" t="n"/>
      <c r="W357" s="290" t="n"/>
      <c r="X357" s="295" t="n"/>
      <c r="Y357" s="295" t="n"/>
      <c r="Z357" s="295" t="n"/>
      <c r="AA357" s="295" t="n"/>
      <c r="AB357" s="293" t="n"/>
      <c r="AC357" s="295" t="n"/>
      <c r="AD357" s="295" t="n"/>
      <c r="AE357" s="294" t="n"/>
    </row>
    <row r="358">
      <c r="B358" s="279" t="n"/>
      <c r="C358" s="280" t="n"/>
      <c r="D358" s="295" t="n"/>
      <c r="E358" s="295" t="n"/>
      <c r="F358" s="295" t="n"/>
      <c r="G358" s="282" t="n"/>
      <c r="H358" s="295" t="n"/>
      <c r="I358" s="295" t="n"/>
      <c r="J358" s="282" t="n"/>
      <c r="K358" s="345" t="n"/>
      <c r="L358" s="295" t="n"/>
      <c r="M358" s="346" t="n"/>
      <c r="N358" s="295" t="n"/>
      <c r="O358" s="285" t="n"/>
      <c r="P358" s="295" t="n"/>
      <c r="Q358" s="295" t="n"/>
      <c r="R358" s="282" t="n"/>
      <c r="S358" s="295" t="n"/>
      <c r="T358" s="295" t="n"/>
      <c r="U358" s="285" t="n"/>
      <c r="V358" s="295" t="n"/>
      <c r="W358" s="282" t="n"/>
      <c r="X358" s="295" t="n"/>
      <c r="Y358" s="295" t="n"/>
      <c r="Z358" s="295" t="n"/>
      <c r="AA358" s="295" t="n"/>
      <c r="AB358" s="285" t="n"/>
      <c r="AC358" s="295" t="n"/>
      <c r="AD358" s="295" t="n"/>
      <c r="AE358" s="286" t="n"/>
    </row>
    <row r="359">
      <c r="B359" s="287" t="n"/>
      <c r="C359" s="288" t="n"/>
      <c r="D359" s="295" t="n"/>
      <c r="E359" s="295" t="n"/>
      <c r="F359" s="295" t="n"/>
      <c r="G359" s="290" t="n"/>
      <c r="H359" s="295" t="n"/>
      <c r="I359" s="295" t="n"/>
      <c r="J359" s="290" t="n"/>
      <c r="K359" s="347" t="n"/>
      <c r="L359" s="295" t="n"/>
      <c r="M359" s="348" t="n"/>
      <c r="N359" s="295" t="n"/>
      <c r="O359" s="293" t="n"/>
      <c r="P359" s="295" t="n"/>
      <c r="Q359" s="295" t="n"/>
      <c r="R359" s="290" t="n"/>
      <c r="S359" s="295" t="n"/>
      <c r="T359" s="295" t="n"/>
      <c r="U359" s="293" t="n"/>
      <c r="V359" s="295" t="n"/>
      <c r="W359" s="290" t="n"/>
      <c r="X359" s="295" t="n"/>
      <c r="Y359" s="295" t="n"/>
      <c r="Z359" s="295" t="n"/>
      <c r="AA359" s="295" t="n"/>
      <c r="AB359" s="293" t="n"/>
      <c r="AC359" s="295" t="n"/>
      <c r="AD359" s="295" t="n"/>
      <c r="AE359" s="294" t="n"/>
    </row>
    <row r="360">
      <c r="B360" s="279" t="n"/>
      <c r="C360" s="280" t="n"/>
      <c r="D360" s="295" t="n"/>
      <c r="E360" s="295" t="n"/>
      <c r="F360" s="295" t="n"/>
      <c r="G360" s="282" t="n"/>
      <c r="H360" s="295" t="n"/>
      <c r="I360" s="295" t="n"/>
      <c r="J360" s="282" t="n"/>
      <c r="K360" s="345" t="n"/>
      <c r="L360" s="295" t="n"/>
      <c r="M360" s="346" t="n"/>
      <c r="N360" s="295" t="n"/>
      <c r="O360" s="285" t="n"/>
      <c r="P360" s="295" t="n"/>
      <c r="Q360" s="295" t="n"/>
      <c r="R360" s="282" t="n"/>
      <c r="S360" s="295" t="n"/>
      <c r="T360" s="295" t="n"/>
      <c r="U360" s="285" t="n"/>
      <c r="V360" s="295" t="n"/>
      <c r="W360" s="282" t="n"/>
      <c r="X360" s="295" t="n"/>
      <c r="Y360" s="295" t="n"/>
      <c r="Z360" s="295" t="n"/>
      <c r="AA360" s="295" t="n"/>
      <c r="AB360" s="285" t="n"/>
      <c r="AC360" s="295" t="n"/>
      <c r="AD360" s="295" t="n"/>
      <c r="AE360" s="286" t="n"/>
    </row>
    <row r="361">
      <c r="B361" s="287" t="n"/>
      <c r="C361" s="288" t="n"/>
      <c r="D361" s="295" t="n"/>
      <c r="E361" s="295" t="n"/>
      <c r="F361" s="295" t="n"/>
      <c r="G361" s="290" t="n"/>
      <c r="H361" s="295" t="n"/>
      <c r="I361" s="295" t="n"/>
      <c r="J361" s="290" t="n"/>
      <c r="K361" s="347" t="n"/>
      <c r="L361" s="295" t="n"/>
      <c r="M361" s="348" t="n"/>
      <c r="N361" s="295" t="n"/>
      <c r="O361" s="293" t="n"/>
      <c r="P361" s="295" t="n"/>
      <c r="Q361" s="295" t="n"/>
      <c r="R361" s="290" t="n"/>
      <c r="S361" s="295" t="n"/>
      <c r="T361" s="295" t="n"/>
      <c r="U361" s="293" t="n"/>
      <c r="V361" s="295" t="n"/>
      <c r="W361" s="290" t="n"/>
      <c r="X361" s="295" t="n"/>
      <c r="Y361" s="295" t="n"/>
      <c r="Z361" s="295" t="n"/>
      <c r="AA361" s="295" t="n"/>
      <c r="AB361" s="293" t="n"/>
      <c r="AC361" s="295" t="n"/>
      <c r="AD361" s="295" t="n"/>
      <c r="AE361" s="294" t="n"/>
    </row>
    <row r="362">
      <c r="B362" s="279" t="n"/>
      <c r="C362" s="280" t="n"/>
      <c r="D362" s="295" t="n"/>
      <c r="E362" s="295" t="n"/>
      <c r="F362" s="295" t="n"/>
      <c r="G362" s="282" t="n"/>
      <c r="H362" s="295" t="n"/>
      <c r="I362" s="295" t="n"/>
      <c r="J362" s="282" t="n"/>
      <c r="K362" s="345" t="n"/>
      <c r="L362" s="295" t="n"/>
      <c r="M362" s="346" t="n"/>
      <c r="N362" s="295" t="n"/>
      <c r="O362" s="285" t="n"/>
      <c r="P362" s="295" t="n"/>
      <c r="Q362" s="295" t="n"/>
      <c r="R362" s="282" t="n"/>
      <c r="S362" s="295" t="n"/>
      <c r="T362" s="295" t="n"/>
      <c r="U362" s="285" t="n"/>
      <c r="V362" s="295" t="n"/>
      <c r="W362" s="282" t="n"/>
      <c r="X362" s="295" t="n"/>
      <c r="Y362" s="295" t="n"/>
      <c r="Z362" s="295" t="n"/>
      <c r="AA362" s="295" t="n"/>
      <c r="AB362" s="285" t="n"/>
      <c r="AC362" s="295" t="n"/>
      <c r="AD362" s="295" t="n"/>
      <c r="AE362" s="286" t="n"/>
    </row>
    <row r="363">
      <c r="B363" s="287" t="n"/>
      <c r="C363" s="288" t="n"/>
      <c r="D363" s="295" t="n"/>
      <c r="E363" s="295" t="n"/>
      <c r="F363" s="295" t="n"/>
      <c r="G363" s="290" t="n"/>
      <c r="H363" s="295" t="n"/>
      <c r="I363" s="295" t="n"/>
      <c r="J363" s="290" t="n"/>
      <c r="K363" s="347" t="n"/>
      <c r="L363" s="295" t="n"/>
      <c r="M363" s="348" t="n"/>
      <c r="N363" s="295" t="n"/>
      <c r="O363" s="293" t="n"/>
      <c r="P363" s="295" t="n"/>
      <c r="Q363" s="295" t="n"/>
      <c r="R363" s="290" t="n"/>
      <c r="S363" s="295" t="n"/>
      <c r="T363" s="295" t="n"/>
      <c r="U363" s="293" t="n"/>
      <c r="V363" s="295" t="n"/>
      <c r="W363" s="290" t="n"/>
      <c r="X363" s="295" t="n"/>
      <c r="Y363" s="295" t="n"/>
      <c r="Z363" s="295" t="n"/>
      <c r="AA363" s="295" t="n"/>
      <c r="AB363" s="293" t="n"/>
      <c r="AC363" s="295" t="n"/>
      <c r="AD363" s="295" t="n"/>
      <c r="AE363" s="294" t="n"/>
    </row>
    <row r="364">
      <c r="B364" s="279" t="n"/>
      <c r="C364" s="280" t="n"/>
      <c r="D364" s="295" t="n"/>
      <c r="E364" s="295" t="n"/>
      <c r="F364" s="295" t="n"/>
      <c r="G364" s="282" t="n"/>
      <c r="H364" s="295" t="n"/>
      <c r="I364" s="295" t="n"/>
      <c r="J364" s="282" t="n"/>
      <c r="K364" s="345" t="n"/>
      <c r="L364" s="295" t="n"/>
      <c r="M364" s="346" t="n"/>
      <c r="N364" s="295" t="n"/>
      <c r="O364" s="285" t="n"/>
      <c r="P364" s="295" t="n"/>
      <c r="Q364" s="295" t="n"/>
      <c r="R364" s="282" t="n"/>
      <c r="S364" s="295" t="n"/>
      <c r="T364" s="295" t="n"/>
      <c r="U364" s="285" t="n"/>
      <c r="V364" s="295" t="n"/>
      <c r="W364" s="282" t="n"/>
      <c r="X364" s="295" t="n"/>
      <c r="Y364" s="295" t="n"/>
      <c r="Z364" s="295" t="n"/>
      <c r="AA364" s="295" t="n"/>
      <c r="AB364" s="285" t="n"/>
      <c r="AC364" s="295" t="n"/>
      <c r="AD364" s="295" t="n"/>
      <c r="AE364" s="286" t="n"/>
    </row>
    <row r="365">
      <c r="B365" s="287" t="n"/>
      <c r="C365" s="288" t="n"/>
      <c r="D365" s="295" t="n"/>
      <c r="E365" s="295" t="n"/>
      <c r="F365" s="295" t="n"/>
      <c r="G365" s="290" t="n"/>
      <c r="H365" s="295" t="n"/>
      <c r="I365" s="295" t="n"/>
      <c r="J365" s="290" t="n"/>
      <c r="K365" s="347" t="n"/>
      <c r="L365" s="295" t="n"/>
      <c r="M365" s="348" t="n"/>
      <c r="N365" s="295" t="n"/>
      <c r="O365" s="293" t="n"/>
      <c r="P365" s="295" t="n"/>
      <c r="Q365" s="295" t="n"/>
      <c r="R365" s="290" t="n"/>
      <c r="S365" s="295" t="n"/>
      <c r="T365" s="295" t="n"/>
      <c r="U365" s="293" t="n"/>
      <c r="V365" s="295" t="n"/>
      <c r="W365" s="290" t="n"/>
      <c r="X365" s="295" t="n"/>
      <c r="Y365" s="295" t="n"/>
      <c r="Z365" s="295" t="n"/>
      <c r="AA365" s="295" t="n"/>
      <c r="AB365" s="293" t="n"/>
      <c r="AC365" s="295" t="n"/>
      <c r="AD365" s="295" t="n"/>
      <c r="AE365" s="294" t="n"/>
    </row>
    <row r="366">
      <c r="B366" s="279" t="n"/>
      <c r="C366" s="280" t="n"/>
      <c r="D366" s="295" t="n"/>
      <c r="E366" s="295" t="n"/>
      <c r="F366" s="295" t="n"/>
      <c r="G366" s="282" t="n"/>
      <c r="H366" s="295" t="n"/>
      <c r="I366" s="295" t="n"/>
      <c r="J366" s="282" t="n"/>
      <c r="K366" s="345" t="n"/>
      <c r="L366" s="295" t="n"/>
      <c r="M366" s="346" t="n"/>
      <c r="N366" s="295" t="n"/>
      <c r="O366" s="285" t="n"/>
      <c r="P366" s="295" t="n"/>
      <c r="Q366" s="295" t="n"/>
      <c r="R366" s="282" t="n"/>
      <c r="S366" s="295" t="n"/>
      <c r="T366" s="295" t="n"/>
      <c r="U366" s="285" t="n"/>
      <c r="V366" s="295" t="n"/>
      <c r="W366" s="282" t="n"/>
      <c r="X366" s="295" t="n"/>
      <c r="Y366" s="295" t="n"/>
      <c r="Z366" s="295" t="n"/>
      <c r="AA366" s="295" t="n"/>
      <c r="AB366" s="285" t="n"/>
      <c r="AC366" s="295" t="n"/>
      <c r="AD366" s="295" t="n"/>
      <c r="AE366" s="286" t="n"/>
    </row>
    <row r="367">
      <c r="B367" s="287" t="n"/>
      <c r="C367" s="288" t="n"/>
      <c r="D367" s="295" t="n"/>
      <c r="E367" s="295" t="n"/>
      <c r="F367" s="295" t="n"/>
      <c r="G367" s="290" t="n"/>
      <c r="H367" s="295" t="n"/>
      <c r="I367" s="295" t="n"/>
      <c r="J367" s="290" t="n"/>
      <c r="K367" s="347" t="n"/>
      <c r="L367" s="295" t="n"/>
      <c r="M367" s="348" t="n"/>
      <c r="N367" s="295" t="n"/>
      <c r="O367" s="293" t="n"/>
      <c r="P367" s="295" t="n"/>
      <c r="Q367" s="295" t="n"/>
      <c r="R367" s="290" t="n"/>
      <c r="S367" s="295" t="n"/>
      <c r="T367" s="295" t="n"/>
      <c r="U367" s="293" t="n"/>
      <c r="V367" s="295" t="n"/>
      <c r="W367" s="290" t="n"/>
      <c r="X367" s="295" t="n"/>
      <c r="Y367" s="295" t="n"/>
      <c r="Z367" s="295" t="n"/>
      <c r="AA367" s="295" t="n"/>
      <c r="AB367" s="293" t="n"/>
      <c r="AC367" s="295" t="n"/>
      <c r="AD367" s="295" t="n"/>
      <c r="AE367" s="294" t="n"/>
    </row>
    <row r="368">
      <c r="B368" s="279" t="n"/>
      <c r="C368" s="280" t="n"/>
      <c r="D368" s="295" t="n"/>
      <c r="E368" s="295" t="n"/>
      <c r="F368" s="295" t="n"/>
      <c r="G368" s="282" t="n"/>
      <c r="H368" s="295" t="n"/>
      <c r="I368" s="295" t="n"/>
      <c r="J368" s="282" t="n"/>
      <c r="K368" s="345" t="n"/>
      <c r="L368" s="295" t="n"/>
      <c r="M368" s="346" t="n"/>
      <c r="N368" s="295" t="n"/>
      <c r="O368" s="285" t="n"/>
      <c r="P368" s="295" t="n"/>
      <c r="Q368" s="295" t="n"/>
      <c r="R368" s="282" t="n"/>
      <c r="S368" s="295" t="n"/>
      <c r="T368" s="295" t="n"/>
      <c r="U368" s="285" t="n"/>
      <c r="V368" s="295" t="n"/>
      <c r="W368" s="282" t="n"/>
      <c r="X368" s="295" t="n"/>
      <c r="Y368" s="295" t="n"/>
      <c r="Z368" s="295" t="n"/>
      <c r="AA368" s="295" t="n"/>
      <c r="AB368" s="285" t="n"/>
      <c r="AC368" s="295" t="n"/>
      <c r="AD368" s="295" t="n"/>
      <c r="AE368" s="286" t="n"/>
    </row>
    <row r="369">
      <c r="B369" s="287" t="n"/>
      <c r="C369" s="288" t="n"/>
      <c r="D369" s="295" t="n"/>
      <c r="E369" s="295" t="n"/>
      <c r="F369" s="295" t="n"/>
      <c r="G369" s="290" t="n"/>
      <c r="H369" s="295" t="n"/>
      <c r="I369" s="295" t="n"/>
      <c r="J369" s="290" t="n"/>
      <c r="K369" s="347" t="n"/>
      <c r="L369" s="295" t="n"/>
      <c r="M369" s="348" t="n"/>
      <c r="N369" s="295" t="n"/>
      <c r="O369" s="293" t="n"/>
      <c r="P369" s="295" t="n"/>
      <c r="Q369" s="295" t="n"/>
      <c r="R369" s="290" t="n"/>
      <c r="S369" s="295" t="n"/>
      <c r="T369" s="295" t="n"/>
      <c r="U369" s="293" t="n"/>
      <c r="V369" s="295" t="n"/>
      <c r="W369" s="290" t="n"/>
      <c r="X369" s="295" t="n"/>
      <c r="Y369" s="295" t="n"/>
      <c r="Z369" s="295" t="n"/>
      <c r="AA369" s="295" t="n"/>
      <c r="AB369" s="293" t="n"/>
      <c r="AC369" s="295" t="n"/>
      <c r="AD369" s="295" t="n"/>
      <c r="AE369" s="294" t="n"/>
    </row>
    <row r="370">
      <c r="B370" s="279" t="n"/>
      <c r="C370" s="280" t="n"/>
      <c r="D370" s="295" t="n"/>
      <c r="E370" s="295" t="n"/>
      <c r="F370" s="295" t="n"/>
      <c r="G370" s="282" t="n"/>
      <c r="H370" s="295" t="n"/>
      <c r="I370" s="295" t="n"/>
      <c r="J370" s="282" t="n"/>
      <c r="K370" s="345" t="n"/>
      <c r="L370" s="295" t="n"/>
      <c r="M370" s="346" t="n"/>
      <c r="N370" s="295" t="n"/>
      <c r="O370" s="285" t="n"/>
      <c r="P370" s="295" t="n"/>
      <c r="Q370" s="295" t="n"/>
      <c r="R370" s="282" t="n"/>
      <c r="S370" s="295" t="n"/>
      <c r="T370" s="295" t="n"/>
      <c r="U370" s="285" t="n"/>
      <c r="V370" s="295" t="n"/>
      <c r="W370" s="282" t="n"/>
      <c r="X370" s="295" t="n"/>
      <c r="Y370" s="295" t="n"/>
      <c r="Z370" s="295" t="n"/>
      <c r="AA370" s="295" t="n"/>
      <c r="AB370" s="285" t="n"/>
      <c r="AC370" s="295" t="n"/>
      <c r="AD370" s="295" t="n"/>
      <c r="AE370" s="286" t="n"/>
    </row>
    <row r="371">
      <c r="B371" s="287" t="n"/>
      <c r="C371" s="288" t="n"/>
      <c r="D371" s="295" t="n"/>
      <c r="E371" s="295" t="n"/>
      <c r="F371" s="295" t="n"/>
      <c r="G371" s="290" t="n"/>
      <c r="H371" s="295" t="n"/>
      <c r="I371" s="295" t="n"/>
      <c r="J371" s="290" t="n"/>
      <c r="K371" s="347" t="n"/>
      <c r="L371" s="295" t="n"/>
      <c r="M371" s="348" t="n"/>
      <c r="N371" s="295" t="n"/>
      <c r="O371" s="293" t="n"/>
      <c r="P371" s="295" t="n"/>
      <c r="Q371" s="295" t="n"/>
      <c r="R371" s="290" t="n"/>
      <c r="S371" s="295" t="n"/>
      <c r="T371" s="295" t="n"/>
      <c r="U371" s="293" t="n"/>
      <c r="V371" s="295" t="n"/>
      <c r="W371" s="290" t="n"/>
      <c r="X371" s="295" t="n"/>
      <c r="Y371" s="295" t="n"/>
      <c r="Z371" s="295" t="n"/>
      <c r="AA371" s="295" t="n"/>
      <c r="AB371" s="293" t="n"/>
      <c r="AC371" s="295" t="n"/>
      <c r="AD371" s="295" t="n"/>
      <c r="AE371" s="294" t="n"/>
    </row>
    <row r="372">
      <c r="B372" s="279" t="n"/>
      <c r="C372" s="280" t="n"/>
      <c r="D372" s="295" t="n"/>
      <c r="E372" s="295" t="n"/>
      <c r="F372" s="295" t="n"/>
      <c r="G372" s="282" t="n"/>
      <c r="H372" s="295" t="n"/>
      <c r="I372" s="295" t="n"/>
      <c r="J372" s="282" t="n"/>
      <c r="K372" s="345" t="n"/>
      <c r="L372" s="295" t="n"/>
      <c r="M372" s="346" t="n"/>
      <c r="N372" s="295" t="n"/>
      <c r="O372" s="285" t="n"/>
      <c r="P372" s="295" t="n"/>
      <c r="Q372" s="295" t="n"/>
      <c r="R372" s="282" t="n"/>
      <c r="S372" s="295" t="n"/>
      <c r="T372" s="295" t="n"/>
      <c r="U372" s="285" t="n"/>
      <c r="V372" s="295" t="n"/>
      <c r="W372" s="282" t="n"/>
      <c r="X372" s="295" t="n"/>
      <c r="Y372" s="295" t="n"/>
      <c r="Z372" s="295" t="n"/>
      <c r="AA372" s="295" t="n"/>
      <c r="AB372" s="285" t="n"/>
      <c r="AC372" s="295" t="n"/>
      <c r="AD372" s="295" t="n"/>
      <c r="AE372" s="286" t="n"/>
    </row>
    <row r="373">
      <c r="B373" s="287" t="n"/>
      <c r="C373" s="288" t="n"/>
      <c r="D373" s="295" t="n"/>
      <c r="E373" s="295" t="n"/>
      <c r="F373" s="295" t="n"/>
      <c r="G373" s="290" t="n"/>
      <c r="H373" s="295" t="n"/>
      <c r="I373" s="295" t="n"/>
      <c r="J373" s="290" t="n"/>
      <c r="K373" s="347" t="n"/>
      <c r="L373" s="295" t="n"/>
      <c r="M373" s="348" t="n"/>
      <c r="N373" s="295" t="n"/>
      <c r="O373" s="293" t="n"/>
      <c r="P373" s="295" t="n"/>
      <c r="Q373" s="295" t="n"/>
      <c r="R373" s="290" t="n"/>
      <c r="S373" s="295" t="n"/>
      <c r="T373" s="295" t="n"/>
      <c r="U373" s="293" t="n"/>
      <c r="V373" s="295" t="n"/>
      <c r="W373" s="290" t="n"/>
      <c r="X373" s="295" t="n"/>
      <c r="Y373" s="295" t="n"/>
      <c r="Z373" s="295" t="n"/>
      <c r="AA373" s="295" t="n"/>
      <c r="AB373" s="293" t="n"/>
      <c r="AC373" s="295" t="n"/>
      <c r="AD373" s="295" t="n"/>
      <c r="AE373" s="294" t="n"/>
    </row>
    <row r="374">
      <c r="B374" s="279" t="n"/>
      <c r="C374" s="280" t="n"/>
      <c r="D374" s="295" t="n"/>
      <c r="E374" s="295" t="n"/>
      <c r="F374" s="295" t="n"/>
      <c r="G374" s="282" t="n"/>
      <c r="H374" s="295" t="n"/>
      <c r="I374" s="295" t="n"/>
      <c r="J374" s="282" t="n"/>
      <c r="K374" s="345" t="n"/>
      <c r="L374" s="295" t="n"/>
      <c r="M374" s="346" t="n"/>
      <c r="N374" s="295" t="n"/>
      <c r="O374" s="285" t="n"/>
      <c r="P374" s="295" t="n"/>
      <c r="Q374" s="295" t="n"/>
      <c r="R374" s="282" t="n"/>
      <c r="S374" s="295" t="n"/>
      <c r="T374" s="295" t="n"/>
      <c r="U374" s="285" t="n"/>
      <c r="V374" s="295" t="n"/>
      <c r="W374" s="282" t="n"/>
      <c r="X374" s="295" t="n"/>
      <c r="Y374" s="295" t="n"/>
      <c r="Z374" s="295" t="n"/>
      <c r="AA374" s="295" t="n"/>
      <c r="AB374" s="285" t="n"/>
      <c r="AC374" s="295" t="n"/>
      <c r="AD374" s="295" t="n"/>
      <c r="AE374" s="286" t="n"/>
    </row>
    <row r="375">
      <c r="B375" s="287" t="n"/>
      <c r="C375" s="288" t="n"/>
      <c r="D375" s="295" t="n"/>
      <c r="E375" s="295" t="n"/>
      <c r="F375" s="295" t="n"/>
      <c r="G375" s="290" t="n"/>
      <c r="H375" s="295" t="n"/>
      <c r="I375" s="295" t="n"/>
      <c r="J375" s="290" t="n"/>
      <c r="K375" s="347" t="n"/>
      <c r="L375" s="295" t="n"/>
      <c r="M375" s="348" t="n"/>
      <c r="N375" s="295" t="n"/>
      <c r="O375" s="293" t="n"/>
      <c r="P375" s="295" t="n"/>
      <c r="Q375" s="295" t="n"/>
      <c r="R375" s="290" t="n"/>
      <c r="S375" s="295" t="n"/>
      <c r="T375" s="295" t="n"/>
      <c r="U375" s="293" t="n"/>
      <c r="V375" s="295" t="n"/>
      <c r="W375" s="290" t="n"/>
      <c r="X375" s="295" t="n"/>
      <c r="Y375" s="295" t="n"/>
      <c r="Z375" s="295" t="n"/>
      <c r="AA375" s="295" t="n"/>
      <c r="AB375" s="293" t="n"/>
      <c r="AC375" s="295" t="n"/>
      <c r="AD375" s="295" t="n"/>
      <c r="AE375" s="294" t="n"/>
    </row>
    <row r="376">
      <c r="B376" s="279" t="n"/>
      <c r="C376" s="280" t="n"/>
      <c r="D376" s="295" t="n"/>
      <c r="E376" s="295" t="n"/>
      <c r="F376" s="295" t="n"/>
      <c r="G376" s="282" t="n"/>
      <c r="H376" s="295" t="n"/>
      <c r="I376" s="295" t="n"/>
      <c r="J376" s="282" t="n"/>
      <c r="K376" s="345" t="n"/>
      <c r="L376" s="295" t="n"/>
      <c r="M376" s="346" t="n"/>
      <c r="N376" s="295" t="n"/>
      <c r="O376" s="285" t="n"/>
      <c r="P376" s="295" t="n"/>
      <c r="Q376" s="295" t="n"/>
      <c r="R376" s="282" t="n"/>
      <c r="S376" s="295" t="n"/>
      <c r="T376" s="295" t="n"/>
      <c r="U376" s="285" t="n"/>
      <c r="V376" s="295" t="n"/>
      <c r="W376" s="282" t="n"/>
      <c r="X376" s="295" t="n"/>
      <c r="Y376" s="295" t="n"/>
      <c r="Z376" s="295" t="n"/>
      <c r="AA376" s="295" t="n"/>
      <c r="AB376" s="285" t="n"/>
      <c r="AC376" s="295" t="n"/>
      <c r="AD376" s="295" t="n"/>
      <c r="AE376" s="286" t="n"/>
    </row>
    <row r="377">
      <c r="B377" s="287" t="n"/>
      <c r="C377" s="288" t="n"/>
      <c r="D377" s="295" t="n"/>
      <c r="E377" s="295" t="n"/>
      <c r="F377" s="295" t="n"/>
      <c r="G377" s="290" t="n"/>
      <c r="H377" s="295" t="n"/>
      <c r="I377" s="295" t="n"/>
      <c r="J377" s="290" t="n"/>
      <c r="K377" s="347" t="n"/>
      <c r="L377" s="295" t="n"/>
      <c r="M377" s="348" t="n"/>
      <c r="N377" s="295" t="n"/>
      <c r="O377" s="293" t="n"/>
      <c r="P377" s="295" t="n"/>
      <c r="Q377" s="295" t="n"/>
      <c r="R377" s="290" t="n"/>
      <c r="S377" s="295" t="n"/>
      <c r="T377" s="295" t="n"/>
      <c r="U377" s="293" t="n"/>
      <c r="V377" s="295" t="n"/>
      <c r="W377" s="290" t="n"/>
      <c r="X377" s="295" t="n"/>
      <c r="Y377" s="295" t="n"/>
      <c r="Z377" s="295" t="n"/>
      <c r="AA377" s="295" t="n"/>
      <c r="AB377" s="293" t="n"/>
      <c r="AC377" s="295" t="n"/>
      <c r="AD377" s="295" t="n"/>
      <c r="AE377" s="294" t="n"/>
    </row>
    <row r="378">
      <c r="B378" s="279" t="n"/>
      <c r="C378" s="280" t="n"/>
      <c r="D378" s="295" t="n"/>
      <c r="E378" s="295" t="n"/>
      <c r="F378" s="295" t="n"/>
      <c r="G378" s="282" t="n"/>
      <c r="H378" s="295" t="n"/>
      <c r="I378" s="295" t="n"/>
      <c r="J378" s="282" t="n"/>
      <c r="K378" s="345" t="n"/>
      <c r="L378" s="295" t="n"/>
      <c r="M378" s="346" t="n"/>
      <c r="N378" s="295" t="n"/>
      <c r="O378" s="285" t="n"/>
      <c r="P378" s="295" t="n"/>
      <c r="Q378" s="295" t="n"/>
      <c r="R378" s="282" t="n"/>
      <c r="S378" s="295" t="n"/>
      <c r="T378" s="295" t="n"/>
      <c r="U378" s="285" t="n"/>
      <c r="V378" s="295" t="n"/>
      <c r="W378" s="282" t="n"/>
      <c r="X378" s="295" t="n"/>
      <c r="Y378" s="295" t="n"/>
      <c r="Z378" s="295" t="n"/>
      <c r="AA378" s="295" t="n"/>
      <c r="AB378" s="285" t="n"/>
      <c r="AC378" s="295" t="n"/>
      <c r="AD378" s="295" t="n"/>
      <c r="AE378" s="286" t="n"/>
    </row>
    <row r="379">
      <c r="B379" s="287" t="n"/>
      <c r="C379" s="288" t="n"/>
      <c r="D379" s="295" t="n"/>
      <c r="E379" s="295" t="n"/>
      <c r="F379" s="295" t="n"/>
      <c r="G379" s="290" t="n"/>
      <c r="H379" s="295" t="n"/>
      <c r="I379" s="295" t="n"/>
      <c r="J379" s="290" t="n"/>
      <c r="K379" s="347" t="n"/>
      <c r="L379" s="295" t="n"/>
      <c r="M379" s="348" t="n"/>
      <c r="N379" s="295" t="n"/>
      <c r="O379" s="293" t="n"/>
      <c r="P379" s="295" t="n"/>
      <c r="Q379" s="295" t="n"/>
      <c r="R379" s="290" t="n"/>
      <c r="S379" s="295" t="n"/>
      <c r="T379" s="295" t="n"/>
      <c r="U379" s="293" t="n"/>
      <c r="V379" s="295" t="n"/>
      <c r="W379" s="290" t="n"/>
      <c r="X379" s="295" t="n"/>
      <c r="Y379" s="295" t="n"/>
      <c r="Z379" s="295" t="n"/>
      <c r="AA379" s="295" t="n"/>
      <c r="AB379" s="293" t="n"/>
      <c r="AC379" s="295" t="n"/>
      <c r="AD379" s="295" t="n"/>
      <c r="AE379" s="294" t="n"/>
    </row>
    <row r="380">
      <c r="B380" s="279" t="n"/>
      <c r="C380" s="280" t="n"/>
      <c r="D380" s="295" t="n"/>
      <c r="E380" s="295" t="n"/>
      <c r="F380" s="295" t="n"/>
      <c r="G380" s="282" t="n"/>
      <c r="H380" s="295" t="n"/>
      <c r="I380" s="295" t="n"/>
      <c r="J380" s="282" t="n"/>
      <c r="K380" s="345" t="n"/>
      <c r="L380" s="295" t="n"/>
      <c r="M380" s="346" t="n"/>
      <c r="N380" s="295" t="n"/>
      <c r="O380" s="285" t="n"/>
      <c r="P380" s="295" t="n"/>
      <c r="Q380" s="295" t="n"/>
      <c r="R380" s="282" t="n"/>
      <c r="S380" s="295" t="n"/>
      <c r="T380" s="295" t="n"/>
      <c r="U380" s="285" t="n"/>
      <c r="V380" s="295" t="n"/>
      <c r="W380" s="282" t="n"/>
      <c r="X380" s="295" t="n"/>
      <c r="Y380" s="295" t="n"/>
      <c r="Z380" s="295" t="n"/>
      <c r="AA380" s="295" t="n"/>
      <c r="AB380" s="285" t="n"/>
      <c r="AC380" s="295" t="n"/>
      <c r="AD380" s="295" t="n"/>
      <c r="AE380" s="286" t="n"/>
    </row>
    <row r="381">
      <c r="B381" s="287" t="n"/>
      <c r="C381" s="288" t="n"/>
      <c r="D381" s="295" t="n"/>
      <c r="E381" s="295" t="n"/>
      <c r="F381" s="295" t="n"/>
      <c r="G381" s="290" t="n"/>
      <c r="H381" s="295" t="n"/>
      <c r="I381" s="295" t="n"/>
      <c r="J381" s="290" t="n"/>
      <c r="K381" s="347" t="n"/>
      <c r="L381" s="295" t="n"/>
      <c r="M381" s="348" t="n"/>
      <c r="N381" s="295" t="n"/>
      <c r="O381" s="293" t="n"/>
      <c r="P381" s="295" t="n"/>
      <c r="Q381" s="295" t="n"/>
      <c r="R381" s="290" t="n"/>
      <c r="S381" s="295" t="n"/>
      <c r="T381" s="295" t="n"/>
      <c r="U381" s="293" t="n"/>
      <c r="V381" s="295" t="n"/>
      <c r="W381" s="290" t="n"/>
      <c r="X381" s="295" t="n"/>
      <c r="Y381" s="295" t="n"/>
      <c r="Z381" s="295" t="n"/>
      <c r="AA381" s="295" t="n"/>
      <c r="AB381" s="293" t="n"/>
      <c r="AC381" s="295" t="n"/>
      <c r="AD381" s="295" t="n"/>
      <c r="AE381" s="294" t="n"/>
    </row>
    <row r="382">
      <c r="B382" s="279" t="n"/>
      <c r="C382" s="280" t="n"/>
      <c r="D382" s="295" t="n"/>
      <c r="E382" s="295" t="n"/>
      <c r="F382" s="295" t="n"/>
      <c r="G382" s="282" t="n"/>
      <c r="H382" s="295" t="n"/>
      <c r="I382" s="295" t="n"/>
      <c r="J382" s="282" t="n"/>
      <c r="K382" s="345" t="n"/>
      <c r="L382" s="295" t="n"/>
      <c r="M382" s="346" t="n"/>
      <c r="N382" s="295" t="n"/>
      <c r="O382" s="285" t="n"/>
      <c r="P382" s="295" t="n"/>
      <c r="Q382" s="295" t="n"/>
      <c r="R382" s="282" t="n"/>
      <c r="S382" s="295" t="n"/>
      <c r="T382" s="295" t="n"/>
      <c r="U382" s="285" t="n"/>
      <c r="V382" s="295" t="n"/>
      <c r="W382" s="282" t="n"/>
      <c r="X382" s="295" t="n"/>
      <c r="Y382" s="295" t="n"/>
      <c r="Z382" s="295" t="n"/>
      <c r="AA382" s="295" t="n"/>
      <c r="AB382" s="285" t="n"/>
      <c r="AC382" s="295" t="n"/>
      <c r="AD382" s="295" t="n"/>
      <c r="AE382" s="286" t="n"/>
    </row>
    <row r="383">
      <c r="B383" s="287" t="n"/>
      <c r="C383" s="288" t="n"/>
      <c r="D383" s="295" t="n"/>
      <c r="E383" s="295" t="n"/>
      <c r="F383" s="295" t="n"/>
      <c r="G383" s="290" t="n"/>
      <c r="H383" s="295" t="n"/>
      <c r="I383" s="295" t="n"/>
      <c r="J383" s="290" t="n"/>
      <c r="K383" s="347" t="n"/>
      <c r="L383" s="295" t="n"/>
      <c r="M383" s="348" t="n"/>
      <c r="N383" s="295" t="n"/>
      <c r="O383" s="293" t="n"/>
      <c r="P383" s="295" t="n"/>
      <c r="Q383" s="295" t="n"/>
      <c r="R383" s="290" t="n"/>
      <c r="S383" s="295" t="n"/>
      <c r="T383" s="295" t="n"/>
      <c r="U383" s="293" t="n"/>
      <c r="V383" s="295" t="n"/>
      <c r="W383" s="290" t="n"/>
      <c r="X383" s="295" t="n"/>
      <c r="Y383" s="295" t="n"/>
      <c r="Z383" s="295" t="n"/>
      <c r="AA383" s="295" t="n"/>
      <c r="AB383" s="293" t="n"/>
      <c r="AC383" s="295" t="n"/>
      <c r="AD383" s="295" t="n"/>
      <c r="AE383" s="294" t="n"/>
    </row>
    <row r="384">
      <c r="B384" s="279" t="n"/>
      <c r="C384" s="280" t="n"/>
      <c r="D384" s="295" t="n"/>
      <c r="E384" s="295" t="n"/>
      <c r="F384" s="295" t="n"/>
      <c r="G384" s="282" t="n"/>
      <c r="H384" s="295" t="n"/>
      <c r="I384" s="295" t="n"/>
      <c r="J384" s="282" t="n"/>
      <c r="K384" s="345" t="n"/>
      <c r="L384" s="295" t="n"/>
      <c r="M384" s="346" t="n"/>
      <c r="N384" s="295" t="n"/>
      <c r="O384" s="285" t="n"/>
      <c r="P384" s="295" t="n"/>
      <c r="Q384" s="295" t="n"/>
      <c r="R384" s="282" t="n"/>
      <c r="S384" s="295" t="n"/>
      <c r="T384" s="295" t="n"/>
      <c r="U384" s="285" t="n"/>
      <c r="V384" s="295" t="n"/>
      <c r="W384" s="282" t="n"/>
      <c r="X384" s="295" t="n"/>
      <c r="Y384" s="295" t="n"/>
      <c r="Z384" s="295" t="n"/>
      <c r="AA384" s="295" t="n"/>
      <c r="AB384" s="285" t="n"/>
      <c r="AC384" s="295" t="n"/>
      <c r="AD384" s="295" t="n"/>
      <c r="AE384" s="286" t="n"/>
    </row>
    <row r="385">
      <c r="B385" s="287" t="n"/>
      <c r="C385" s="288" t="n"/>
      <c r="D385" s="295" t="n"/>
      <c r="E385" s="295" t="n"/>
      <c r="F385" s="295" t="n"/>
      <c r="G385" s="290" t="n"/>
      <c r="H385" s="295" t="n"/>
      <c r="I385" s="295" t="n"/>
      <c r="J385" s="290" t="n"/>
      <c r="K385" s="347" t="n"/>
      <c r="L385" s="295" t="n"/>
      <c r="M385" s="348" t="n"/>
      <c r="N385" s="295" t="n"/>
      <c r="O385" s="293" t="n"/>
      <c r="P385" s="295" t="n"/>
      <c r="Q385" s="295" t="n"/>
      <c r="R385" s="290" t="n"/>
      <c r="S385" s="295" t="n"/>
      <c r="T385" s="295" t="n"/>
      <c r="U385" s="293" t="n"/>
      <c r="V385" s="295" t="n"/>
      <c r="W385" s="290" t="n"/>
      <c r="X385" s="295" t="n"/>
      <c r="Y385" s="295" t="n"/>
      <c r="Z385" s="295" t="n"/>
      <c r="AA385" s="295" t="n"/>
      <c r="AB385" s="293" t="n"/>
      <c r="AC385" s="295" t="n"/>
      <c r="AD385" s="295" t="n"/>
      <c r="AE385" s="294" t="n"/>
    </row>
    <row r="386">
      <c r="B386" s="279" t="n"/>
      <c r="C386" s="280" t="n"/>
      <c r="D386" s="295" t="n"/>
      <c r="E386" s="295" t="n"/>
      <c r="F386" s="295" t="n"/>
      <c r="G386" s="282" t="n"/>
      <c r="H386" s="295" t="n"/>
      <c r="I386" s="295" t="n"/>
      <c r="J386" s="282" t="n"/>
      <c r="K386" s="345" t="n"/>
      <c r="L386" s="295" t="n"/>
      <c r="M386" s="346" t="n"/>
      <c r="N386" s="295" t="n"/>
      <c r="O386" s="285" t="n"/>
      <c r="P386" s="295" t="n"/>
      <c r="Q386" s="295" t="n"/>
      <c r="R386" s="282" t="n"/>
      <c r="S386" s="295" t="n"/>
      <c r="T386" s="295" t="n"/>
      <c r="U386" s="285" t="n"/>
      <c r="V386" s="295" t="n"/>
      <c r="W386" s="282" t="n"/>
      <c r="X386" s="295" t="n"/>
      <c r="Y386" s="295" t="n"/>
      <c r="Z386" s="295" t="n"/>
      <c r="AA386" s="295" t="n"/>
      <c r="AB386" s="285" t="n"/>
      <c r="AC386" s="295" t="n"/>
      <c r="AD386" s="295" t="n"/>
      <c r="AE386" s="286" t="n"/>
    </row>
    <row r="387">
      <c r="B387" s="287" t="n"/>
      <c r="C387" s="288" t="n"/>
      <c r="D387" s="295" t="n"/>
      <c r="E387" s="295" t="n"/>
      <c r="F387" s="295" t="n"/>
      <c r="G387" s="290" t="n"/>
      <c r="H387" s="295" t="n"/>
      <c r="I387" s="295" t="n"/>
      <c r="J387" s="290" t="n"/>
      <c r="K387" s="347" t="n"/>
      <c r="L387" s="295" t="n"/>
      <c r="M387" s="348" t="n"/>
      <c r="N387" s="295" t="n"/>
      <c r="O387" s="293" t="n"/>
      <c r="P387" s="295" t="n"/>
      <c r="Q387" s="295" t="n"/>
      <c r="R387" s="290" t="n"/>
      <c r="S387" s="295" t="n"/>
      <c r="T387" s="295" t="n"/>
      <c r="U387" s="293" t="n"/>
      <c r="V387" s="295" t="n"/>
      <c r="W387" s="290" t="n"/>
      <c r="X387" s="295" t="n"/>
      <c r="Y387" s="295" t="n"/>
      <c r="Z387" s="295" t="n"/>
      <c r="AA387" s="295" t="n"/>
      <c r="AB387" s="293" t="n"/>
      <c r="AC387" s="295" t="n"/>
      <c r="AD387" s="295" t="n"/>
      <c r="AE387" s="294" t="n"/>
    </row>
    <row r="388">
      <c r="B388" s="279" t="n"/>
      <c r="C388" s="280" t="n"/>
      <c r="D388" s="295" t="n"/>
      <c r="E388" s="295" t="n"/>
      <c r="F388" s="295" t="n"/>
      <c r="G388" s="282" t="n"/>
      <c r="H388" s="295" t="n"/>
      <c r="I388" s="295" t="n"/>
      <c r="J388" s="282" t="n"/>
      <c r="K388" s="345" t="n"/>
      <c r="L388" s="295" t="n"/>
      <c r="M388" s="346" t="n"/>
      <c r="N388" s="295" t="n"/>
      <c r="O388" s="285" t="n"/>
      <c r="P388" s="295" t="n"/>
      <c r="Q388" s="295" t="n"/>
      <c r="R388" s="282" t="n"/>
      <c r="S388" s="295" t="n"/>
      <c r="T388" s="295" t="n"/>
      <c r="U388" s="285" t="n"/>
      <c r="V388" s="295" t="n"/>
      <c r="W388" s="282" t="n"/>
      <c r="X388" s="295" t="n"/>
      <c r="Y388" s="295" t="n"/>
      <c r="Z388" s="295" t="n"/>
      <c r="AA388" s="295" t="n"/>
      <c r="AB388" s="285" t="n"/>
      <c r="AC388" s="295" t="n"/>
      <c r="AD388" s="295" t="n"/>
      <c r="AE388" s="286" t="n"/>
    </row>
    <row r="389">
      <c r="B389" s="287" t="n"/>
      <c r="C389" s="288" t="n"/>
      <c r="D389" s="295" t="n"/>
      <c r="E389" s="295" t="n"/>
      <c r="F389" s="295" t="n"/>
      <c r="G389" s="290" t="n"/>
      <c r="H389" s="295" t="n"/>
      <c r="I389" s="295" t="n"/>
      <c r="J389" s="290" t="n"/>
      <c r="K389" s="347" t="n"/>
      <c r="L389" s="295" t="n"/>
      <c r="M389" s="348" t="n"/>
      <c r="N389" s="295" t="n"/>
      <c r="O389" s="293" t="n"/>
      <c r="P389" s="295" t="n"/>
      <c r="Q389" s="295" t="n"/>
      <c r="R389" s="290" t="n"/>
      <c r="S389" s="295" t="n"/>
      <c r="T389" s="295" t="n"/>
      <c r="U389" s="293" t="n"/>
      <c r="V389" s="295" t="n"/>
      <c r="W389" s="290" t="n"/>
      <c r="X389" s="295" t="n"/>
      <c r="Y389" s="295" t="n"/>
      <c r="Z389" s="295" t="n"/>
      <c r="AA389" s="295" t="n"/>
      <c r="AB389" s="293" t="n"/>
      <c r="AC389" s="295" t="n"/>
      <c r="AD389" s="295" t="n"/>
      <c r="AE389" s="294" t="n"/>
    </row>
    <row r="390">
      <c r="B390" s="279" t="n"/>
      <c r="C390" s="280" t="n"/>
      <c r="D390" s="295" t="n"/>
      <c r="E390" s="295" t="n"/>
      <c r="F390" s="295" t="n"/>
      <c r="G390" s="282" t="n"/>
      <c r="H390" s="295" t="n"/>
      <c r="I390" s="295" t="n"/>
      <c r="J390" s="282" t="n"/>
      <c r="K390" s="345" t="n"/>
      <c r="L390" s="295" t="n"/>
      <c r="M390" s="346" t="n"/>
      <c r="N390" s="295" t="n"/>
      <c r="O390" s="285" t="n"/>
      <c r="P390" s="295" t="n"/>
      <c r="Q390" s="295" t="n"/>
      <c r="R390" s="282" t="n"/>
      <c r="S390" s="295" t="n"/>
      <c r="T390" s="295" t="n"/>
      <c r="U390" s="285" t="n"/>
      <c r="V390" s="295" t="n"/>
      <c r="W390" s="282" t="n"/>
      <c r="X390" s="295" t="n"/>
      <c r="Y390" s="295" t="n"/>
      <c r="Z390" s="295" t="n"/>
      <c r="AA390" s="295" t="n"/>
      <c r="AB390" s="285" t="n"/>
      <c r="AC390" s="295" t="n"/>
      <c r="AD390" s="295" t="n"/>
      <c r="AE390" s="286" t="n"/>
    </row>
    <row r="391">
      <c r="B391" s="287" t="n"/>
      <c r="C391" s="288" t="n"/>
      <c r="D391" s="295" t="n"/>
      <c r="E391" s="295" t="n"/>
      <c r="F391" s="295" t="n"/>
      <c r="G391" s="290" t="n"/>
      <c r="H391" s="295" t="n"/>
      <c r="I391" s="295" t="n"/>
      <c r="J391" s="290" t="n"/>
      <c r="K391" s="347" t="n"/>
      <c r="L391" s="295" t="n"/>
      <c r="M391" s="348" t="n"/>
      <c r="N391" s="295" t="n"/>
      <c r="O391" s="293" t="n"/>
      <c r="P391" s="295" t="n"/>
      <c r="Q391" s="295" t="n"/>
      <c r="R391" s="290" t="n"/>
      <c r="S391" s="295" t="n"/>
      <c r="T391" s="295" t="n"/>
      <c r="U391" s="293" t="n"/>
      <c r="V391" s="295" t="n"/>
      <c r="W391" s="290" t="n"/>
      <c r="X391" s="295" t="n"/>
      <c r="Y391" s="295" t="n"/>
      <c r="Z391" s="295" t="n"/>
      <c r="AA391" s="295" t="n"/>
      <c r="AB391" s="293" t="n"/>
      <c r="AC391" s="295" t="n"/>
      <c r="AD391" s="295" t="n"/>
      <c r="AE391" s="294" t="n"/>
    </row>
    <row r="392">
      <c r="B392" s="279" t="n"/>
      <c r="C392" s="280" t="n"/>
      <c r="D392" s="295" t="n"/>
      <c r="E392" s="295" t="n"/>
      <c r="F392" s="295" t="n"/>
      <c r="G392" s="282" t="n"/>
      <c r="H392" s="295" t="n"/>
      <c r="I392" s="295" t="n"/>
      <c r="J392" s="282" t="n"/>
      <c r="K392" s="345" t="n"/>
      <c r="L392" s="295" t="n"/>
      <c r="M392" s="346" t="n"/>
      <c r="N392" s="295" t="n"/>
      <c r="O392" s="285" t="n"/>
      <c r="P392" s="295" t="n"/>
      <c r="Q392" s="295" t="n"/>
      <c r="R392" s="282" t="n"/>
      <c r="S392" s="295" t="n"/>
      <c r="T392" s="295" t="n"/>
      <c r="U392" s="285" t="n"/>
      <c r="V392" s="295" t="n"/>
      <c r="W392" s="282" t="n"/>
      <c r="X392" s="295" t="n"/>
      <c r="Y392" s="295" t="n"/>
      <c r="Z392" s="295" t="n"/>
      <c r="AA392" s="295" t="n"/>
      <c r="AB392" s="285" t="n"/>
      <c r="AC392" s="295" t="n"/>
      <c r="AD392" s="295" t="n"/>
      <c r="AE392" s="286" t="n"/>
    </row>
    <row r="393">
      <c r="B393" s="287" t="n"/>
      <c r="C393" s="288" t="n"/>
      <c r="D393" s="295" t="n"/>
      <c r="E393" s="295" t="n"/>
      <c r="F393" s="295" t="n"/>
      <c r="G393" s="290" t="n"/>
      <c r="H393" s="295" t="n"/>
      <c r="I393" s="295" t="n"/>
      <c r="J393" s="290" t="n"/>
      <c r="K393" s="347" t="n"/>
      <c r="L393" s="295" t="n"/>
      <c r="M393" s="348" t="n"/>
      <c r="N393" s="295" t="n"/>
      <c r="O393" s="293" t="n"/>
      <c r="P393" s="295" t="n"/>
      <c r="Q393" s="295" t="n"/>
      <c r="R393" s="290" t="n"/>
      <c r="S393" s="295" t="n"/>
      <c r="T393" s="295" t="n"/>
      <c r="U393" s="293" t="n"/>
      <c r="V393" s="295" t="n"/>
      <c r="W393" s="290" t="n"/>
      <c r="X393" s="295" t="n"/>
      <c r="Y393" s="295" t="n"/>
      <c r="Z393" s="295" t="n"/>
      <c r="AA393" s="295" t="n"/>
      <c r="AB393" s="293" t="n"/>
      <c r="AC393" s="295" t="n"/>
      <c r="AD393" s="295" t="n"/>
      <c r="AE393" s="294" t="n"/>
    </row>
    <row r="394">
      <c r="B394" s="279" t="n"/>
      <c r="C394" s="280" t="n"/>
      <c r="D394" s="295" t="n"/>
      <c r="E394" s="295" t="n"/>
      <c r="F394" s="295" t="n"/>
      <c r="G394" s="282" t="n"/>
      <c r="H394" s="295" t="n"/>
      <c r="I394" s="295" t="n"/>
      <c r="J394" s="282" t="n"/>
      <c r="K394" s="345" t="n"/>
      <c r="L394" s="295" t="n"/>
      <c r="M394" s="346" t="n"/>
      <c r="N394" s="295" t="n"/>
      <c r="O394" s="285" t="n"/>
      <c r="P394" s="295" t="n"/>
      <c r="Q394" s="295" t="n"/>
      <c r="R394" s="282" t="n"/>
      <c r="S394" s="295" t="n"/>
      <c r="T394" s="295" t="n"/>
      <c r="U394" s="285" t="n"/>
      <c r="V394" s="295" t="n"/>
      <c r="W394" s="282" t="n"/>
      <c r="X394" s="295" t="n"/>
      <c r="Y394" s="295" t="n"/>
      <c r="Z394" s="295" t="n"/>
      <c r="AA394" s="295" t="n"/>
      <c r="AB394" s="285" t="n"/>
      <c r="AC394" s="295" t="n"/>
      <c r="AD394" s="295" t="n"/>
      <c r="AE394" s="286" t="n"/>
    </row>
    <row r="395">
      <c r="B395" s="287" t="n"/>
      <c r="C395" s="288" t="n"/>
      <c r="D395" s="295" t="n"/>
      <c r="E395" s="295" t="n"/>
      <c r="F395" s="295" t="n"/>
      <c r="G395" s="290" t="n"/>
      <c r="H395" s="295" t="n"/>
      <c r="I395" s="295" t="n"/>
      <c r="J395" s="290" t="n"/>
      <c r="K395" s="347" t="n"/>
      <c r="L395" s="295" t="n"/>
      <c r="M395" s="348" t="n"/>
      <c r="N395" s="295" t="n"/>
      <c r="O395" s="293" t="n"/>
      <c r="P395" s="295" t="n"/>
      <c r="Q395" s="295" t="n"/>
      <c r="R395" s="290" t="n"/>
      <c r="S395" s="295" t="n"/>
      <c r="T395" s="295" t="n"/>
      <c r="U395" s="293" t="n"/>
      <c r="V395" s="295" t="n"/>
      <c r="W395" s="290" t="n"/>
      <c r="X395" s="295" t="n"/>
      <c r="Y395" s="295" t="n"/>
      <c r="Z395" s="295" t="n"/>
      <c r="AA395" s="295" t="n"/>
      <c r="AB395" s="293" t="n"/>
      <c r="AC395" s="295" t="n"/>
      <c r="AD395" s="295" t="n"/>
      <c r="AE395" s="294" t="n"/>
    </row>
    <row r="396">
      <c r="B396" s="279" t="n"/>
      <c r="C396" s="280" t="n"/>
      <c r="D396" s="295" t="n"/>
      <c r="E396" s="295" t="n"/>
      <c r="F396" s="295" t="n"/>
      <c r="G396" s="282" t="n"/>
      <c r="H396" s="295" t="n"/>
      <c r="I396" s="295" t="n"/>
      <c r="J396" s="282" t="n"/>
      <c r="K396" s="345" t="n"/>
      <c r="L396" s="295" t="n"/>
      <c r="M396" s="346" t="n"/>
      <c r="N396" s="295" t="n"/>
      <c r="O396" s="285" t="n"/>
      <c r="P396" s="295" t="n"/>
      <c r="Q396" s="295" t="n"/>
      <c r="R396" s="282" t="n"/>
      <c r="S396" s="295" t="n"/>
      <c r="T396" s="295" t="n"/>
      <c r="U396" s="285" t="n"/>
      <c r="V396" s="295" t="n"/>
      <c r="W396" s="282" t="n"/>
      <c r="X396" s="295" t="n"/>
      <c r="Y396" s="295" t="n"/>
      <c r="Z396" s="295" t="n"/>
      <c r="AA396" s="295" t="n"/>
      <c r="AB396" s="285" t="n"/>
      <c r="AC396" s="295" t="n"/>
      <c r="AD396" s="295" t="n"/>
      <c r="AE396" s="286" t="n"/>
    </row>
    <row r="397">
      <c r="B397" s="287" t="n"/>
      <c r="C397" s="288" t="n"/>
      <c r="D397" s="295" t="n"/>
      <c r="E397" s="295" t="n"/>
      <c r="F397" s="295" t="n"/>
      <c r="G397" s="290" t="n"/>
      <c r="H397" s="295" t="n"/>
      <c r="I397" s="295" t="n"/>
      <c r="J397" s="290" t="n"/>
      <c r="K397" s="347" t="n"/>
      <c r="L397" s="295" t="n"/>
      <c r="M397" s="348" t="n"/>
      <c r="N397" s="295" t="n"/>
      <c r="O397" s="293" t="n"/>
      <c r="P397" s="295" t="n"/>
      <c r="Q397" s="295" t="n"/>
      <c r="R397" s="290" t="n"/>
      <c r="S397" s="295" t="n"/>
      <c r="T397" s="295" t="n"/>
      <c r="U397" s="293" t="n"/>
      <c r="V397" s="295" t="n"/>
      <c r="W397" s="290" t="n"/>
      <c r="X397" s="295" t="n"/>
      <c r="Y397" s="295" t="n"/>
      <c r="Z397" s="295" t="n"/>
      <c r="AA397" s="295" t="n"/>
      <c r="AB397" s="293" t="n"/>
      <c r="AC397" s="295" t="n"/>
      <c r="AD397" s="295" t="n"/>
      <c r="AE397" s="294" t="n"/>
    </row>
    <row r="398">
      <c r="B398" s="279" t="n"/>
      <c r="C398" s="280" t="n"/>
      <c r="D398" s="295" t="n"/>
      <c r="E398" s="295" t="n"/>
      <c r="F398" s="295" t="n"/>
      <c r="G398" s="282" t="n"/>
      <c r="H398" s="295" t="n"/>
      <c r="I398" s="295" t="n"/>
      <c r="J398" s="282" t="n"/>
      <c r="K398" s="345" t="n"/>
      <c r="L398" s="295" t="n"/>
      <c r="M398" s="346" t="n"/>
      <c r="N398" s="295" t="n"/>
      <c r="O398" s="285" t="n"/>
      <c r="P398" s="295" t="n"/>
      <c r="Q398" s="295" t="n"/>
      <c r="R398" s="282" t="n"/>
      <c r="S398" s="295" t="n"/>
      <c r="T398" s="295" t="n"/>
      <c r="U398" s="285" t="n"/>
      <c r="V398" s="295" t="n"/>
      <c r="W398" s="282" t="n"/>
      <c r="X398" s="295" t="n"/>
      <c r="Y398" s="295" t="n"/>
      <c r="Z398" s="295" t="n"/>
      <c r="AA398" s="295" t="n"/>
      <c r="AB398" s="285" t="n"/>
      <c r="AC398" s="295" t="n"/>
      <c r="AD398" s="295" t="n"/>
      <c r="AE398" s="286" t="n"/>
    </row>
    <row r="399">
      <c r="B399" s="287" t="n"/>
      <c r="C399" s="288" t="n"/>
      <c r="D399" s="295" t="n"/>
      <c r="E399" s="295" t="n"/>
      <c r="F399" s="295" t="n"/>
      <c r="G399" s="290" t="n"/>
      <c r="H399" s="295" t="n"/>
      <c r="I399" s="295" t="n"/>
      <c r="J399" s="290" t="n"/>
      <c r="K399" s="347" t="n"/>
      <c r="L399" s="295" t="n"/>
      <c r="M399" s="348" t="n"/>
      <c r="N399" s="295" t="n"/>
      <c r="O399" s="293" t="n"/>
      <c r="P399" s="295" t="n"/>
      <c r="Q399" s="295" t="n"/>
      <c r="R399" s="290" t="n"/>
      <c r="S399" s="295" t="n"/>
      <c r="T399" s="295" t="n"/>
      <c r="U399" s="293" t="n"/>
      <c r="V399" s="295" t="n"/>
      <c r="W399" s="290" t="n"/>
      <c r="X399" s="295" t="n"/>
      <c r="Y399" s="295" t="n"/>
      <c r="Z399" s="295" t="n"/>
      <c r="AA399" s="295" t="n"/>
      <c r="AB399" s="293" t="n"/>
      <c r="AC399" s="295" t="n"/>
      <c r="AD399" s="295" t="n"/>
      <c r="AE399" s="294" t="n"/>
    </row>
    <row r="400">
      <c r="B400" s="279" t="n"/>
      <c r="C400" s="280" t="n"/>
      <c r="D400" s="295" t="n"/>
      <c r="E400" s="295" t="n"/>
      <c r="F400" s="295" t="n"/>
      <c r="G400" s="282" t="n"/>
      <c r="H400" s="295" t="n"/>
      <c r="I400" s="295" t="n"/>
      <c r="J400" s="282" t="n"/>
      <c r="K400" s="345" t="n"/>
      <c r="L400" s="295" t="n"/>
      <c r="M400" s="346" t="n"/>
      <c r="N400" s="295" t="n"/>
      <c r="O400" s="285" t="n"/>
      <c r="P400" s="295" t="n"/>
      <c r="Q400" s="295" t="n"/>
      <c r="R400" s="282" t="n"/>
      <c r="S400" s="295" t="n"/>
      <c r="T400" s="295" t="n"/>
      <c r="U400" s="285" t="n"/>
      <c r="V400" s="295" t="n"/>
      <c r="W400" s="282" t="n"/>
      <c r="X400" s="295" t="n"/>
      <c r="Y400" s="295" t="n"/>
      <c r="Z400" s="295" t="n"/>
      <c r="AA400" s="295" t="n"/>
      <c r="AB400" s="285" t="n"/>
      <c r="AC400" s="295" t="n"/>
      <c r="AD400" s="295" t="n"/>
      <c r="AE400" s="286" t="n"/>
    </row>
    <row r="401">
      <c r="B401" s="287" t="n"/>
      <c r="C401" s="288" t="n"/>
      <c r="D401" s="295" t="n"/>
      <c r="E401" s="295" t="n"/>
      <c r="F401" s="295" t="n"/>
      <c r="G401" s="290" t="n"/>
      <c r="H401" s="295" t="n"/>
      <c r="I401" s="295" t="n"/>
      <c r="J401" s="290" t="n"/>
      <c r="K401" s="347" t="n"/>
      <c r="L401" s="295" t="n"/>
      <c r="M401" s="348" t="n"/>
      <c r="N401" s="295" t="n"/>
      <c r="O401" s="293" t="n"/>
      <c r="P401" s="295" t="n"/>
      <c r="Q401" s="295" t="n"/>
      <c r="R401" s="290" t="n"/>
      <c r="S401" s="295" t="n"/>
      <c r="T401" s="295" t="n"/>
      <c r="U401" s="293" t="n"/>
      <c r="V401" s="295" t="n"/>
      <c r="W401" s="290" t="n"/>
      <c r="X401" s="295" t="n"/>
      <c r="Y401" s="295" t="n"/>
      <c r="Z401" s="295" t="n"/>
      <c r="AA401" s="295" t="n"/>
      <c r="AB401" s="293" t="n"/>
      <c r="AC401" s="295" t="n"/>
      <c r="AD401" s="295" t="n"/>
      <c r="AE401" s="294" t="n"/>
    </row>
    <row r="402">
      <c r="B402" s="279" t="n"/>
      <c r="C402" s="280" t="n"/>
      <c r="D402" s="295" t="n"/>
      <c r="E402" s="295" t="n"/>
      <c r="F402" s="295" t="n"/>
      <c r="G402" s="282" t="n"/>
      <c r="H402" s="295" t="n"/>
      <c r="I402" s="295" t="n"/>
      <c r="J402" s="282" t="n"/>
      <c r="K402" s="345" t="n"/>
      <c r="L402" s="295" t="n"/>
      <c r="M402" s="346" t="n"/>
      <c r="N402" s="295" t="n"/>
      <c r="O402" s="285" t="n"/>
      <c r="P402" s="295" t="n"/>
      <c r="Q402" s="295" t="n"/>
      <c r="R402" s="282" t="n"/>
      <c r="S402" s="295" t="n"/>
      <c r="T402" s="295" t="n"/>
      <c r="U402" s="285" t="n"/>
      <c r="V402" s="295" t="n"/>
      <c r="W402" s="282" t="n"/>
      <c r="X402" s="295" t="n"/>
      <c r="Y402" s="295" t="n"/>
      <c r="Z402" s="295" t="n"/>
      <c r="AA402" s="295" t="n"/>
      <c r="AB402" s="285" t="n"/>
      <c r="AC402" s="295" t="n"/>
      <c r="AD402" s="295" t="n"/>
      <c r="AE402" s="286" t="n"/>
    </row>
    <row r="403">
      <c r="B403" s="287" t="n"/>
      <c r="C403" s="288" t="n"/>
      <c r="D403" s="295" t="n"/>
      <c r="E403" s="295" t="n"/>
      <c r="F403" s="295" t="n"/>
      <c r="G403" s="290" t="n"/>
      <c r="H403" s="295" t="n"/>
      <c r="I403" s="295" t="n"/>
      <c r="J403" s="290" t="n"/>
      <c r="K403" s="347" t="n"/>
      <c r="L403" s="295" t="n"/>
      <c r="M403" s="348" t="n"/>
      <c r="N403" s="295" t="n"/>
      <c r="O403" s="293" t="n"/>
      <c r="P403" s="295" t="n"/>
      <c r="Q403" s="295" t="n"/>
      <c r="R403" s="290" t="n"/>
      <c r="S403" s="295" t="n"/>
      <c r="T403" s="295" t="n"/>
      <c r="U403" s="293" t="n"/>
      <c r="V403" s="295" t="n"/>
      <c r="W403" s="290" t="n"/>
      <c r="X403" s="295" t="n"/>
      <c r="Y403" s="295" t="n"/>
      <c r="Z403" s="295" t="n"/>
      <c r="AA403" s="295" t="n"/>
      <c r="AB403" s="293" t="n"/>
      <c r="AC403" s="295" t="n"/>
      <c r="AD403" s="295" t="n"/>
      <c r="AE403" s="294" t="n"/>
    </row>
    <row r="404">
      <c r="B404" s="279" t="n"/>
      <c r="C404" s="280" t="n"/>
      <c r="D404" s="295" t="n"/>
      <c r="E404" s="295" t="n"/>
      <c r="F404" s="295" t="n"/>
      <c r="G404" s="282" t="n"/>
      <c r="H404" s="295" t="n"/>
      <c r="I404" s="295" t="n"/>
      <c r="J404" s="282" t="n"/>
      <c r="K404" s="345" t="n"/>
      <c r="L404" s="295" t="n"/>
      <c r="M404" s="346" t="n"/>
      <c r="N404" s="295" t="n"/>
      <c r="O404" s="285" t="n"/>
      <c r="P404" s="295" t="n"/>
      <c r="Q404" s="295" t="n"/>
      <c r="R404" s="282" t="n"/>
      <c r="S404" s="295" t="n"/>
      <c r="T404" s="295" t="n"/>
      <c r="U404" s="285" t="n"/>
      <c r="V404" s="295" t="n"/>
      <c r="W404" s="282" t="n"/>
      <c r="X404" s="295" t="n"/>
      <c r="Y404" s="295" t="n"/>
      <c r="Z404" s="295" t="n"/>
      <c r="AA404" s="295" t="n"/>
      <c r="AB404" s="285" t="n"/>
      <c r="AC404" s="295" t="n"/>
      <c r="AD404" s="295" t="n"/>
      <c r="AE404" s="286" t="n"/>
    </row>
    <row r="405">
      <c r="B405" s="287" t="n"/>
      <c r="C405" s="288" t="n"/>
      <c r="D405" s="295" t="n"/>
      <c r="E405" s="295" t="n"/>
      <c r="F405" s="295" t="n"/>
      <c r="G405" s="290" t="n"/>
      <c r="H405" s="295" t="n"/>
      <c r="I405" s="295" t="n"/>
      <c r="J405" s="290" t="n"/>
      <c r="K405" s="347" t="n"/>
      <c r="L405" s="295" t="n"/>
      <c r="M405" s="348" t="n"/>
      <c r="N405" s="295" t="n"/>
      <c r="O405" s="293" t="n"/>
      <c r="P405" s="295" t="n"/>
      <c r="Q405" s="295" t="n"/>
      <c r="R405" s="290" t="n"/>
      <c r="S405" s="295" t="n"/>
      <c r="T405" s="295" t="n"/>
      <c r="U405" s="293" t="n"/>
      <c r="V405" s="295" t="n"/>
      <c r="W405" s="290" t="n"/>
      <c r="X405" s="295" t="n"/>
      <c r="Y405" s="295" t="n"/>
      <c r="Z405" s="295" t="n"/>
      <c r="AA405" s="295" t="n"/>
      <c r="AB405" s="293" t="n"/>
      <c r="AC405" s="295" t="n"/>
      <c r="AD405" s="295" t="n"/>
      <c r="AE405" s="294" t="n"/>
    </row>
    <row r="406">
      <c r="B406" s="279" t="n"/>
      <c r="C406" s="280" t="n"/>
      <c r="D406" s="295" t="n"/>
      <c r="E406" s="295" t="n"/>
      <c r="F406" s="295" t="n"/>
      <c r="G406" s="282" t="n"/>
      <c r="H406" s="295" t="n"/>
      <c r="I406" s="295" t="n"/>
      <c r="J406" s="282" t="n"/>
      <c r="K406" s="345" t="n"/>
      <c r="L406" s="295" t="n"/>
      <c r="M406" s="346" t="n"/>
      <c r="N406" s="295" t="n"/>
      <c r="O406" s="285" t="n"/>
      <c r="P406" s="295" t="n"/>
      <c r="Q406" s="295" t="n"/>
      <c r="R406" s="282" t="n"/>
      <c r="S406" s="295" t="n"/>
      <c r="T406" s="295" t="n"/>
      <c r="U406" s="285" t="n"/>
      <c r="V406" s="295" t="n"/>
      <c r="W406" s="282" t="n"/>
      <c r="X406" s="295" t="n"/>
      <c r="Y406" s="295" t="n"/>
      <c r="Z406" s="295" t="n"/>
      <c r="AA406" s="295" t="n"/>
      <c r="AB406" s="285" t="n"/>
      <c r="AC406" s="295" t="n"/>
      <c r="AD406" s="295" t="n"/>
      <c r="AE406" s="286" t="n"/>
    </row>
    <row r="407">
      <c r="B407" s="287" t="n"/>
      <c r="C407" s="288" t="n"/>
      <c r="D407" s="295" t="n"/>
      <c r="E407" s="295" t="n"/>
      <c r="F407" s="295" t="n"/>
      <c r="G407" s="290" t="n"/>
      <c r="H407" s="295" t="n"/>
      <c r="I407" s="295" t="n"/>
      <c r="J407" s="290" t="n"/>
      <c r="K407" s="347" t="n"/>
      <c r="L407" s="295" t="n"/>
      <c r="M407" s="348" t="n"/>
      <c r="N407" s="295" t="n"/>
      <c r="O407" s="293" t="n"/>
      <c r="P407" s="295" t="n"/>
      <c r="Q407" s="295" t="n"/>
      <c r="R407" s="290" t="n"/>
      <c r="S407" s="295" t="n"/>
      <c r="T407" s="295" t="n"/>
      <c r="U407" s="293" t="n"/>
      <c r="V407" s="295" t="n"/>
      <c r="W407" s="290" t="n"/>
      <c r="X407" s="295" t="n"/>
      <c r="Y407" s="295" t="n"/>
      <c r="Z407" s="295" t="n"/>
      <c r="AA407" s="295" t="n"/>
      <c r="AB407" s="293" t="n"/>
      <c r="AC407" s="295" t="n"/>
      <c r="AD407" s="295" t="n"/>
      <c r="AE407" s="294" t="n"/>
    </row>
    <row r="408">
      <c r="B408" s="279" t="n"/>
      <c r="C408" s="280" t="n"/>
      <c r="D408" s="295" t="n"/>
      <c r="E408" s="295" t="n"/>
      <c r="F408" s="295" t="n"/>
      <c r="G408" s="282" t="n"/>
      <c r="H408" s="295" t="n"/>
      <c r="I408" s="295" t="n"/>
      <c r="J408" s="282" t="n"/>
      <c r="K408" s="345" t="n"/>
      <c r="L408" s="295" t="n"/>
      <c r="M408" s="346" t="n"/>
      <c r="N408" s="295" t="n"/>
      <c r="O408" s="285" t="n"/>
      <c r="P408" s="295" t="n"/>
      <c r="Q408" s="295" t="n"/>
      <c r="R408" s="282" t="n"/>
      <c r="S408" s="295" t="n"/>
      <c r="T408" s="295" t="n"/>
      <c r="U408" s="285" t="n"/>
      <c r="V408" s="295" t="n"/>
      <c r="W408" s="282" t="n"/>
      <c r="X408" s="295" t="n"/>
      <c r="Y408" s="295" t="n"/>
      <c r="Z408" s="295" t="n"/>
      <c r="AA408" s="295" t="n"/>
      <c r="AB408" s="285" t="n"/>
      <c r="AC408" s="295" t="n"/>
      <c r="AD408" s="295" t="n"/>
      <c r="AE408" s="286" t="n"/>
    </row>
    <row r="409">
      <c r="B409" s="287" t="n"/>
      <c r="C409" s="288" t="n"/>
      <c r="D409" s="295" t="n"/>
      <c r="E409" s="295" t="n"/>
      <c r="F409" s="295" t="n"/>
      <c r="G409" s="290" t="n"/>
      <c r="H409" s="295" t="n"/>
      <c r="I409" s="295" t="n"/>
      <c r="J409" s="290" t="n"/>
      <c r="K409" s="347" t="n"/>
      <c r="L409" s="295" t="n"/>
      <c r="M409" s="348" t="n"/>
      <c r="N409" s="295" t="n"/>
      <c r="O409" s="293" t="n"/>
      <c r="P409" s="295" t="n"/>
      <c r="Q409" s="295" t="n"/>
      <c r="R409" s="290" t="n"/>
      <c r="S409" s="295" t="n"/>
      <c r="T409" s="295" t="n"/>
      <c r="U409" s="293" t="n"/>
      <c r="V409" s="295" t="n"/>
      <c r="W409" s="290" t="n"/>
      <c r="X409" s="295" t="n"/>
      <c r="Y409" s="295" t="n"/>
      <c r="Z409" s="295" t="n"/>
      <c r="AA409" s="295" t="n"/>
      <c r="AB409" s="293" t="n"/>
      <c r="AC409" s="295" t="n"/>
      <c r="AD409" s="295" t="n"/>
      <c r="AE409" s="294" t="n"/>
    </row>
    <row r="410">
      <c r="B410" s="279" t="n"/>
      <c r="C410" s="280" t="n"/>
      <c r="D410" s="295" t="n"/>
      <c r="E410" s="295" t="n"/>
      <c r="F410" s="295" t="n"/>
      <c r="G410" s="282" t="n"/>
      <c r="H410" s="295" t="n"/>
      <c r="I410" s="295" t="n"/>
      <c r="J410" s="282" t="n"/>
      <c r="K410" s="345" t="n"/>
      <c r="L410" s="295" t="n"/>
      <c r="M410" s="346" t="n"/>
      <c r="N410" s="295" t="n"/>
      <c r="O410" s="285" t="n"/>
      <c r="P410" s="295" t="n"/>
      <c r="Q410" s="295" t="n"/>
      <c r="R410" s="282" t="n"/>
      <c r="S410" s="295" t="n"/>
      <c r="T410" s="295" t="n"/>
      <c r="U410" s="285" t="n"/>
      <c r="V410" s="295" t="n"/>
      <c r="W410" s="282" t="n"/>
      <c r="X410" s="295" t="n"/>
      <c r="Y410" s="295" t="n"/>
      <c r="Z410" s="295" t="n"/>
      <c r="AA410" s="295" t="n"/>
      <c r="AB410" s="285" t="n"/>
      <c r="AC410" s="295" t="n"/>
      <c r="AD410" s="295" t="n"/>
      <c r="AE410" s="286" t="n"/>
    </row>
    <row r="411">
      <c r="B411" s="287" t="n"/>
      <c r="C411" s="288" t="n"/>
      <c r="D411" s="295" t="n"/>
      <c r="E411" s="295" t="n"/>
      <c r="F411" s="295" t="n"/>
      <c r="G411" s="290" t="n"/>
      <c r="H411" s="295" t="n"/>
      <c r="I411" s="295" t="n"/>
      <c r="J411" s="290" t="n"/>
      <c r="K411" s="347" t="n"/>
      <c r="L411" s="295" t="n"/>
      <c r="M411" s="348" t="n"/>
      <c r="N411" s="295" t="n"/>
      <c r="O411" s="293" t="n"/>
      <c r="P411" s="295" t="n"/>
      <c r="Q411" s="295" t="n"/>
      <c r="R411" s="290" t="n"/>
      <c r="S411" s="295" t="n"/>
      <c r="T411" s="295" t="n"/>
      <c r="U411" s="293" t="n"/>
      <c r="V411" s="295" t="n"/>
      <c r="W411" s="290" t="n"/>
      <c r="X411" s="295" t="n"/>
      <c r="Y411" s="295" t="n"/>
      <c r="Z411" s="295" t="n"/>
      <c r="AA411" s="295" t="n"/>
      <c r="AB411" s="293" t="n"/>
      <c r="AC411" s="295" t="n"/>
      <c r="AD411" s="295" t="n"/>
      <c r="AE411" s="294" t="n"/>
    </row>
    <row r="412">
      <c r="B412" s="279" t="n"/>
      <c r="C412" s="280" t="n"/>
      <c r="D412" s="295" t="n"/>
      <c r="E412" s="295" t="n"/>
      <c r="F412" s="295" t="n"/>
      <c r="G412" s="282" t="n"/>
      <c r="H412" s="295" t="n"/>
      <c r="I412" s="295" t="n"/>
      <c r="J412" s="282" t="n"/>
      <c r="K412" s="345" t="n"/>
      <c r="L412" s="295" t="n"/>
      <c r="M412" s="346" t="n"/>
      <c r="N412" s="295" t="n"/>
      <c r="O412" s="285" t="n"/>
      <c r="P412" s="295" t="n"/>
      <c r="Q412" s="295" t="n"/>
      <c r="R412" s="282" t="n"/>
      <c r="S412" s="295" t="n"/>
      <c r="T412" s="295" t="n"/>
      <c r="U412" s="285" t="n"/>
      <c r="V412" s="295" t="n"/>
      <c r="W412" s="282" t="n"/>
      <c r="X412" s="295" t="n"/>
      <c r="Y412" s="295" t="n"/>
      <c r="Z412" s="295" t="n"/>
      <c r="AA412" s="295" t="n"/>
      <c r="AB412" s="285" t="n"/>
      <c r="AC412" s="295" t="n"/>
      <c r="AD412" s="295" t="n"/>
      <c r="AE412" s="286" t="n"/>
    </row>
    <row r="413">
      <c r="B413" s="287" t="n"/>
      <c r="C413" s="288" t="n"/>
      <c r="D413" s="295" t="n"/>
      <c r="E413" s="295" t="n"/>
      <c r="F413" s="295" t="n"/>
      <c r="G413" s="290" t="n"/>
      <c r="H413" s="295" t="n"/>
      <c r="I413" s="295" t="n"/>
      <c r="J413" s="290" t="n"/>
      <c r="K413" s="347" t="n"/>
      <c r="L413" s="295" t="n"/>
      <c r="M413" s="348" t="n"/>
      <c r="N413" s="295" t="n"/>
      <c r="O413" s="293" t="n"/>
      <c r="P413" s="295" t="n"/>
      <c r="Q413" s="295" t="n"/>
      <c r="R413" s="290" t="n"/>
      <c r="S413" s="295" t="n"/>
      <c r="T413" s="295" t="n"/>
      <c r="U413" s="293" t="n"/>
      <c r="V413" s="295" t="n"/>
      <c r="W413" s="290" t="n"/>
      <c r="X413" s="295" t="n"/>
      <c r="Y413" s="295" t="n"/>
      <c r="Z413" s="295" t="n"/>
      <c r="AA413" s="295" t="n"/>
      <c r="AB413" s="293" t="n"/>
      <c r="AC413" s="295" t="n"/>
      <c r="AD413" s="295" t="n"/>
      <c r="AE413" s="294" t="n"/>
    </row>
    <row r="414">
      <c r="B414" s="279" t="n"/>
      <c r="C414" s="280" t="n"/>
      <c r="D414" s="295" t="n"/>
      <c r="E414" s="295" t="n"/>
      <c r="F414" s="295" t="n"/>
      <c r="G414" s="282" t="n"/>
      <c r="H414" s="295" t="n"/>
      <c r="I414" s="295" t="n"/>
      <c r="J414" s="282" t="n"/>
      <c r="K414" s="345" t="n"/>
      <c r="L414" s="295" t="n"/>
      <c r="M414" s="346" t="n"/>
      <c r="N414" s="295" t="n"/>
      <c r="O414" s="285" t="n"/>
      <c r="P414" s="295" t="n"/>
      <c r="Q414" s="295" t="n"/>
      <c r="R414" s="282" t="n"/>
      <c r="S414" s="295" t="n"/>
      <c r="T414" s="295" t="n"/>
      <c r="U414" s="285" t="n"/>
      <c r="V414" s="295" t="n"/>
      <c r="W414" s="282" t="n"/>
      <c r="X414" s="295" t="n"/>
      <c r="Y414" s="295" t="n"/>
      <c r="Z414" s="295" t="n"/>
      <c r="AA414" s="295" t="n"/>
      <c r="AB414" s="285" t="n"/>
      <c r="AC414" s="295" t="n"/>
      <c r="AD414" s="295" t="n"/>
      <c r="AE414" s="286" t="n"/>
    </row>
    <row r="415">
      <c r="B415" s="287" t="n"/>
      <c r="C415" s="288" t="n"/>
      <c r="D415" s="295" t="n"/>
      <c r="E415" s="295" t="n"/>
      <c r="F415" s="295" t="n"/>
      <c r="G415" s="290" t="n"/>
      <c r="H415" s="295" t="n"/>
      <c r="I415" s="295" t="n"/>
      <c r="J415" s="290" t="n"/>
      <c r="K415" s="347" t="n"/>
      <c r="L415" s="295" t="n"/>
      <c r="M415" s="348" t="n"/>
      <c r="N415" s="295" t="n"/>
      <c r="O415" s="293" t="n"/>
      <c r="P415" s="295" t="n"/>
      <c r="Q415" s="295" t="n"/>
      <c r="R415" s="290" t="n"/>
      <c r="S415" s="295" t="n"/>
      <c r="T415" s="295" t="n"/>
      <c r="U415" s="293" t="n"/>
      <c r="V415" s="295" t="n"/>
      <c r="W415" s="290" t="n"/>
      <c r="X415" s="295" t="n"/>
      <c r="Y415" s="295" t="n"/>
      <c r="Z415" s="295" t="n"/>
      <c r="AA415" s="295" t="n"/>
      <c r="AB415" s="293" t="n"/>
      <c r="AC415" s="295" t="n"/>
      <c r="AD415" s="295" t="n"/>
      <c r="AE415" s="294" t="n"/>
    </row>
    <row r="416">
      <c r="B416" s="279" t="n"/>
      <c r="C416" s="280" t="n"/>
      <c r="D416" s="295" t="n"/>
      <c r="E416" s="295" t="n"/>
      <c r="F416" s="295" t="n"/>
      <c r="G416" s="282" t="n"/>
      <c r="H416" s="295" t="n"/>
      <c r="I416" s="295" t="n"/>
      <c r="J416" s="282" t="n"/>
      <c r="K416" s="345" t="n"/>
      <c r="L416" s="295" t="n"/>
      <c r="M416" s="346" t="n"/>
      <c r="N416" s="295" t="n"/>
      <c r="O416" s="285" t="n"/>
      <c r="P416" s="295" t="n"/>
      <c r="Q416" s="295" t="n"/>
      <c r="R416" s="282" t="n"/>
      <c r="S416" s="295" t="n"/>
      <c r="T416" s="295" t="n"/>
      <c r="U416" s="285" t="n"/>
      <c r="V416" s="295" t="n"/>
      <c r="W416" s="282" t="n"/>
      <c r="X416" s="295" t="n"/>
      <c r="Y416" s="295" t="n"/>
      <c r="Z416" s="295" t="n"/>
      <c r="AA416" s="295" t="n"/>
      <c r="AB416" s="285" t="n"/>
      <c r="AC416" s="295" t="n"/>
      <c r="AD416" s="295" t="n"/>
      <c r="AE416" s="286" t="n"/>
    </row>
    <row r="417">
      <c r="B417" s="287" t="n"/>
      <c r="C417" s="288" t="n"/>
      <c r="D417" s="295" t="n"/>
      <c r="E417" s="295" t="n"/>
      <c r="F417" s="295" t="n"/>
      <c r="G417" s="290" t="n"/>
      <c r="H417" s="295" t="n"/>
      <c r="I417" s="295" t="n"/>
      <c r="J417" s="290" t="n"/>
      <c r="K417" s="347" t="n"/>
      <c r="L417" s="295" t="n"/>
      <c r="M417" s="348" t="n"/>
      <c r="N417" s="295" t="n"/>
      <c r="O417" s="293" t="n"/>
      <c r="P417" s="295" t="n"/>
      <c r="Q417" s="295" t="n"/>
      <c r="R417" s="290" t="n"/>
      <c r="S417" s="295" t="n"/>
      <c r="T417" s="295" t="n"/>
      <c r="U417" s="293" t="n"/>
      <c r="V417" s="295" t="n"/>
      <c r="W417" s="290" t="n"/>
      <c r="X417" s="295" t="n"/>
      <c r="Y417" s="295" t="n"/>
      <c r="Z417" s="295" t="n"/>
      <c r="AA417" s="295" t="n"/>
      <c r="AB417" s="293" t="n"/>
      <c r="AC417" s="295" t="n"/>
      <c r="AD417" s="295" t="n"/>
      <c r="AE417" s="294" t="n"/>
    </row>
    <row r="418">
      <c r="B418" s="279" t="n"/>
      <c r="C418" s="280" t="n"/>
      <c r="D418" s="295" t="n"/>
      <c r="E418" s="295" t="n"/>
      <c r="F418" s="295" t="n"/>
      <c r="G418" s="282" t="n"/>
      <c r="H418" s="295" t="n"/>
      <c r="I418" s="295" t="n"/>
      <c r="J418" s="282" t="n"/>
      <c r="K418" s="345" t="n"/>
      <c r="L418" s="295" t="n"/>
      <c r="M418" s="346" t="n"/>
      <c r="N418" s="295" t="n"/>
      <c r="O418" s="285" t="n"/>
      <c r="P418" s="295" t="n"/>
      <c r="Q418" s="295" t="n"/>
      <c r="R418" s="282" t="n"/>
      <c r="S418" s="295" t="n"/>
      <c r="T418" s="295" t="n"/>
      <c r="U418" s="285" t="n"/>
      <c r="V418" s="295" t="n"/>
      <c r="W418" s="282" t="n"/>
      <c r="X418" s="295" t="n"/>
      <c r="Y418" s="295" t="n"/>
      <c r="Z418" s="295" t="n"/>
      <c r="AA418" s="295" t="n"/>
      <c r="AB418" s="285" t="n"/>
      <c r="AC418" s="295" t="n"/>
      <c r="AD418" s="295" t="n"/>
      <c r="AE418" s="286" t="n"/>
    </row>
    <row r="419">
      <c r="B419" s="287" t="n"/>
      <c r="C419" s="288" t="n"/>
      <c r="D419" s="295" t="n"/>
      <c r="E419" s="295" t="n"/>
      <c r="F419" s="295" t="n"/>
      <c r="G419" s="290" t="n"/>
      <c r="H419" s="295" t="n"/>
      <c r="I419" s="295" t="n"/>
      <c r="J419" s="290" t="n"/>
      <c r="K419" s="347" t="n"/>
      <c r="L419" s="295" t="n"/>
      <c r="M419" s="348" t="n"/>
      <c r="N419" s="295" t="n"/>
      <c r="O419" s="293" t="n"/>
      <c r="P419" s="295" t="n"/>
      <c r="Q419" s="295" t="n"/>
      <c r="R419" s="290" t="n"/>
      <c r="S419" s="295" t="n"/>
      <c r="T419" s="295" t="n"/>
      <c r="U419" s="293" t="n"/>
      <c r="V419" s="295" t="n"/>
      <c r="W419" s="290" t="n"/>
      <c r="X419" s="295" t="n"/>
      <c r="Y419" s="295" t="n"/>
      <c r="Z419" s="295" t="n"/>
      <c r="AA419" s="295" t="n"/>
      <c r="AB419" s="293" t="n"/>
      <c r="AC419" s="295" t="n"/>
      <c r="AD419" s="295" t="n"/>
      <c r="AE419" s="294" t="n"/>
    </row>
    <row r="420">
      <c r="B420" s="279" t="n"/>
      <c r="C420" s="280" t="n"/>
      <c r="D420" s="295" t="n"/>
      <c r="E420" s="295" t="n"/>
      <c r="F420" s="295" t="n"/>
      <c r="G420" s="282" t="n"/>
      <c r="H420" s="295" t="n"/>
      <c r="I420" s="295" t="n"/>
      <c r="J420" s="282" t="n"/>
      <c r="K420" s="345" t="n"/>
      <c r="L420" s="295" t="n"/>
      <c r="M420" s="346" t="n"/>
      <c r="N420" s="295" t="n"/>
      <c r="O420" s="285" t="n"/>
      <c r="P420" s="295" t="n"/>
      <c r="Q420" s="295" t="n"/>
      <c r="R420" s="282" t="n"/>
      <c r="S420" s="295" t="n"/>
      <c r="T420" s="295" t="n"/>
      <c r="U420" s="285" t="n"/>
      <c r="V420" s="295" t="n"/>
      <c r="W420" s="282" t="n"/>
      <c r="X420" s="295" t="n"/>
      <c r="Y420" s="295" t="n"/>
      <c r="Z420" s="295" t="n"/>
      <c r="AA420" s="295" t="n"/>
      <c r="AB420" s="285" t="n"/>
      <c r="AC420" s="295" t="n"/>
      <c r="AD420" s="295" t="n"/>
      <c r="AE420" s="286" t="n"/>
    </row>
    <row r="421">
      <c r="B421" s="287" t="n"/>
      <c r="C421" s="288" t="n"/>
      <c r="D421" s="295" t="n"/>
      <c r="E421" s="295" t="n"/>
      <c r="F421" s="295" t="n"/>
      <c r="G421" s="290" t="n"/>
      <c r="H421" s="295" t="n"/>
      <c r="I421" s="295" t="n"/>
      <c r="J421" s="290" t="n"/>
      <c r="K421" s="347" t="n"/>
      <c r="L421" s="295" t="n"/>
      <c r="M421" s="348" t="n"/>
      <c r="N421" s="295" t="n"/>
      <c r="O421" s="293" t="n"/>
      <c r="P421" s="295" t="n"/>
      <c r="Q421" s="295" t="n"/>
      <c r="R421" s="290" t="n"/>
      <c r="S421" s="295" t="n"/>
      <c r="T421" s="295" t="n"/>
      <c r="U421" s="293" t="n"/>
      <c r="V421" s="295" t="n"/>
      <c r="W421" s="290" t="n"/>
      <c r="X421" s="295" t="n"/>
      <c r="Y421" s="295" t="n"/>
      <c r="Z421" s="295" t="n"/>
      <c r="AA421" s="295" t="n"/>
      <c r="AB421" s="293" t="n"/>
      <c r="AC421" s="295" t="n"/>
      <c r="AD421" s="295" t="n"/>
      <c r="AE421" s="294" t="n"/>
    </row>
    <row r="422">
      <c r="B422" s="279" t="n"/>
      <c r="C422" s="280" t="n"/>
      <c r="D422" s="295" t="n"/>
      <c r="E422" s="295" t="n"/>
      <c r="F422" s="295" t="n"/>
      <c r="G422" s="282" t="n"/>
      <c r="H422" s="295" t="n"/>
      <c r="I422" s="295" t="n"/>
      <c r="J422" s="282" t="n"/>
      <c r="K422" s="345" t="n"/>
      <c r="L422" s="295" t="n"/>
      <c r="M422" s="346" t="n"/>
      <c r="N422" s="295" t="n"/>
      <c r="O422" s="285" t="n"/>
      <c r="P422" s="295" t="n"/>
      <c r="Q422" s="295" t="n"/>
      <c r="R422" s="282" t="n"/>
      <c r="S422" s="295" t="n"/>
      <c r="T422" s="295" t="n"/>
      <c r="U422" s="285" t="n"/>
      <c r="V422" s="295" t="n"/>
      <c r="W422" s="282" t="n"/>
      <c r="X422" s="295" t="n"/>
      <c r="Y422" s="295" t="n"/>
      <c r="Z422" s="295" t="n"/>
      <c r="AA422" s="295" t="n"/>
      <c r="AB422" s="285" t="n"/>
      <c r="AC422" s="295" t="n"/>
      <c r="AD422" s="295" t="n"/>
      <c r="AE422" s="286" t="n"/>
    </row>
    <row r="423">
      <c r="B423" s="287" t="n"/>
      <c r="C423" s="288" t="n"/>
      <c r="D423" s="295" t="n"/>
      <c r="E423" s="295" t="n"/>
      <c r="F423" s="295" t="n"/>
      <c r="G423" s="290" t="n"/>
      <c r="H423" s="295" t="n"/>
      <c r="I423" s="295" t="n"/>
      <c r="J423" s="290" t="n"/>
      <c r="K423" s="347" t="n"/>
      <c r="L423" s="295" t="n"/>
      <c r="M423" s="348" t="n"/>
      <c r="N423" s="295" t="n"/>
      <c r="O423" s="293" t="n"/>
      <c r="P423" s="295" t="n"/>
      <c r="Q423" s="295" t="n"/>
      <c r="R423" s="290" t="n"/>
      <c r="S423" s="295" t="n"/>
      <c r="T423" s="295" t="n"/>
      <c r="U423" s="293" t="n"/>
      <c r="V423" s="295" t="n"/>
      <c r="W423" s="290" t="n"/>
      <c r="X423" s="295" t="n"/>
      <c r="Y423" s="295" t="n"/>
      <c r="Z423" s="295" t="n"/>
      <c r="AA423" s="295" t="n"/>
      <c r="AB423" s="293" t="n"/>
      <c r="AC423" s="295" t="n"/>
      <c r="AD423" s="295" t="n"/>
      <c r="AE423" s="294" t="n"/>
    </row>
    <row r="424">
      <c r="B424" s="279" t="n"/>
      <c r="C424" s="280" t="n"/>
      <c r="D424" s="295" t="n"/>
      <c r="E424" s="295" t="n"/>
      <c r="F424" s="295" t="n"/>
      <c r="G424" s="282" t="n"/>
      <c r="H424" s="295" t="n"/>
      <c r="I424" s="295" t="n"/>
      <c r="J424" s="282" t="n"/>
      <c r="K424" s="345" t="n"/>
      <c r="L424" s="295" t="n"/>
      <c r="M424" s="346" t="n"/>
      <c r="N424" s="295" t="n"/>
      <c r="O424" s="285" t="n"/>
      <c r="P424" s="295" t="n"/>
      <c r="Q424" s="295" t="n"/>
      <c r="R424" s="282" t="n"/>
      <c r="S424" s="295" t="n"/>
      <c r="T424" s="295" t="n"/>
      <c r="U424" s="285" t="n"/>
      <c r="V424" s="295" t="n"/>
      <c r="W424" s="282" t="n"/>
      <c r="X424" s="295" t="n"/>
      <c r="Y424" s="295" t="n"/>
      <c r="Z424" s="295" t="n"/>
      <c r="AA424" s="295" t="n"/>
      <c r="AB424" s="285" t="n"/>
      <c r="AC424" s="295" t="n"/>
      <c r="AD424" s="295" t="n"/>
      <c r="AE424" s="286" t="n"/>
    </row>
    <row r="425">
      <c r="B425" s="287" t="n"/>
      <c r="C425" s="288" t="n"/>
      <c r="D425" s="295" t="n"/>
      <c r="E425" s="295" t="n"/>
      <c r="F425" s="295" t="n"/>
      <c r="G425" s="290" t="n"/>
      <c r="H425" s="295" t="n"/>
      <c r="I425" s="295" t="n"/>
      <c r="J425" s="290" t="n"/>
      <c r="K425" s="347" t="n"/>
      <c r="L425" s="295" t="n"/>
      <c r="M425" s="348" t="n"/>
      <c r="N425" s="295" t="n"/>
      <c r="O425" s="293" t="n"/>
      <c r="P425" s="295" t="n"/>
      <c r="Q425" s="295" t="n"/>
      <c r="R425" s="290" t="n"/>
      <c r="S425" s="295" t="n"/>
      <c r="T425" s="295" t="n"/>
      <c r="U425" s="293" t="n"/>
      <c r="V425" s="295" t="n"/>
      <c r="W425" s="290" t="n"/>
      <c r="X425" s="295" t="n"/>
      <c r="Y425" s="295" t="n"/>
      <c r="Z425" s="295" t="n"/>
      <c r="AA425" s="295" t="n"/>
      <c r="AB425" s="293" t="n"/>
      <c r="AC425" s="295" t="n"/>
      <c r="AD425" s="295" t="n"/>
      <c r="AE425" s="294" t="n"/>
    </row>
    <row r="426">
      <c r="B426" s="279" t="n"/>
      <c r="C426" s="280" t="n"/>
      <c r="D426" s="295" t="n"/>
      <c r="E426" s="295" t="n"/>
      <c r="F426" s="295" t="n"/>
      <c r="G426" s="282" t="n"/>
      <c r="H426" s="295" t="n"/>
      <c r="I426" s="295" t="n"/>
      <c r="J426" s="282" t="n"/>
      <c r="K426" s="345" t="n"/>
      <c r="L426" s="295" t="n"/>
      <c r="M426" s="346" t="n"/>
      <c r="N426" s="295" t="n"/>
      <c r="O426" s="285" t="n"/>
      <c r="P426" s="295" t="n"/>
      <c r="Q426" s="295" t="n"/>
      <c r="R426" s="282" t="n"/>
      <c r="S426" s="295" t="n"/>
      <c r="T426" s="295" t="n"/>
      <c r="U426" s="285" t="n"/>
      <c r="V426" s="295" t="n"/>
      <c r="W426" s="282" t="n"/>
      <c r="X426" s="295" t="n"/>
      <c r="Y426" s="295" t="n"/>
      <c r="Z426" s="295" t="n"/>
      <c r="AA426" s="295" t="n"/>
      <c r="AB426" s="285" t="n"/>
      <c r="AC426" s="295" t="n"/>
      <c r="AD426" s="295" t="n"/>
      <c r="AE426" s="286" t="n"/>
    </row>
    <row r="427">
      <c r="B427" s="287" t="n"/>
      <c r="C427" s="288" t="n"/>
      <c r="D427" s="295" t="n"/>
      <c r="E427" s="295" t="n"/>
      <c r="F427" s="295" t="n"/>
      <c r="G427" s="290" t="n"/>
      <c r="H427" s="295" t="n"/>
      <c r="I427" s="295" t="n"/>
      <c r="J427" s="290" t="n"/>
      <c r="K427" s="347" t="n"/>
      <c r="L427" s="295" t="n"/>
      <c r="M427" s="348" t="n"/>
      <c r="N427" s="295" t="n"/>
      <c r="O427" s="293" t="n"/>
      <c r="P427" s="295" t="n"/>
      <c r="Q427" s="295" t="n"/>
      <c r="R427" s="290" t="n"/>
      <c r="S427" s="295" t="n"/>
      <c r="T427" s="295" t="n"/>
      <c r="U427" s="293" t="n"/>
      <c r="V427" s="295" t="n"/>
      <c r="W427" s="290" t="n"/>
      <c r="X427" s="295" t="n"/>
      <c r="Y427" s="295" t="n"/>
      <c r="Z427" s="295" t="n"/>
      <c r="AA427" s="295" t="n"/>
      <c r="AB427" s="293" t="n"/>
      <c r="AC427" s="295" t="n"/>
      <c r="AD427" s="295" t="n"/>
      <c r="AE427" s="294" t="n"/>
    </row>
    <row r="428">
      <c r="B428" s="279" t="n"/>
      <c r="C428" s="280" t="n"/>
      <c r="D428" s="295" t="n"/>
      <c r="E428" s="295" t="n"/>
      <c r="F428" s="295" t="n"/>
      <c r="G428" s="282" t="n"/>
      <c r="H428" s="295" t="n"/>
      <c r="I428" s="295" t="n"/>
      <c r="J428" s="282" t="n"/>
      <c r="K428" s="345" t="n"/>
      <c r="L428" s="295" t="n"/>
      <c r="M428" s="346" t="n"/>
      <c r="N428" s="295" t="n"/>
      <c r="O428" s="285" t="n"/>
      <c r="P428" s="295" t="n"/>
      <c r="Q428" s="295" t="n"/>
      <c r="R428" s="282" t="n"/>
      <c r="S428" s="295" t="n"/>
      <c r="T428" s="295" t="n"/>
      <c r="U428" s="285" t="n"/>
      <c r="V428" s="295" t="n"/>
      <c r="W428" s="282" t="n"/>
      <c r="X428" s="295" t="n"/>
      <c r="Y428" s="295" t="n"/>
      <c r="Z428" s="295" t="n"/>
      <c r="AA428" s="295" t="n"/>
      <c r="AB428" s="285" t="n"/>
      <c r="AC428" s="295" t="n"/>
      <c r="AD428" s="295" t="n"/>
      <c r="AE428" s="286" t="n"/>
    </row>
    <row r="429">
      <c r="B429" s="287" t="n"/>
      <c r="C429" s="288" t="n"/>
      <c r="D429" s="295" t="n"/>
      <c r="E429" s="295" t="n"/>
      <c r="F429" s="295" t="n"/>
      <c r="G429" s="290" t="n"/>
      <c r="H429" s="295" t="n"/>
      <c r="I429" s="295" t="n"/>
      <c r="J429" s="290" t="n"/>
      <c r="K429" s="347" t="n"/>
      <c r="L429" s="295" t="n"/>
      <c r="M429" s="348" t="n"/>
      <c r="N429" s="295" t="n"/>
      <c r="O429" s="293" t="n"/>
      <c r="P429" s="295" t="n"/>
      <c r="Q429" s="295" t="n"/>
      <c r="R429" s="290" t="n"/>
      <c r="S429" s="295" t="n"/>
      <c r="T429" s="295" t="n"/>
      <c r="U429" s="293" t="n"/>
      <c r="V429" s="295" t="n"/>
      <c r="W429" s="290" t="n"/>
      <c r="X429" s="295" t="n"/>
      <c r="Y429" s="295" t="n"/>
      <c r="Z429" s="295" t="n"/>
      <c r="AA429" s="295" t="n"/>
      <c r="AB429" s="293" t="n"/>
      <c r="AC429" s="295" t="n"/>
      <c r="AD429" s="295" t="n"/>
      <c r="AE429" s="294" t="n"/>
    </row>
    <row r="430">
      <c r="B430" s="279" t="n"/>
      <c r="C430" s="280" t="n"/>
      <c r="D430" s="295" t="n"/>
      <c r="E430" s="295" t="n"/>
      <c r="F430" s="295" t="n"/>
      <c r="G430" s="282" t="n"/>
      <c r="H430" s="295" t="n"/>
      <c r="I430" s="295" t="n"/>
      <c r="J430" s="282" t="n"/>
      <c r="K430" s="345" t="n"/>
      <c r="L430" s="295" t="n"/>
      <c r="M430" s="346" t="n"/>
      <c r="N430" s="295" t="n"/>
      <c r="O430" s="285" t="n"/>
      <c r="P430" s="295" t="n"/>
      <c r="Q430" s="295" t="n"/>
      <c r="R430" s="282" t="n"/>
      <c r="S430" s="295" t="n"/>
      <c r="T430" s="295" t="n"/>
      <c r="U430" s="285" t="n"/>
      <c r="V430" s="295" t="n"/>
      <c r="W430" s="282" t="n"/>
      <c r="X430" s="295" t="n"/>
      <c r="Y430" s="295" t="n"/>
      <c r="Z430" s="295" t="n"/>
      <c r="AA430" s="295" t="n"/>
      <c r="AB430" s="285" t="n"/>
      <c r="AC430" s="295" t="n"/>
      <c r="AD430" s="295" t="n"/>
      <c r="AE430" s="286" t="n"/>
    </row>
    <row r="431">
      <c r="B431" s="287" t="n"/>
      <c r="C431" s="288" t="n"/>
      <c r="D431" s="295" t="n"/>
      <c r="E431" s="295" t="n"/>
      <c r="F431" s="295" t="n"/>
      <c r="G431" s="290" t="n"/>
      <c r="H431" s="295" t="n"/>
      <c r="I431" s="295" t="n"/>
      <c r="J431" s="290" t="n"/>
      <c r="K431" s="347" t="n"/>
      <c r="L431" s="295" t="n"/>
      <c r="M431" s="348" t="n"/>
      <c r="N431" s="295" t="n"/>
      <c r="O431" s="293" t="n"/>
      <c r="P431" s="295" t="n"/>
      <c r="Q431" s="295" t="n"/>
      <c r="R431" s="290" t="n"/>
      <c r="S431" s="295" t="n"/>
      <c r="T431" s="295" t="n"/>
      <c r="U431" s="293" t="n"/>
      <c r="V431" s="295" t="n"/>
      <c r="W431" s="290" t="n"/>
      <c r="X431" s="295" t="n"/>
      <c r="Y431" s="295" t="n"/>
      <c r="Z431" s="295" t="n"/>
      <c r="AA431" s="295" t="n"/>
      <c r="AB431" s="293" t="n"/>
      <c r="AC431" s="295" t="n"/>
      <c r="AD431" s="295" t="n"/>
      <c r="AE431" s="294" t="n"/>
    </row>
    <row r="432">
      <c r="B432" s="279" t="n"/>
      <c r="C432" s="280" t="n"/>
      <c r="D432" s="295" t="n"/>
      <c r="E432" s="295" t="n"/>
      <c r="F432" s="295" t="n"/>
      <c r="G432" s="282" t="n"/>
      <c r="H432" s="295" t="n"/>
      <c r="I432" s="295" t="n"/>
      <c r="J432" s="282" t="n"/>
      <c r="K432" s="345" t="n"/>
      <c r="L432" s="295" t="n"/>
      <c r="M432" s="346" t="n"/>
      <c r="N432" s="295" t="n"/>
      <c r="O432" s="285" t="n"/>
      <c r="P432" s="295" t="n"/>
      <c r="Q432" s="295" t="n"/>
      <c r="R432" s="282" t="n"/>
      <c r="S432" s="295" t="n"/>
      <c r="T432" s="295" t="n"/>
      <c r="U432" s="285" t="n"/>
      <c r="V432" s="295" t="n"/>
      <c r="W432" s="282" t="n"/>
      <c r="X432" s="295" t="n"/>
      <c r="Y432" s="295" t="n"/>
      <c r="Z432" s="295" t="n"/>
      <c r="AA432" s="295" t="n"/>
      <c r="AB432" s="285" t="n"/>
      <c r="AC432" s="295" t="n"/>
      <c r="AD432" s="295" t="n"/>
      <c r="AE432" s="286" t="n"/>
    </row>
    <row r="433">
      <c r="B433" s="287" t="n"/>
      <c r="C433" s="288" t="n"/>
      <c r="D433" s="295" t="n"/>
      <c r="E433" s="295" t="n"/>
      <c r="F433" s="295" t="n"/>
      <c r="G433" s="290" t="n"/>
      <c r="H433" s="295" t="n"/>
      <c r="I433" s="295" t="n"/>
      <c r="J433" s="290" t="n"/>
      <c r="K433" s="347" t="n"/>
      <c r="L433" s="295" t="n"/>
      <c r="M433" s="348" t="n"/>
      <c r="N433" s="295" t="n"/>
      <c r="O433" s="293" t="n"/>
      <c r="P433" s="295" t="n"/>
      <c r="Q433" s="295" t="n"/>
      <c r="R433" s="290" t="n"/>
      <c r="S433" s="295" t="n"/>
      <c r="T433" s="295" t="n"/>
      <c r="U433" s="293" t="n"/>
      <c r="V433" s="295" t="n"/>
      <c r="W433" s="290" t="n"/>
      <c r="X433" s="295" t="n"/>
      <c r="Y433" s="295" t="n"/>
      <c r="Z433" s="295" t="n"/>
      <c r="AA433" s="295" t="n"/>
      <c r="AB433" s="293" t="n"/>
      <c r="AC433" s="295" t="n"/>
      <c r="AD433" s="295" t="n"/>
      <c r="AE433" s="294" t="n"/>
    </row>
    <row r="434">
      <c r="B434" s="279" t="n"/>
      <c r="C434" s="280" t="n"/>
      <c r="D434" s="295" t="n"/>
      <c r="E434" s="295" t="n"/>
      <c r="F434" s="295" t="n"/>
      <c r="G434" s="282" t="n"/>
      <c r="H434" s="295" t="n"/>
      <c r="I434" s="295" t="n"/>
      <c r="J434" s="282" t="n"/>
      <c r="K434" s="345" t="n"/>
      <c r="L434" s="295" t="n"/>
      <c r="M434" s="346" t="n"/>
      <c r="N434" s="295" t="n"/>
      <c r="O434" s="285" t="n"/>
      <c r="P434" s="295" t="n"/>
      <c r="Q434" s="295" t="n"/>
      <c r="R434" s="282" t="n"/>
      <c r="S434" s="295" t="n"/>
      <c r="T434" s="295" t="n"/>
      <c r="U434" s="285" t="n"/>
      <c r="V434" s="295" t="n"/>
      <c r="W434" s="282" t="n"/>
      <c r="X434" s="295" t="n"/>
      <c r="Y434" s="295" t="n"/>
      <c r="Z434" s="295" t="n"/>
      <c r="AA434" s="295" t="n"/>
      <c r="AB434" s="285" t="n"/>
      <c r="AC434" s="295" t="n"/>
      <c r="AD434" s="295" t="n"/>
      <c r="AE434" s="286" t="n"/>
    </row>
    <row r="435">
      <c r="B435" s="287" t="n"/>
      <c r="C435" s="288" t="n"/>
      <c r="D435" s="295" t="n"/>
      <c r="E435" s="295" t="n"/>
      <c r="F435" s="295" t="n"/>
      <c r="G435" s="290" t="n"/>
      <c r="H435" s="295" t="n"/>
      <c r="I435" s="295" t="n"/>
      <c r="J435" s="290" t="n"/>
      <c r="K435" s="347" t="n"/>
      <c r="L435" s="295" t="n"/>
      <c r="M435" s="348" t="n"/>
      <c r="N435" s="295" t="n"/>
      <c r="O435" s="293" t="n"/>
      <c r="P435" s="295" t="n"/>
      <c r="Q435" s="295" t="n"/>
      <c r="R435" s="290" t="n"/>
      <c r="S435" s="295" t="n"/>
      <c r="T435" s="295" t="n"/>
      <c r="U435" s="293" t="n"/>
      <c r="V435" s="295" t="n"/>
      <c r="W435" s="290" t="n"/>
      <c r="X435" s="295" t="n"/>
      <c r="Y435" s="295" t="n"/>
      <c r="Z435" s="295" t="n"/>
      <c r="AA435" s="295" t="n"/>
      <c r="AB435" s="293" t="n"/>
      <c r="AC435" s="295" t="n"/>
      <c r="AD435" s="295" t="n"/>
      <c r="AE435" s="294" t="n"/>
    </row>
    <row r="436">
      <c r="B436" s="279" t="n"/>
      <c r="C436" s="280" t="n"/>
      <c r="D436" s="295" t="n"/>
      <c r="E436" s="295" t="n"/>
      <c r="F436" s="295" t="n"/>
      <c r="G436" s="282" t="n"/>
      <c r="H436" s="295" t="n"/>
      <c r="I436" s="295" t="n"/>
      <c r="J436" s="282" t="n"/>
      <c r="K436" s="345" t="n"/>
      <c r="L436" s="295" t="n"/>
      <c r="M436" s="346" t="n"/>
      <c r="N436" s="295" t="n"/>
      <c r="O436" s="285" t="n"/>
      <c r="P436" s="295" t="n"/>
      <c r="Q436" s="295" t="n"/>
      <c r="R436" s="282" t="n"/>
      <c r="S436" s="295" t="n"/>
      <c r="T436" s="295" t="n"/>
      <c r="U436" s="285" t="n"/>
      <c r="V436" s="295" t="n"/>
      <c r="W436" s="282" t="n"/>
      <c r="X436" s="295" t="n"/>
      <c r="Y436" s="295" t="n"/>
      <c r="Z436" s="295" t="n"/>
      <c r="AA436" s="295" t="n"/>
      <c r="AB436" s="285" t="n"/>
      <c r="AC436" s="295" t="n"/>
      <c r="AD436" s="295" t="n"/>
      <c r="AE436" s="286" t="n"/>
    </row>
    <row r="437">
      <c r="B437" s="287" t="n"/>
      <c r="C437" s="288" t="n"/>
      <c r="D437" s="295" t="n"/>
      <c r="E437" s="295" t="n"/>
      <c r="F437" s="295" t="n"/>
      <c r="G437" s="290" t="n"/>
      <c r="H437" s="295" t="n"/>
      <c r="I437" s="295" t="n"/>
      <c r="J437" s="290" t="n"/>
      <c r="K437" s="347" t="n"/>
      <c r="L437" s="295" t="n"/>
      <c r="M437" s="348" t="n"/>
      <c r="N437" s="295" t="n"/>
      <c r="O437" s="293" t="n"/>
      <c r="P437" s="295" t="n"/>
      <c r="Q437" s="295" t="n"/>
      <c r="R437" s="290" t="n"/>
      <c r="S437" s="295" t="n"/>
      <c r="T437" s="295" t="n"/>
      <c r="U437" s="293" t="n"/>
      <c r="V437" s="295" t="n"/>
      <c r="W437" s="290" t="n"/>
      <c r="X437" s="295" t="n"/>
      <c r="Y437" s="295" t="n"/>
      <c r="Z437" s="295" t="n"/>
      <c r="AA437" s="295" t="n"/>
      <c r="AB437" s="293" t="n"/>
      <c r="AC437" s="295" t="n"/>
      <c r="AD437" s="295" t="n"/>
      <c r="AE437" s="294" t="n"/>
    </row>
    <row r="438">
      <c r="B438" s="279" t="n"/>
      <c r="C438" s="280" t="n"/>
      <c r="D438" s="295" t="n"/>
      <c r="E438" s="295" t="n"/>
      <c r="F438" s="295" t="n"/>
      <c r="G438" s="282" t="n"/>
      <c r="H438" s="295" t="n"/>
      <c r="I438" s="295" t="n"/>
      <c r="J438" s="282" t="n"/>
      <c r="K438" s="345" t="n"/>
      <c r="L438" s="295" t="n"/>
      <c r="M438" s="346" t="n"/>
      <c r="N438" s="295" t="n"/>
      <c r="O438" s="285" t="n"/>
      <c r="P438" s="295" t="n"/>
      <c r="Q438" s="295" t="n"/>
      <c r="R438" s="282" t="n"/>
      <c r="S438" s="295" t="n"/>
      <c r="T438" s="295" t="n"/>
      <c r="U438" s="285" t="n"/>
      <c r="V438" s="295" t="n"/>
      <c r="W438" s="282" t="n"/>
      <c r="X438" s="295" t="n"/>
      <c r="Y438" s="295" t="n"/>
      <c r="Z438" s="295" t="n"/>
      <c r="AA438" s="295" t="n"/>
      <c r="AB438" s="285" t="n"/>
      <c r="AC438" s="295" t="n"/>
      <c r="AD438" s="295" t="n"/>
      <c r="AE438" s="286" t="n"/>
    </row>
    <row r="439">
      <c r="B439" s="287" t="n"/>
      <c r="C439" s="288" t="n"/>
      <c r="D439" s="295" t="n"/>
      <c r="E439" s="295" t="n"/>
      <c r="F439" s="295" t="n"/>
      <c r="G439" s="290" t="n"/>
      <c r="H439" s="295" t="n"/>
      <c r="I439" s="295" t="n"/>
      <c r="J439" s="290" t="n"/>
      <c r="K439" s="347" t="n"/>
      <c r="L439" s="295" t="n"/>
      <c r="M439" s="348" t="n"/>
      <c r="N439" s="295" t="n"/>
      <c r="O439" s="293" t="n"/>
      <c r="P439" s="295" t="n"/>
      <c r="Q439" s="295" t="n"/>
      <c r="R439" s="290" t="n"/>
      <c r="S439" s="295" t="n"/>
      <c r="T439" s="295" t="n"/>
      <c r="U439" s="293" t="n"/>
      <c r="V439" s="295" t="n"/>
      <c r="W439" s="290" t="n"/>
      <c r="X439" s="295" t="n"/>
      <c r="Y439" s="295" t="n"/>
      <c r="Z439" s="295" t="n"/>
      <c r="AA439" s="295" t="n"/>
      <c r="AB439" s="293" t="n"/>
      <c r="AC439" s="295" t="n"/>
      <c r="AD439" s="295" t="n"/>
      <c r="AE439" s="294" t="n"/>
    </row>
    <row r="440">
      <c r="B440" s="279" t="n"/>
      <c r="C440" s="280" t="n"/>
      <c r="D440" s="295" t="n"/>
      <c r="E440" s="295" t="n"/>
      <c r="F440" s="295" t="n"/>
      <c r="G440" s="282" t="n"/>
      <c r="H440" s="295" t="n"/>
      <c r="I440" s="295" t="n"/>
      <c r="J440" s="282" t="n"/>
      <c r="K440" s="345" t="n"/>
      <c r="L440" s="295" t="n"/>
      <c r="M440" s="346" t="n"/>
      <c r="N440" s="295" t="n"/>
      <c r="O440" s="285" t="n"/>
      <c r="P440" s="295" t="n"/>
      <c r="Q440" s="295" t="n"/>
      <c r="R440" s="282" t="n"/>
      <c r="S440" s="295" t="n"/>
      <c r="T440" s="295" t="n"/>
      <c r="U440" s="285" t="n"/>
      <c r="V440" s="295" t="n"/>
      <c r="W440" s="282" t="n"/>
      <c r="X440" s="295" t="n"/>
      <c r="Y440" s="295" t="n"/>
      <c r="Z440" s="295" t="n"/>
      <c r="AA440" s="295" t="n"/>
      <c r="AB440" s="285" t="n"/>
      <c r="AC440" s="295" t="n"/>
      <c r="AD440" s="295" t="n"/>
      <c r="AE440" s="286" t="n"/>
    </row>
    <row r="441">
      <c r="B441" s="287" t="n"/>
      <c r="C441" s="288" t="n"/>
      <c r="D441" s="295" t="n"/>
      <c r="E441" s="295" t="n"/>
      <c r="F441" s="295" t="n"/>
      <c r="G441" s="290" t="n"/>
      <c r="H441" s="295" t="n"/>
      <c r="I441" s="295" t="n"/>
      <c r="J441" s="290" t="n"/>
      <c r="K441" s="347" t="n"/>
      <c r="L441" s="295" t="n"/>
      <c r="M441" s="348" t="n"/>
      <c r="N441" s="295" t="n"/>
      <c r="O441" s="293" t="n"/>
      <c r="P441" s="295" t="n"/>
      <c r="Q441" s="295" t="n"/>
      <c r="R441" s="290" t="n"/>
      <c r="S441" s="295" t="n"/>
      <c r="T441" s="295" t="n"/>
      <c r="U441" s="293" t="n"/>
      <c r="V441" s="295" t="n"/>
      <c r="W441" s="290" t="n"/>
      <c r="X441" s="295" t="n"/>
      <c r="Y441" s="295" t="n"/>
      <c r="Z441" s="295" t="n"/>
      <c r="AA441" s="295" t="n"/>
      <c r="AB441" s="293" t="n"/>
      <c r="AC441" s="295" t="n"/>
      <c r="AD441" s="295" t="n"/>
      <c r="AE441" s="294" t="n"/>
    </row>
    <row r="442">
      <c r="B442" s="279" t="n"/>
      <c r="C442" s="280" t="n"/>
      <c r="D442" s="295" t="n"/>
      <c r="E442" s="295" t="n"/>
      <c r="F442" s="295" t="n"/>
      <c r="G442" s="282" t="n"/>
      <c r="H442" s="295" t="n"/>
      <c r="I442" s="295" t="n"/>
      <c r="J442" s="282" t="n"/>
      <c r="K442" s="345" t="n"/>
      <c r="L442" s="295" t="n"/>
      <c r="M442" s="346" t="n"/>
      <c r="N442" s="295" t="n"/>
      <c r="O442" s="285" t="n"/>
      <c r="P442" s="295" t="n"/>
      <c r="Q442" s="295" t="n"/>
      <c r="R442" s="282" t="n"/>
      <c r="S442" s="295" t="n"/>
      <c r="T442" s="295" t="n"/>
      <c r="U442" s="285" t="n"/>
      <c r="V442" s="295" t="n"/>
      <c r="W442" s="282" t="n"/>
      <c r="X442" s="295" t="n"/>
      <c r="Y442" s="295" t="n"/>
      <c r="Z442" s="295" t="n"/>
      <c r="AA442" s="295" t="n"/>
      <c r="AB442" s="285" t="n"/>
      <c r="AC442" s="295" t="n"/>
      <c r="AD442" s="295" t="n"/>
      <c r="AE442" s="286" t="n"/>
    </row>
    <row r="443">
      <c r="B443" s="287" t="n"/>
      <c r="C443" s="288" t="n"/>
      <c r="D443" s="295" t="n"/>
      <c r="E443" s="295" t="n"/>
      <c r="F443" s="295" t="n"/>
      <c r="G443" s="290" t="n"/>
      <c r="H443" s="295" t="n"/>
      <c r="I443" s="295" t="n"/>
      <c r="J443" s="290" t="n"/>
      <c r="K443" s="347" t="n"/>
      <c r="L443" s="295" t="n"/>
      <c r="M443" s="348" t="n"/>
      <c r="N443" s="295" t="n"/>
      <c r="O443" s="293" t="n"/>
      <c r="P443" s="295" t="n"/>
      <c r="Q443" s="295" t="n"/>
      <c r="R443" s="290" t="n"/>
      <c r="S443" s="295" t="n"/>
      <c r="T443" s="295" t="n"/>
      <c r="U443" s="293" t="n"/>
      <c r="V443" s="295" t="n"/>
      <c r="W443" s="290" t="n"/>
      <c r="X443" s="295" t="n"/>
      <c r="Y443" s="295" t="n"/>
      <c r="Z443" s="295" t="n"/>
      <c r="AA443" s="295" t="n"/>
      <c r="AB443" s="293" t="n"/>
      <c r="AC443" s="295" t="n"/>
      <c r="AD443" s="295" t="n"/>
      <c r="AE443" s="294" t="n"/>
    </row>
    <row r="444">
      <c r="B444" s="279" t="n"/>
      <c r="C444" s="280" t="n"/>
      <c r="D444" s="295" t="n"/>
      <c r="E444" s="295" t="n"/>
      <c r="F444" s="295" t="n"/>
      <c r="G444" s="282" t="n"/>
      <c r="H444" s="295" t="n"/>
      <c r="I444" s="295" t="n"/>
      <c r="J444" s="282" t="n"/>
      <c r="K444" s="345" t="n"/>
      <c r="L444" s="295" t="n"/>
      <c r="M444" s="346" t="n"/>
      <c r="N444" s="295" t="n"/>
      <c r="O444" s="285" t="n"/>
      <c r="P444" s="295" t="n"/>
      <c r="Q444" s="295" t="n"/>
      <c r="R444" s="282" t="n"/>
      <c r="S444" s="295" t="n"/>
      <c r="T444" s="295" t="n"/>
      <c r="U444" s="285" t="n"/>
      <c r="V444" s="295" t="n"/>
      <c r="W444" s="282" t="n"/>
      <c r="X444" s="295" t="n"/>
      <c r="Y444" s="295" t="n"/>
      <c r="Z444" s="295" t="n"/>
      <c r="AA444" s="295" t="n"/>
      <c r="AB444" s="285" t="n"/>
      <c r="AC444" s="295" t="n"/>
      <c r="AD444" s="295" t="n"/>
      <c r="AE444" s="286" t="n"/>
    </row>
    <row r="445">
      <c r="B445" s="279" t="n"/>
      <c r="C445" s="280" t="n"/>
      <c r="D445" s="295" t="n"/>
      <c r="E445" s="295" t="n"/>
      <c r="F445" s="295" t="n"/>
      <c r="G445" s="282" t="n"/>
      <c r="H445" s="295" t="n"/>
      <c r="I445" s="295" t="n"/>
      <c r="J445" s="282" t="n"/>
      <c r="K445" s="345" t="n"/>
      <c r="L445" s="295" t="n"/>
      <c r="M445" s="346" t="n"/>
      <c r="N445" s="295" t="n"/>
      <c r="O445" s="285" t="n"/>
      <c r="P445" s="295" t="n"/>
      <c r="Q445" s="295" t="n"/>
      <c r="R445" s="282" t="n"/>
      <c r="S445" s="295" t="n"/>
      <c r="T445" s="295" t="n"/>
      <c r="U445" s="285" t="n"/>
      <c r="V445" s="295" t="n"/>
      <c r="W445" s="282" t="n"/>
      <c r="X445" s="295" t="n"/>
      <c r="Y445" s="295" t="n"/>
      <c r="Z445" s="295" t="n"/>
      <c r="AA445" s="295" t="n"/>
      <c r="AB445" s="285" t="n"/>
      <c r="AC445" s="295" t="n"/>
      <c r="AD445" s="295" t="n"/>
      <c r="AE445" s="286" t="n"/>
    </row>
    <row r="446">
      <c r="B446" s="287" t="n"/>
      <c r="C446" s="288" t="n"/>
      <c r="D446" s="295" t="n"/>
      <c r="E446" s="295" t="n"/>
      <c r="F446" s="295" t="n"/>
      <c r="G446" s="290" t="n"/>
      <c r="H446" s="295" t="n"/>
      <c r="I446" s="295" t="n"/>
      <c r="J446" s="290" t="n"/>
      <c r="K446" s="347" t="n"/>
      <c r="L446" s="295" t="n"/>
      <c r="M446" s="348" t="n"/>
      <c r="N446" s="295" t="n"/>
      <c r="O446" s="293" t="n"/>
      <c r="P446" s="295" t="n"/>
      <c r="Q446" s="295" t="n"/>
      <c r="R446" s="290" t="n"/>
      <c r="S446" s="295" t="n"/>
      <c r="T446" s="295" t="n"/>
      <c r="U446" s="293" t="n"/>
      <c r="V446" s="295" t="n"/>
      <c r="W446" s="290" t="n"/>
      <c r="X446" s="295" t="n"/>
      <c r="Y446" s="295" t="n"/>
      <c r="Z446" s="295" t="n"/>
      <c r="AA446" s="295" t="n"/>
      <c r="AB446" s="293" t="n"/>
      <c r="AC446" s="295" t="n"/>
      <c r="AD446" s="295" t="n"/>
      <c r="AE446" s="294" t="n"/>
    </row>
    <row r="447">
      <c r="B447" s="279" t="n"/>
      <c r="C447" s="280" t="n"/>
      <c r="D447" s="295" t="n"/>
      <c r="E447" s="295" t="n"/>
      <c r="F447" s="295" t="n"/>
      <c r="G447" s="282" t="n"/>
      <c r="H447" s="295" t="n"/>
      <c r="I447" s="295" t="n"/>
      <c r="J447" s="282" t="n"/>
      <c r="K447" s="345" t="n"/>
      <c r="L447" s="295" t="n"/>
      <c r="M447" s="346" t="n"/>
      <c r="N447" s="295" t="n"/>
      <c r="O447" s="285" t="n"/>
      <c r="P447" s="295" t="n"/>
      <c r="Q447" s="295" t="n"/>
      <c r="R447" s="282" t="n"/>
      <c r="S447" s="295" t="n"/>
      <c r="T447" s="295" t="n"/>
      <c r="U447" s="285" t="n"/>
      <c r="V447" s="295" t="n"/>
      <c r="W447" s="282" t="n"/>
      <c r="X447" s="295" t="n"/>
      <c r="Y447" s="295" t="n"/>
      <c r="Z447" s="295" t="n"/>
      <c r="AA447" s="295" t="n"/>
      <c r="AB447" s="285" t="n"/>
      <c r="AC447" s="295" t="n"/>
      <c r="AD447" s="295" t="n"/>
      <c r="AE447" s="286" t="n"/>
    </row>
    <row r="448">
      <c r="B448" s="287" t="n"/>
      <c r="C448" s="288" t="n"/>
      <c r="D448" s="295" t="n"/>
      <c r="E448" s="295" t="n"/>
      <c r="F448" s="295" t="n"/>
      <c r="G448" s="290" t="n"/>
      <c r="H448" s="295" t="n"/>
      <c r="I448" s="295" t="n"/>
      <c r="J448" s="290" t="n"/>
      <c r="K448" s="347" t="n"/>
      <c r="L448" s="295" t="n"/>
      <c r="M448" s="348" t="n"/>
      <c r="N448" s="295" t="n"/>
      <c r="O448" s="293" t="n"/>
      <c r="P448" s="295" t="n"/>
      <c r="Q448" s="295" t="n"/>
      <c r="R448" s="290" t="n"/>
      <c r="S448" s="295" t="n"/>
      <c r="T448" s="295" t="n"/>
      <c r="U448" s="293" t="n"/>
      <c r="V448" s="295" t="n"/>
      <c r="W448" s="290" t="n"/>
      <c r="X448" s="295" t="n"/>
      <c r="Y448" s="295" t="n"/>
      <c r="Z448" s="295" t="n"/>
      <c r="AA448" s="295" t="n"/>
      <c r="AB448" s="293" t="n"/>
      <c r="AC448" s="295" t="n"/>
      <c r="AD448" s="295" t="n"/>
      <c r="AE448" s="294" t="n"/>
    </row>
    <row r="449">
      <c r="B449" s="279" t="n"/>
      <c r="C449" s="280" t="n"/>
      <c r="D449" s="295" t="n"/>
      <c r="E449" s="295" t="n"/>
      <c r="F449" s="295" t="n"/>
      <c r="G449" s="282" t="n"/>
      <c r="H449" s="295" t="n"/>
      <c r="I449" s="295" t="n"/>
      <c r="J449" s="282" t="n"/>
      <c r="K449" s="345" t="n"/>
      <c r="L449" s="295" t="n"/>
      <c r="M449" s="346" t="n"/>
      <c r="N449" s="295" t="n"/>
      <c r="O449" s="285" t="n"/>
      <c r="P449" s="295" t="n"/>
      <c r="Q449" s="295" t="n"/>
      <c r="R449" s="282" t="n"/>
      <c r="S449" s="295" t="n"/>
      <c r="T449" s="295" t="n"/>
      <c r="U449" s="285" t="n"/>
      <c r="V449" s="295" t="n"/>
      <c r="W449" s="282" t="n"/>
      <c r="X449" s="295" t="n"/>
      <c r="Y449" s="295" t="n"/>
      <c r="Z449" s="295" t="n"/>
      <c r="AA449" s="295" t="n"/>
      <c r="AB449" s="285" t="n"/>
      <c r="AC449" s="295" t="n"/>
      <c r="AD449" s="295" t="n"/>
      <c r="AE449" s="286" t="n"/>
    </row>
    <row r="450">
      <c r="B450" s="287" t="n"/>
      <c r="C450" s="288" t="n"/>
      <c r="D450" s="295" t="n"/>
      <c r="E450" s="295" t="n"/>
      <c r="F450" s="295" t="n"/>
      <c r="G450" s="290" t="n"/>
      <c r="H450" s="295" t="n"/>
      <c r="I450" s="295" t="n"/>
      <c r="J450" s="290" t="n"/>
      <c r="K450" s="347" t="n"/>
      <c r="L450" s="295" t="n"/>
      <c r="M450" s="348" t="n"/>
      <c r="N450" s="295" t="n"/>
      <c r="O450" s="293" t="n"/>
      <c r="P450" s="295" t="n"/>
      <c r="Q450" s="295" t="n"/>
      <c r="R450" s="290" t="n"/>
      <c r="S450" s="295" t="n"/>
      <c r="T450" s="295" t="n"/>
      <c r="U450" s="293" t="n"/>
      <c r="V450" s="295" t="n"/>
      <c r="W450" s="290" t="n"/>
      <c r="X450" s="295" t="n"/>
      <c r="Y450" s="295" t="n"/>
      <c r="Z450" s="295" t="n"/>
      <c r="AA450" s="295" t="n"/>
      <c r="AB450" s="293" t="n"/>
      <c r="AC450" s="295" t="n"/>
      <c r="AD450" s="295" t="n"/>
      <c r="AE450" s="294" t="n"/>
    </row>
    <row r="451">
      <c r="B451" s="279" t="n"/>
      <c r="C451" s="280" t="n"/>
      <c r="D451" s="295" t="n"/>
      <c r="E451" s="295" t="n"/>
      <c r="F451" s="295" t="n"/>
      <c r="G451" s="282" t="n"/>
      <c r="H451" s="295" t="n"/>
      <c r="I451" s="295" t="n"/>
      <c r="J451" s="282" t="n"/>
      <c r="K451" s="345" t="n"/>
      <c r="L451" s="295" t="n"/>
      <c r="M451" s="346" t="n"/>
      <c r="N451" s="295" t="n"/>
      <c r="O451" s="285" t="n"/>
      <c r="P451" s="295" t="n"/>
      <c r="Q451" s="295" t="n"/>
      <c r="R451" s="282" t="n"/>
      <c r="S451" s="295" t="n"/>
      <c r="T451" s="295" t="n"/>
      <c r="U451" s="285" t="n"/>
      <c r="V451" s="295" t="n"/>
      <c r="W451" s="282" t="n"/>
      <c r="X451" s="295" t="n"/>
      <c r="Y451" s="295" t="n"/>
      <c r="Z451" s="295" t="n"/>
      <c r="AA451" s="295" t="n"/>
      <c r="AB451" s="285" t="n"/>
      <c r="AC451" s="295" t="n"/>
      <c r="AD451" s="295" t="n"/>
      <c r="AE451" s="286" t="n"/>
    </row>
    <row r="452">
      <c r="B452" s="287" t="n"/>
      <c r="C452" s="288" t="n"/>
      <c r="D452" s="295" t="n"/>
      <c r="E452" s="295" t="n"/>
      <c r="F452" s="295" t="n"/>
      <c r="G452" s="290" t="n"/>
      <c r="H452" s="295" t="n"/>
      <c r="I452" s="295" t="n"/>
      <c r="J452" s="290" t="n"/>
      <c r="K452" s="347" t="n"/>
      <c r="L452" s="295" t="n"/>
      <c r="M452" s="348" t="n"/>
      <c r="N452" s="295" t="n"/>
      <c r="O452" s="293" t="n"/>
      <c r="P452" s="295" t="n"/>
      <c r="Q452" s="295" t="n"/>
      <c r="R452" s="290" t="n"/>
      <c r="S452" s="295" t="n"/>
      <c r="T452" s="295" t="n"/>
      <c r="U452" s="293" t="n"/>
      <c r="V452" s="295" t="n"/>
      <c r="W452" s="290" t="n"/>
      <c r="X452" s="295" t="n"/>
      <c r="Y452" s="295" t="n"/>
      <c r="Z452" s="295" t="n"/>
      <c r="AA452" s="295" t="n"/>
      <c r="AB452" s="293" t="n"/>
      <c r="AC452" s="295" t="n"/>
      <c r="AD452" s="295" t="n"/>
      <c r="AE452" s="294" t="n"/>
    </row>
    <row r="453">
      <c r="B453" s="279" t="n"/>
      <c r="C453" s="280" t="n"/>
      <c r="D453" s="295" t="n"/>
      <c r="E453" s="295" t="n"/>
      <c r="F453" s="295" t="n"/>
      <c r="G453" s="282" t="n"/>
      <c r="H453" s="295" t="n"/>
      <c r="I453" s="295" t="n"/>
      <c r="J453" s="282" t="n"/>
      <c r="K453" s="345" t="n"/>
      <c r="L453" s="295" t="n"/>
      <c r="M453" s="346" t="n"/>
      <c r="N453" s="295" t="n"/>
      <c r="O453" s="285" t="n"/>
      <c r="P453" s="295" t="n"/>
      <c r="Q453" s="295" t="n"/>
      <c r="R453" s="282" t="n"/>
      <c r="S453" s="295" t="n"/>
      <c r="T453" s="295" t="n"/>
      <c r="U453" s="285" t="n"/>
      <c r="V453" s="295" t="n"/>
      <c r="W453" s="282" t="n"/>
      <c r="X453" s="295" t="n"/>
      <c r="Y453" s="295" t="n"/>
      <c r="Z453" s="295" t="n"/>
      <c r="AA453" s="295" t="n"/>
      <c r="AB453" s="285" t="n"/>
      <c r="AC453" s="295" t="n"/>
      <c r="AD453" s="295" t="n"/>
      <c r="AE453" s="286" t="n"/>
    </row>
    <row r="454">
      <c r="B454" s="287" t="n"/>
      <c r="C454" s="288" t="n"/>
      <c r="D454" s="295" t="n"/>
      <c r="E454" s="295" t="n"/>
      <c r="F454" s="295" t="n"/>
      <c r="G454" s="290" t="n"/>
      <c r="H454" s="295" t="n"/>
      <c r="I454" s="295" t="n"/>
      <c r="J454" s="290" t="n"/>
      <c r="K454" s="347" t="n"/>
      <c r="L454" s="295" t="n"/>
      <c r="M454" s="348" t="n"/>
      <c r="N454" s="295" t="n"/>
      <c r="O454" s="293" t="n"/>
      <c r="P454" s="295" t="n"/>
      <c r="Q454" s="295" t="n"/>
      <c r="R454" s="290" t="n"/>
      <c r="S454" s="295" t="n"/>
      <c r="T454" s="295" t="n"/>
      <c r="U454" s="293" t="n"/>
      <c r="V454" s="295" t="n"/>
      <c r="W454" s="290" t="n"/>
      <c r="X454" s="295" t="n"/>
      <c r="Y454" s="295" t="n"/>
      <c r="Z454" s="295" t="n"/>
      <c r="AA454" s="295" t="n"/>
      <c r="AB454" s="293" t="n"/>
      <c r="AC454" s="295" t="n"/>
      <c r="AD454" s="295" t="n"/>
      <c r="AE454" s="294" t="n"/>
    </row>
    <row r="455">
      <c r="B455" s="279" t="n"/>
      <c r="C455" s="280" t="n"/>
      <c r="D455" s="295" t="n"/>
      <c r="E455" s="295" t="n"/>
      <c r="F455" s="295" t="n"/>
      <c r="G455" s="282" t="n"/>
      <c r="H455" s="295" t="n"/>
      <c r="I455" s="295" t="n"/>
      <c r="J455" s="282" t="n"/>
      <c r="K455" s="345" t="n"/>
      <c r="L455" s="295" t="n"/>
      <c r="M455" s="346" t="n"/>
      <c r="N455" s="295" t="n"/>
      <c r="O455" s="285" t="n"/>
      <c r="P455" s="295" t="n"/>
      <c r="Q455" s="295" t="n"/>
      <c r="R455" s="282" t="n"/>
      <c r="S455" s="295" t="n"/>
      <c r="T455" s="295" t="n"/>
      <c r="U455" s="285" t="n"/>
      <c r="V455" s="295" t="n"/>
      <c r="W455" s="282" t="n"/>
      <c r="X455" s="295" t="n"/>
      <c r="Y455" s="295" t="n"/>
      <c r="Z455" s="295" t="n"/>
      <c r="AA455" s="295" t="n"/>
      <c r="AB455" s="285" t="n"/>
      <c r="AC455" s="295" t="n"/>
      <c r="AD455" s="295" t="n"/>
      <c r="AE455" s="286" t="n"/>
    </row>
    <row r="456">
      <c r="B456" s="152" t="n"/>
      <c r="C456" s="153" t="n"/>
      <c r="G456" s="155" t="n"/>
      <c r="J456" s="155" t="n"/>
      <c r="K456" s="349" t="n"/>
      <c r="M456" s="350" t="n"/>
      <c r="O456" s="158" t="n"/>
      <c r="R456" s="155" t="n"/>
      <c r="U456" s="158" t="n"/>
      <c r="W456" s="155" t="n"/>
      <c r="AB456" s="158" t="n"/>
      <c r="AE456" s="159" t="n"/>
    </row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71"/>
  <mergeCells count="1765">
    <mergeCell ref="U420:V420"/>
    <mergeCell ref="R415:T415"/>
    <mergeCell ref="G288:I288"/>
    <mergeCell ref="W367:AA367"/>
    <mergeCell ref="G323:I323"/>
    <mergeCell ref="G298:I298"/>
    <mergeCell ref="U291:V291"/>
    <mergeCell ref="W359:AA359"/>
    <mergeCell ref="G412:I412"/>
    <mergeCell ref="W369:AA369"/>
    <mergeCell ref="R440:T440"/>
    <mergeCell ref="K302:L302"/>
    <mergeCell ref="P158:Q158"/>
    <mergeCell ref="M358:N358"/>
    <mergeCell ref="U293:V293"/>
    <mergeCell ref="U415:V415"/>
    <mergeCell ref="R439:T439"/>
    <mergeCell ref="G443:I443"/>
    <mergeCell ref="U292:V292"/>
    <mergeCell ref="AB430:AD430"/>
    <mergeCell ref="M366:N366"/>
    <mergeCell ref="M360:N360"/>
    <mergeCell ref="R441:T441"/>
    <mergeCell ref="C368:F368"/>
    <mergeCell ref="R435:T435"/>
    <mergeCell ref="U317:V317"/>
    <mergeCell ref="R312:T312"/>
    <mergeCell ref="M361:N361"/>
    <mergeCell ref="C364:F364"/>
    <mergeCell ref="O425:Q425"/>
    <mergeCell ref="K328:L328"/>
    <mergeCell ref="U319:V319"/>
    <mergeCell ref="U318:V318"/>
    <mergeCell ref="W405:AA405"/>
    <mergeCell ref="M392:N392"/>
    <mergeCell ref="U312:V312"/>
    <mergeCell ref="M386:N386"/>
    <mergeCell ref="D219:F219"/>
    <mergeCell ref="W293:AA293"/>
    <mergeCell ref="U320:V320"/>
    <mergeCell ref="W407:AA407"/>
    <mergeCell ref="M394:N394"/>
    <mergeCell ref="U314:V314"/>
    <mergeCell ref="G367:I367"/>
    <mergeCell ref="M387:N387"/>
    <mergeCell ref="W438:AA438"/>
    <mergeCell ref="R365:T365"/>
    <mergeCell ref="O295:Q295"/>
    <mergeCell ref="G369:I369"/>
    <mergeCell ref="R454:T454"/>
    <mergeCell ref="C419:F419"/>
    <mergeCell ref="AB355:AD355"/>
    <mergeCell ref="G368:I368"/>
    <mergeCell ref="W439:AA439"/>
    <mergeCell ref="W433:AA433"/>
    <mergeCell ref="K341:L341"/>
    <mergeCell ref="G364:I364"/>
    <mergeCell ref="M316:N316"/>
    <mergeCell ref="U373:V373"/>
    <mergeCell ref="W435:AA435"/>
    <mergeCell ref="M405:N405"/>
    <mergeCell ref="AB356:AD356"/>
    <mergeCell ref="R376:T376"/>
    <mergeCell ref="U389:V389"/>
    <mergeCell ref="R378:T378"/>
    <mergeCell ref="O341:Q341"/>
    <mergeCell ref="M157:Q157"/>
    <mergeCell ref="U384:V384"/>
    <mergeCell ref="G408:I408"/>
    <mergeCell ref="W365:AA365"/>
    <mergeCell ref="C279:F279"/>
    <mergeCell ref="K273:L273"/>
    <mergeCell ref="U386:V386"/>
    <mergeCell ref="G410:I410"/>
    <mergeCell ref="C281:F281"/>
    <mergeCell ref="G439:I439"/>
    <mergeCell ref="F192:I192"/>
    <mergeCell ref="M331:N331"/>
    <mergeCell ref="L50:M50"/>
    <mergeCell ref="L25:M25"/>
    <mergeCell ref="O395:Q395"/>
    <mergeCell ref="R437:T437"/>
    <mergeCell ref="O367:Q367"/>
    <mergeCell ref="AB428:AD428"/>
    <mergeCell ref="G441:I441"/>
    <mergeCell ref="G435:I435"/>
    <mergeCell ref="L52:M52"/>
    <mergeCell ref="G312:I312"/>
    <mergeCell ref="G434:I434"/>
    <mergeCell ref="O396:Q396"/>
    <mergeCell ref="O390:Q390"/>
    <mergeCell ref="K413:L413"/>
    <mergeCell ref="AB423:AD423"/>
    <mergeCell ref="G436:I436"/>
    <mergeCell ref="U404:V404"/>
    <mergeCell ref="O398:Q398"/>
    <mergeCell ref="W376:AA376"/>
    <mergeCell ref="H256:I256"/>
    <mergeCell ref="K415:L415"/>
    <mergeCell ref="U397:V397"/>
    <mergeCell ref="U316:V316"/>
    <mergeCell ref="W378:AA378"/>
    <mergeCell ref="U310:V310"/>
    <mergeCell ref="K286:L286"/>
    <mergeCell ref="AB297:AD297"/>
    <mergeCell ref="AB299:AD299"/>
    <mergeCell ref="K410:L410"/>
    <mergeCell ref="O414:Q414"/>
    <mergeCell ref="O291:Q291"/>
    <mergeCell ref="R450:T450"/>
    <mergeCell ref="AB292:AD292"/>
    <mergeCell ref="G454:I454"/>
    <mergeCell ref="O293:Q293"/>
    <mergeCell ref="R452:T452"/>
    <mergeCell ref="AB294:AD294"/>
    <mergeCell ref="O409:Q409"/>
    <mergeCell ref="K337:L337"/>
    <mergeCell ref="K312:L312"/>
    <mergeCell ref="AB404:AD404"/>
    <mergeCell ref="H267:I267"/>
    <mergeCell ref="G449:I449"/>
    <mergeCell ref="K339:L339"/>
    <mergeCell ref="K314:L314"/>
    <mergeCell ref="M401:N401"/>
    <mergeCell ref="M395:N395"/>
    <mergeCell ref="U452:V452"/>
    <mergeCell ref="L2:M2"/>
    <mergeCell ref="C380:F380"/>
    <mergeCell ref="U329:V329"/>
    <mergeCell ref="M403:N403"/>
    <mergeCell ref="W432:AA432"/>
    <mergeCell ref="L3:M3"/>
    <mergeCell ref="C434:F434"/>
    <mergeCell ref="M398:N398"/>
    <mergeCell ref="L5:M5"/>
    <mergeCell ref="U380:V380"/>
    <mergeCell ref="M423:N423"/>
    <mergeCell ref="K350:L350"/>
    <mergeCell ref="W450:AA450"/>
    <mergeCell ref="U382:V382"/>
    <mergeCell ref="U357:V357"/>
    <mergeCell ref="M431:N431"/>
    <mergeCell ref="K352:L352"/>
    <mergeCell ref="M414:N414"/>
    <mergeCell ref="C277:F277"/>
    <mergeCell ref="M424:N424"/>
    <mergeCell ref="L21:M21"/>
    <mergeCell ref="C276:F276"/>
    <mergeCell ref="M416:N416"/>
    <mergeCell ref="C278:F278"/>
    <mergeCell ref="K376:L376"/>
    <mergeCell ref="O392:Q392"/>
    <mergeCell ref="L16:M16"/>
    <mergeCell ref="K384:L384"/>
    <mergeCell ref="K378:L378"/>
    <mergeCell ref="O394:Q394"/>
    <mergeCell ref="U393:V393"/>
    <mergeCell ref="M442:N442"/>
    <mergeCell ref="C288:F288"/>
    <mergeCell ref="K379:L379"/>
    <mergeCell ref="U395:V395"/>
    <mergeCell ref="R273:T273"/>
    <mergeCell ref="K406:L406"/>
    <mergeCell ref="G277:I277"/>
    <mergeCell ref="I33:J33"/>
    <mergeCell ref="U426:V426"/>
    <mergeCell ref="O376:Q376"/>
    <mergeCell ref="L44:M44"/>
    <mergeCell ref="K437:L437"/>
    <mergeCell ref="C291:F291"/>
    <mergeCell ref="M284:N284"/>
    <mergeCell ref="AB290:AD290"/>
    <mergeCell ref="O378:Q378"/>
    <mergeCell ref="O405:Q405"/>
    <mergeCell ref="U421:V421"/>
    <mergeCell ref="G445:I445"/>
    <mergeCell ref="C347:F347"/>
    <mergeCell ref="O407:Q407"/>
    <mergeCell ref="K310:L310"/>
    <mergeCell ref="K432:L432"/>
    <mergeCell ref="U423:V423"/>
    <mergeCell ref="K424:L424"/>
    <mergeCell ref="C342:F342"/>
    <mergeCell ref="R292:T292"/>
    <mergeCell ref="C344:F344"/>
    <mergeCell ref="O433:Q433"/>
    <mergeCell ref="K450:L450"/>
    <mergeCell ref="O435:Q435"/>
    <mergeCell ref="W273:AA273"/>
    <mergeCell ref="K452:L452"/>
    <mergeCell ref="AB334:AD334"/>
    <mergeCell ref="G347:I347"/>
    <mergeCell ref="AB336:AD336"/>
    <mergeCell ref="AB329:AD329"/>
    <mergeCell ref="W413:AA413"/>
    <mergeCell ref="AB337:AD337"/>
    <mergeCell ref="AB331:AD331"/>
    <mergeCell ref="K380:L380"/>
    <mergeCell ref="W415:AA415"/>
    <mergeCell ref="M438:N438"/>
    <mergeCell ref="W286:AA286"/>
    <mergeCell ref="K375:L375"/>
    <mergeCell ref="C417:F417"/>
    <mergeCell ref="M440:N440"/>
    <mergeCell ref="C383:F383"/>
    <mergeCell ref="R358:T358"/>
    <mergeCell ref="G362:I362"/>
    <mergeCell ref="M435:N435"/>
    <mergeCell ref="R360:T360"/>
    <mergeCell ref="C287:F287"/>
    <mergeCell ref="G414:I414"/>
    <mergeCell ref="M280:N280"/>
    <mergeCell ref="U417:V417"/>
    <mergeCell ref="C289:F289"/>
    <mergeCell ref="K393:L393"/>
    <mergeCell ref="G416:I416"/>
    <mergeCell ref="U419:V419"/>
    <mergeCell ref="M275:N275"/>
    <mergeCell ref="M311:N311"/>
    <mergeCell ref="C314:F314"/>
    <mergeCell ref="O347:Q347"/>
    <mergeCell ref="C313:F313"/>
    <mergeCell ref="M277:N277"/>
    <mergeCell ref="AB279:AD279"/>
    <mergeCell ref="AB401:AD401"/>
    <mergeCell ref="G286:I286"/>
    <mergeCell ref="C315:F315"/>
    <mergeCell ref="O429:Q429"/>
    <mergeCell ref="R290:T290"/>
    <mergeCell ref="AB281:AD281"/>
    <mergeCell ref="AB403:AD403"/>
    <mergeCell ref="O431:Q431"/>
    <mergeCell ref="AB274:AD274"/>
    <mergeCell ref="G287:I287"/>
    <mergeCell ref="E192:E193"/>
    <mergeCell ref="U430:V430"/>
    <mergeCell ref="W358:AA358"/>
    <mergeCell ref="U290:V290"/>
    <mergeCell ref="R285:T285"/>
    <mergeCell ref="G289:I289"/>
    <mergeCell ref="K416:L416"/>
    <mergeCell ref="W360:AA360"/>
    <mergeCell ref="R316:T316"/>
    <mergeCell ref="G314:I314"/>
    <mergeCell ref="C326:F326"/>
    <mergeCell ref="AB300:AD300"/>
    <mergeCell ref="R274:T274"/>
    <mergeCell ref="O273:Q273"/>
    <mergeCell ref="G305:I305"/>
    <mergeCell ref="R311:T311"/>
    <mergeCell ref="H247:I247"/>
    <mergeCell ref="AB327:AD327"/>
    <mergeCell ref="U308:V308"/>
    <mergeCell ref="O442:Q442"/>
    <mergeCell ref="R303:T303"/>
    <mergeCell ref="W411:AA411"/>
    <mergeCell ref="W282:AA282"/>
    <mergeCell ref="AB447:AD447"/>
    <mergeCell ref="U309:V309"/>
    <mergeCell ref="C413:F413"/>
    <mergeCell ref="R300:T300"/>
    <mergeCell ref="C379:F379"/>
    <mergeCell ref="W283:AA283"/>
    <mergeCell ref="C415:F415"/>
    <mergeCell ref="R329:T329"/>
    <mergeCell ref="O284:Q284"/>
    <mergeCell ref="G358:I358"/>
    <mergeCell ref="C408:F408"/>
    <mergeCell ref="R295:T295"/>
    <mergeCell ref="R331:T331"/>
    <mergeCell ref="W308:AA308"/>
    <mergeCell ref="O286:Q286"/>
    <mergeCell ref="G360:I360"/>
    <mergeCell ref="C410:F410"/>
    <mergeCell ref="AB346:AD346"/>
    <mergeCell ref="W316:AA316"/>
    <mergeCell ref="G353:I353"/>
    <mergeCell ref="W310:AA310"/>
    <mergeCell ref="W309:AA309"/>
    <mergeCell ref="C397:F397"/>
    <mergeCell ref="AB371:AD371"/>
    <mergeCell ref="G384:I384"/>
    <mergeCell ref="W311:AA311"/>
    <mergeCell ref="R382:T382"/>
    <mergeCell ref="C426:F426"/>
    <mergeCell ref="M273:N273"/>
    <mergeCell ref="AB372:AD372"/>
    <mergeCell ref="C428:F428"/>
    <mergeCell ref="M302:N302"/>
    <mergeCell ref="K358:L358"/>
    <mergeCell ref="AB374:AD374"/>
    <mergeCell ref="AB399:AD399"/>
    <mergeCell ref="W452:AA452"/>
    <mergeCell ref="G283:I283"/>
    <mergeCell ref="M299:N299"/>
    <mergeCell ref="G253:G254"/>
    <mergeCell ref="G285:I285"/>
    <mergeCell ref="C454:F454"/>
    <mergeCell ref="M328:N328"/>
    <mergeCell ref="R393:T393"/>
    <mergeCell ref="G397:I397"/>
    <mergeCell ref="AB425:AD425"/>
    <mergeCell ref="W324:AA324"/>
    <mergeCell ref="R401:T401"/>
    <mergeCell ref="R395:T395"/>
    <mergeCell ref="AB296:AD296"/>
    <mergeCell ref="AB427:AD427"/>
    <mergeCell ref="W380:AA380"/>
    <mergeCell ref="O358:Q358"/>
    <mergeCell ref="L51:M51"/>
    <mergeCell ref="M317:N317"/>
    <mergeCell ref="AB298:AD298"/>
    <mergeCell ref="G311:I311"/>
    <mergeCell ref="R396:T396"/>
    <mergeCell ref="AB456:AD456"/>
    <mergeCell ref="W382:AA382"/>
    <mergeCell ref="K430:L430"/>
    <mergeCell ref="U272:V272"/>
    <mergeCell ref="M346:N346"/>
    <mergeCell ref="G296:I296"/>
    <mergeCell ref="M318:N318"/>
    <mergeCell ref="K283:L283"/>
    <mergeCell ref="AB443:AD443"/>
    <mergeCell ref="M312:N312"/>
    <mergeCell ref="R421:T421"/>
    <mergeCell ref="U299:V299"/>
    <mergeCell ref="U274:V274"/>
    <mergeCell ref="M348:N348"/>
    <mergeCell ref="W377:AA377"/>
    <mergeCell ref="K285:L285"/>
    <mergeCell ref="M347:N347"/>
    <mergeCell ref="M314:N314"/>
    <mergeCell ref="R325:T325"/>
    <mergeCell ref="R456:T456"/>
    <mergeCell ref="G451:I451"/>
    <mergeCell ref="G329:I329"/>
    <mergeCell ref="AB438:AD438"/>
    <mergeCell ref="C352:F352"/>
    <mergeCell ref="K272:L272"/>
    <mergeCell ref="R327:T327"/>
    <mergeCell ref="G322:I322"/>
    <mergeCell ref="AB440:AD440"/>
    <mergeCell ref="C381:F381"/>
    <mergeCell ref="W393:AA393"/>
    <mergeCell ref="M374:N374"/>
    <mergeCell ref="K301:L301"/>
    <mergeCell ref="G324:I324"/>
    <mergeCell ref="W395:AA395"/>
    <mergeCell ref="D255:D256"/>
    <mergeCell ref="U327:V327"/>
    <mergeCell ref="K303:L303"/>
    <mergeCell ref="B192:B193"/>
    <mergeCell ref="U335:V335"/>
    <mergeCell ref="K296:L296"/>
    <mergeCell ref="O308:Q308"/>
    <mergeCell ref="G382:I382"/>
    <mergeCell ref="U328:V328"/>
    <mergeCell ref="O397:Q397"/>
    <mergeCell ref="AB368:AD368"/>
    <mergeCell ref="O310:Q310"/>
    <mergeCell ref="R338:T338"/>
    <mergeCell ref="W421:AA421"/>
    <mergeCell ref="O309:Q309"/>
    <mergeCell ref="K354:L354"/>
    <mergeCell ref="AB370:AD370"/>
    <mergeCell ref="AB364:AD364"/>
    <mergeCell ref="G377:I377"/>
    <mergeCell ref="U345:V345"/>
    <mergeCell ref="R340:T340"/>
    <mergeCell ref="O339:Q339"/>
    <mergeCell ref="W448:AA448"/>
    <mergeCell ref="W423:AA423"/>
    <mergeCell ref="C425:F425"/>
    <mergeCell ref="K356:L356"/>
    <mergeCell ref="M418:N418"/>
    <mergeCell ref="W325:AA325"/>
    <mergeCell ref="K349:L349"/>
    <mergeCell ref="U346:V346"/>
    <mergeCell ref="U340:V340"/>
    <mergeCell ref="C450:F450"/>
    <mergeCell ref="M413:N413"/>
    <mergeCell ref="U348:V348"/>
    <mergeCell ref="C452:F452"/>
    <mergeCell ref="W320:AA320"/>
    <mergeCell ref="L20:M20"/>
    <mergeCell ref="G395:I395"/>
    <mergeCell ref="C451:F451"/>
    <mergeCell ref="M415:N415"/>
    <mergeCell ref="C445:F445"/>
    <mergeCell ref="K382:L382"/>
    <mergeCell ref="L22:M22"/>
    <mergeCell ref="C453:F453"/>
    <mergeCell ref="R392:T392"/>
    <mergeCell ref="O322:Q322"/>
    <mergeCell ref="AB383:AD383"/>
    <mergeCell ref="G396:I396"/>
    <mergeCell ref="G390:I390"/>
    <mergeCell ref="U399:V399"/>
    <mergeCell ref="W338:AA338"/>
    <mergeCell ref="K368:L368"/>
    <mergeCell ref="W373:AA373"/>
    <mergeCell ref="C255:C256"/>
    <mergeCell ref="C375:F375"/>
    <mergeCell ref="M339:N339"/>
    <mergeCell ref="K395:L395"/>
    <mergeCell ref="O411:Q411"/>
    <mergeCell ref="C377:F377"/>
    <mergeCell ref="L35:M35"/>
    <mergeCell ref="U427:V427"/>
    <mergeCell ref="G320:I320"/>
    <mergeCell ref="G295:I295"/>
    <mergeCell ref="G409:I409"/>
    <mergeCell ref="U298:V298"/>
    <mergeCell ref="U418:V418"/>
    <mergeCell ref="U412:V412"/>
    <mergeCell ref="O406:Q406"/>
    <mergeCell ref="H264:I264"/>
    <mergeCell ref="M365:N365"/>
    <mergeCell ref="R430:T430"/>
    <mergeCell ref="M373:N373"/>
    <mergeCell ref="R438:T438"/>
    <mergeCell ref="O393:Q393"/>
    <mergeCell ref="K294:L294"/>
    <mergeCell ref="U413:V413"/>
    <mergeCell ref="O423:Q423"/>
    <mergeCell ref="O422:Q422"/>
    <mergeCell ref="K325:L325"/>
    <mergeCell ref="H255:I255"/>
    <mergeCell ref="U438:V438"/>
    <mergeCell ref="R433:T433"/>
    <mergeCell ref="AB449:AD449"/>
    <mergeCell ref="K318:L318"/>
    <mergeCell ref="O424:Q424"/>
    <mergeCell ref="C390:F390"/>
    <mergeCell ref="M383:N383"/>
    <mergeCell ref="U440:V440"/>
    <mergeCell ref="G333:I333"/>
    <mergeCell ref="K320:L320"/>
    <mergeCell ref="U342:V342"/>
    <mergeCell ref="M385:N385"/>
    <mergeCell ref="M384:N384"/>
    <mergeCell ref="U344:V344"/>
    <mergeCell ref="M411:N411"/>
    <mergeCell ref="R364:T364"/>
    <mergeCell ref="G359:I359"/>
    <mergeCell ref="W430:AA430"/>
    <mergeCell ref="W290:AA290"/>
    <mergeCell ref="K338:L338"/>
    <mergeCell ref="O354:Q354"/>
    <mergeCell ref="O348:Q348"/>
    <mergeCell ref="U370:V370"/>
    <mergeCell ref="O320:Q320"/>
    <mergeCell ref="K340:L340"/>
    <mergeCell ref="M437:N437"/>
    <mergeCell ref="K333:L333"/>
    <mergeCell ref="U355:V355"/>
    <mergeCell ref="U365:V365"/>
    <mergeCell ref="K366:L366"/>
    <mergeCell ref="M397:N397"/>
    <mergeCell ref="M310:N310"/>
    <mergeCell ref="L29:M29"/>
    <mergeCell ref="G448:I448"/>
    <mergeCell ref="L4:M4"/>
    <mergeCell ref="O374:Q374"/>
    <mergeCell ref="K391:L391"/>
    <mergeCell ref="W274:AA274"/>
    <mergeCell ref="W301:AA301"/>
    <mergeCell ref="O382:Q382"/>
    <mergeCell ref="L31:M31"/>
    <mergeCell ref="O375:Q375"/>
    <mergeCell ref="M455:N455"/>
    <mergeCell ref="W303:AA303"/>
    <mergeCell ref="K392:L392"/>
    <mergeCell ref="U383:V383"/>
    <mergeCell ref="O377:Q377"/>
    <mergeCell ref="K394:L394"/>
    <mergeCell ref="M450:N450"/>
    <mergeCell ref="U385:V385"/>
    <mergeCell ref="W357:AA357"/>
    <mergeCell ref="L57:M57"/>
    <mergeCell ref="AB276:AD276"/>
    <mergeCell ref="M452:N452"/>
    <mergeCell ref="C304:F304"/>
    <mergeCell ref="AB278:AD278"/>
    <mergeCell ref="L42:M42"/>
    <mergeCell ref="H251:I251"/>
    <mergeCell ref="R429:T429"/>
    <mergeCell ref="O359:Q359"/>
    <mergeCell ref="K404:L404"/>
    <mergeCell ref="G433:I433"/>
    <mergeCell ref="U305:V305"/>
    <mergeCell ref="U436:V436"/>
    <mergeCell ref="R431:T431"/>
    <mergeCell ref="M292:N292"/>
    <mergeCell ref="K316:L316"/>
    <mergeCell ref="U313:V313"/>
    <mergeCell ref="H246:I246"/>
    <mergeCell ref="U307:V307"/>
    <mergeCell ref="K405:L405"/>
    <mergeCell ref="C330:F330"/>
    <mergeCell ref="M380:N380"/>
    <mergeCell ref="U437:V437"/>
    <mergeCell ref="H248:I248"/>
    <mergeCell ref="K407:L407"/>
    <mergeCell ref="AB418:AD418"/>
    <mergeCell ref="C332:F332"/>
    <mergeCell ref="I59:J59"/>
    <mergeCell ref="O446:Q446"/>
    <mergeCell ref="M382:N382"/>
    <mergeCell ref="AB420:AD420"/>
    <mergeCell ref="O448:Q448"/>
    <mergeCell ref="AB291:AD291"/>
    <mergeCell ref="U447:V447"/>
    <mergeCell ref="R302:T302"/>
    <mergeCell ref="U455:V455"/>
    <mergeCell ref="U449:V449"/>
    <mergeCell ref="C343:F343"/>
    <mergeCell ref="K331:L331"/>
    <mergeCell ref="M393:N393"/>
    <mergeCell ref="R291:T291"/>
    <mergeCell ref="U450:V450"/>
    <mergeCell ref="C345:F345"/>
    <mergeCell ref="R284:T284"/>
    <mergeCell ref="W299:AA299"/>
    <mergeCell ref="C272:F272"/>
    <mergeCell ref="K357:L357"/>
    <mergeCell ref="O373:Q373"/>
    <mergeCell ref="M421:N421"/>
    <mergeCell ref="O301:Q301"/>
    <mergeCell ref="AB362:AD362"/>
    <mergeCell ref="W302:AA302"/>
    <mergeCell ref="C275:F275"/>
    <mergeCell ref="L55:M55"/>
    <mergeCell ref="O389:Q389"/>
    <mergeCell ref="C427:F427"/>
    <mergeCell ref="AB363:AD363"/>
    <mergeCell ref="W327:AA327"/>
    <mergeCell ref="O391:Q391"/>
    <mergeCell ref="O357:Q357"/>
    <mergeCell ref="K401:L401"/>
    <mergeCell ref="W284:AA284"/>
    <mergeCell ref="R399:T399"/>
    <mergeCell ref="G272:I272"/>
    <mergeCell ref="C295:F295"/>
    <mergeCell ref="C409:F409"/>
    <mergeCell ref="K403:L403"/>
    <mergeCell ref="C328:F328"/>
    <mergeCell ref="U276:V276"/>
    <mergeCell ref="AB287:AD287"/>
    <mergeCell ref="C323:F323"/>
    <mergeCell ref="U278:V278"/>
    <mergeCell ref="W340:AA340"/>
    <mergeCell ref="AB289:AD289"/>
    <mergeCell ref="G302:I302"/>
    <mergeCell ref="K307:L307"/>
    <mergeCell ref="K429:L429"/>
    <mergeCell ref="K431:L431"/>
    <mergeCell ref="R412:T412"/>
    <mergeCell ref="AB313:AD313"/>
    <mergeCell ref="U446:V446"/>
    <mergeCell ref="AB444:AD444"/>
    <mergeCell ref="C341:F341"/>
    <mergeCell ref="AB321:AD321"/>
    <mergeCell ref="AB315:AD315"/>
    <mergeCell ref="G328:I328"/>
    <mergeCell ref="U448:V448"/>
    <mergeCell ref="O430:Q430"/>
    <mergeCell ref="K447:L447"/>
    <mergeCell ref="C370:F370"/>
    <mergeCell ref="M363:N363"/>
    <mergeCell ref="W392:AA392"/>
    <mergeCell ref="AB316:AD316"/>
    <mergeCell ref="M329:N329"/>
    <mergeCell ref="W394:AA394"/>
    <mergeCell ref="K442:L442"/>
    <mergeCell ref="C367:F367"/>
    <mergeCell ref="R342:T342"/>
    <mergeCell ref="O272:Q272"/>
    <mergeCell ref="AB455:AD455"/>
    <mergeCell ref="C369:F369"/>
    <mergeCell ref="C396:F396"/>
    <mergeCell ref="R344:T344"/>
    <mergeCell ref="AB326:AD326"/>
    <mergeCell ref="O299:Q299"/>
    <mergeCell ref="O274:Q274"/>
    <mergeCell ref="C398:F398"/>
    <mergeCell ref="R337:T337"/>
    <mergeCell ref="G341:I341"/>
    <mergeCell ref="K284:L284"/>
    <mergeCell ref="W412:AA412"/>
    <mergeCell ref="R339:T339"/>
    <mergeCell ref="K372:L372"/>
    <mergeCell ref="R326:T326"/>
    <mergeCell ref="M430:N430"/>
    <mergeCell ref="O327:Q327"/>
    <mergeCell ref="M290:N290"/>
    <mergeCell ref="C293:F293"/>
    <mergeCell ref="R355:T355"/>
    <mergeCell ref="AB387:AD387"/>
    <mergeCell ref="R357:T357"/>
    <mergeCell ref="O356:Q356"/>
    <mergeCell ref="C294:F294"/>
    <mergeCell ref="W336:AA336"/>
    <mergeCell ref="G273:I273"/>
    <mergeCell ref="AB382:AD382"/>
    <mergeCell ref="U363:V363"/>
    <mergeCell ref="M272:N272"/>
    <mergeCell ref="W337:AA337"/>
    <mergeCell ref="R383:T383"/>
    <mergeCell ref="M274:N274"/>
    <mergeCell ref="O338:Q338"/>
    <mergeCell ref="W339:AA339"/>
    <mergeCell ref="R410:T410"/>
    <mergeCell ref="C312:F312"/>
    <mergeCell ref="O340:Q340"/>
    <mergeCell ref="R287:T287"/>
    <mergeCell ref="AB400:AD400"/>
    <mergeCell ref="G413:I413"/>
    <mergeCell ref="G407:I407"/>
    <mergeCell ref="W364:AA364"/>
    <mergeCell ref="P159:Q159"/>
    <mergeCell ref="R411:T411"/>
    <mergeCell ref="G284:I284"/>
    <mergeCell ref="C307:F307"/>
    <mergeCell ref="AB402:AD402"/>
    <mergeCell ref="G415:I415"/>
    <mergeCell ref="M300:N300"/>
    <mergeCell ref="W355:AA355"/>
    <mergeCell ref="U287:V287"/>
    <mergeCell ref="R282:T282"/>
    <mergeCell ref="U289:V289"/>
    <mergeCell ref="U411:V411"/>
    <mergeCell ref="R307:T307"/>
    <mergeCell ref="K440:L440"/>
    <mergeCell ref="AB426:AD426"/>
    <mergeCell ref="W350:AA350"/>
    <mergeCell ref="C392:F392"/>
    <mergeCell ref="M356:N356"/>
    <mergeCell ref="AB453:AD453"/>
    <mergeCell ref="C394:F394"/>
    <mergeCell ref="R308:T308"/>
    <mergeCell ref="AB330:AD330"/>
    <mergeCell ref="G337:I337"/>
    <mergeCell ref="R422:T422"/>
    <mergeCell ref="K280:L280"/>
    <mergeCell ref="W408:AA408"/>
    <mergeCell ref="U315:V315"/>
    <mergeCell ref="R335:T335"/>
    <mergeCell ref="R310:T310"/>
    <mergeCell ref="H253:I254"/>
    <mergeCell ref="G339:I339"/>
    <mergeCell ref="M372:N372"/>
    <mergeCell ref="K309:L309"/>
    <mergeCell ref="W403:AA403"/>
    <mergeCell ref="R449:T449"/>
    <mergeCell ref="C376:F376"/>
    <mergeCell ref="W434:AA434"/>
    <mergeCell ref="C378:F378"/>
    <mergeCell ref="O439:Q439"/>
    <mergeCell ref="AB352:AD352"/>
    <mergeCell ref="G365:I365"/>
    <mergeCell ref="W305:AA305"/>
    <mergeCell ref="C407:F407"/>
    <mergeCell ref="U326:V326"/>
    <mergeCell ref="M400:N400"/>
    <mergeCell ref="G350:I350"/>
    <mergeCell ref="W307:AA307"/>
    <mergeCell ref="W429:AA429"/>
    <mergeCell ref="AB353:AD353"/>
    <mergeCell ref="R348:T348"/>
    <mergeCell ref="W437:AA437"/>
    <mergeCell ref="W431:AA431"/>
    <mergeCell ref="U361:V361"/>
    <mergeCell ref="R379:T379"/>
    <mergeCell ref="W422:AA422"/>
    <mergeCell ref="U354:V354"/>
    <mergeCell ref="C433:F433"/>
    <mergeCell ref="W335:AA335"/>
    <mergeCell ref="R381:T381"/>
    <mergeCell ref="G376:I376"/>
    <mergeCell ref="O336:Q336"/>
    <mergeCell ref="U356:V356"/>
    <mergeCell ref="W447:AA447"/>
    <mergeCell ref="R380:T380"/>
    <mergeCell ref="C435:F435"/>
    <mergeCell ref="R374:T374"/>
    <mergeCell ref="K355:L355"/>
    <mergeCell ref="G378:I378"/>
    <mergeCell ref="O365:Q365"/>
    <mergeCell ref="W449:AA449"/>
    <mergeCell ref="O337:Q337"/>
    <mergeCell ref="G411:I411"/>
    <mergeCell ref="O331:Q331"/>
    <mergeCell ref="M296:N296"/>
    <mergeCell ref="W442:AA442"/>
    <mergeCell ref="O366:Q366"/>
    <mergeCell ref="M298:N298"/>
    <mergeCell ref="M325:N325"/>
    <mergeCell ref="M456:N456"/>
    <mergeCell ref="G406:I406"/>
    <mergeCell ref="W346:AA346"/>
    <mergeCell ref="G307:I307"/>
    <mergeCell ref="M327:N327"/>
    <mergeCell ref="L46:M46"/>
    <mergeCell ref="O363:Q363"/>
    <mergeCell ref="AB424:AD424"/>
    <mergeCell ref="G437:I437"/>
    <mergeCell ref="W348:AA348"/>
    <mergeCell ref="O355:Q355"/>
    <mergeCell ref="L48:M48"/>
    <mergeCell ref="AB295:AD295"/>
    <mergeCell ref="G308:I308"/>
    <mergeCell ref="G422:I422"/>
    <mergeCell ref="U311:V311"/>
    <mergeCell ref="R306:T306"/>
    <mergeCell ref="K281:L281"/>
    <mergeCell ref="G310:I310"/>
    <mergeCell ref="U400:V400"/>
    <mergeCell ref="R420:T420"/>
    <mergeCell ref="W372:AA372"/>
    <mergeCell ref="L43:M43"/>
    <mergeCell ref="H252:I252"/>
    <mergeCell ref="K411:L411"/>
    <mergeCell ref="W374:AA374"/>
    <mergeCell ref="U306:V306"/>
    <mergeCell ref="K282:L282"/>
    <mergeCell ref="U297:V297"/>
    <mergeCell ref="M340:N340"/>
    <mergeCell ref="O404:Q404"/>
    <mergeCell ref="R446:T446"/>
    <mergeCell ref="O323:Q323"/>
    <mergeCell ref="G450:I450"/>
    <mergeCell ref="O437:Q437"/>
    <mergeCell ref="R448:T448"/>
    <mergeCell ref="G452:I452"/>
    <mergeCell ref="U330:V330"/>
    <mergeCell ref="H263:I263"/>
    <mergeCell ref="U324:V324"/>
    <mergeCell ref="R319:T319"/>
    <mergeCell ref="K422:L422"/>
    <mergeCell ref="W427:AA427"/>
    <mergeCell ref="K335:L335"/>
    <mergeCell ref="H265:I265"/>
    <mergeCell ref="W298:AA298"/>
    <mergeCell ref="O305:Q305"/>
    <mergeCell ref="U325:V325"/>
    <mergeCell ref="M399:N399"/>
    <mergeCell ref="G372:I372"/>
    <mergeCell ref="O307:Q307"/>
    <mergeCell ref="C431:F431"/>
    <mergeCell ref="K351:L351"/>
    <mergeCell ref="G380:I380"/>
    <mergeCell ref="O300:Q300"/>
    <mergeCell ref="G374:I374"/>
    <mergeCell ref="W445:AA445"/>
    <mergeCell ref="C432:F432"/>
    <mergeCell ref="K346:L346"/>
    <mergeCell ref="G375:I375"/>
    <mergeCell ref="U343:V343"/>
    <mergeCell ref="W446:AA446"/>
    <mergeCell ref="W440:AA440"/>
    <mergeCell ref="K348:L348"/>
    <mergeCell ref="D245:G245"/>
    <mergeCell ref="C273:F273"/>
    <mergeCell ref="W317:AA317"/>
    <mergeCell ref="L17:M17"/>
    <mergeCell ref="U338:V338"/>
    <mergeCell ref="M412:N412"/>
    <mergeCell ref="C442:F442"/>
    <mergeCell ref="L19:M19"/>
    <mergeCell ref="C414:F414"/>
    <mergeCell ref="R389:T389"/>
    <mergeCell ref="L12:M12"/>
    <mergeCell ref="G393:I393"/>
    <mergeCell ref="K374:L374"/>
    <mergeCell ref="U396:V396"/>
    <mergeCell ref="R385:T385"/>
    <mergeCell ref="L39:M39"/>
    <mergeCell ref="L14:M14"/>
    <mergeCell ref="K276:L276"/>
    <mergeCell ref="U398:V398"/>
    <mergeCell ref="K278:L278"/>
    <mergeCell ref="U391:V391"/>
    <mergeCell ref="C286:F286"/>
    <mergeCell ref="M336:N336"/>
    <mergeCell ref="O372:Q372"/>
    <mergeCell ref="G446:I446"/>
    <mergeCell ref="O408:Q408"/>
    <mergeCell ref="O402:Q402"/>
    <mergeCell ref="O401:Q401"/>
    <mergeCell ref="K418:L418"/>
    <mergeCell ref="U409:V409"/>
    <mergeCell ref="O403:Q403"/>
    <mergeCell ref="H261:I261"/>
    <mergeCell ref="M362:N362"/>
    <mergeCell ref="K420:L420"/>
    <mergeCell ref="U321:V321"/>
    <mergeCell ref="M364:N364"/>
    <mergeCell ref="K291:L291"/>
    <mergeCell ref="U323:V323"/>
    <mergeCell ref="W385:AA385"/>
    <mergeCell ref="AB304:AD304"/>
    <mergeCell ref="O421:Q421"/>
    <mergeCell ref="K446:L446"/>
    <mergeCell ref="O456:Q456"/>
    <mergeCell ref="K317:L317"/>
    <mergeCell ref="C64:H64"/>
    <mergeCell ref="K448:L448"/>
    <mergeCell ref="K319:L319"/>
    <mergeCell ref="G373:I373"/>
    <mergeCell ref="C358:F358"/>
    <mergeCell ref="D2:D3"/>
    <mergeCell ref="R272:T272"/>
    <mergeCell ref="U334:V334"/>
    <mergeCell ref="AB332:AD332"/>
    <mergeCell ref="O447:Q447"/>
    <mergeCell ref="C351:F351"/>
    <mergeCell ref="U336:V336"/>
    <mergeCell ref="L8:M8"/>
    <mergeCell ref="K370:L370"/>
    <mergeCell ref="W280:AA280"/>
    <mergeCell ref="L10:M10"/>
    <mergeCell ref="C384:F384"/>
    <mergeCell ref="C441:F441"/>
    <mergeCell ref="M434:N434"/>
    <mergeCell ref="U362:V362"/>
    <mergeCell ref="M436:N436"/>
    <mergeCell ref="AB343:AD343"/>
    <mergeCell ref="K373:L373"/>
    <mergeCell ref="U364:V364"/>
    <mergeCell ref="R354:T354"/>
    <mergeCell ref="AB345:AD345"/>
    <mergeCell ref="K388:L388"/>
    <mergeCell ref="R356:T356"/>
    <mergeCell ref="C283:F283"/>
    <mergeCell ref="M276:N276"/>
    <mergeCell ref="W300:AA300"/>
    <mergeCell ref="C285:F285"/>
    <mergeCell ref="W272:AA272"/>
    <mergeCell ref="K389:L389"/>
    <mergeCell ref="K383:L383"/>
    <mergeCell ref="M278:N278"/>
    <mergeCell ref="O399:Q399"/>
    <mergeCell ref="L23:M23"/>
    <mergeCell ref="K385:L385"/>
    <mergeCell ref="M447:N447"/>
    <mergeCell ref="R372:T372"/>
    <mergeCell ref="P160:Q160"/>
    <mergeCell ref="L54:M54"/>
    <mergeCell ref="U444:V444"/>
    <mergeCell ref="C309:F309"/>
    <mergeCell ref="M449:N449"/>
    <mergeCell ref="C301:F301"/>
    <mergeCell ref="L56:M56"/>
    <mergeCell ref="AB275:AD275"/>
    <mergeCell ref="K386:L386"/>
    <mergeCell ref="C311:F311"/>
    <mergeCell ref="U402:V402"/>
    <mergeCell ref="R426:T426"/>
    <mergeCell ref="C303:F303"/>
    <mergeCell ref="L49:M49"/>
    <mergeCell ref="G430:I430"/>
    <mergeCell ref="AB277:AD277"/>
    <mergeCell ref="U433:V433"/>
    <mergeCell ref="O427:Q427"/>
    <mergeCell ref="K444:L444"/>
    <mergeCell ref="W354:AA354"/>
    <mergeCell ref="U435:V435"/>
    <mergeCell ref="M291:N291"/>
    <mergeCell ref="O412:Q412"/>
    <mergeCell ref="U434:V434"/>
    <mergeCell ref="U428:V428"/>
    <mergeCell ref="W356:AA356"/>
    <mergeCell ref="AB328:AD328"/>
    <mergeCell ref="O443:Q443"/>
    <mergeCell ref="R298:T298"/>
    <mergeCell ref="C322:F322"/>
    <mergeCell ref="AB417:AD417"/>
    <mergeCell ref="R297:T297"/>
    <mergeCell ref="O445:Q445"/>
    <mergeCell ref="AB288:AD288"/>
    <mergeCell ref="G301:I301"/>
    <mergeCell ref="C349:F349"/>
    <mergeCell ref="C324:F324"/>
    <mergeCell ref="AB419:AD419"/>
    <mergeCell ref="O438:Q438"/>
    <mergeCell ref="U304:V304"/>
    <mergeCell ref="R299:T299"/>
    <mergeCell ref="G303:I303"/>
    <mergeCell ref="K455:L455"/>
    <mergeCell ref="O440:Q440"/>
    <mergeCell ref="W278:AA278"/>
    <mergeCell ref="R296:T296"/>
    <mergeCell ref="U358:V358"/>
    <mergeCell ref="C411:F411"/>
    <mergeCell ref="U360:V360"/>
    <mergeCell ref="AB347:AD347"/>
    <mergeCell ref="O280:Q280"/>
    <mergeCell ref="AB341:AD341"/>
    <mergeCell ref="G354:I354"/>
    <mergeCell ref="O282:Q282"/>
    <mergeCell ref="G356:I356"/>
    <mergeCell ref="W296:AA296"/>
    <mergeCell ref="C406:F406"/>
    <mergeCell ref="AB342:AD342"/>
    <mergeCell ref="G349:I349"/>
    <mergeCell ref="W306:AA306"/>
    <mergeCell ref="O370:Q370"/>
    <mergeCell ref="W420:AA420"/>
    <mergeCell ref="AB344:AD344"/>
    <mergeCell ref="C393:F393"/>
    <mergeCell ref="W297:AA297"/>
    <mergeCell ref="W291:AA291"/>
    <mergeCell ref="R368:T368"/>
    <mergeCell ref="C422:F422"/>
    <mergeCell ref="U371:V371"/>
    <mergeCell ref="AB369:AD369"/>
    <mergeCell ref="C388:F388"/>
    <mergeCell ref="C424:F424"/>
    <mergeCell ref="R363:T363"/>
    <mergeCell ref="L47:M47"/>
    <mergeCell ref="W319:AA319"/>
    <mergeCell ref="M287:N287"/>
    <mergeCell ref="C325:F325"/>
    <mergeCell ref="G423:I423"/>
    <mergeCell ref="R391:T391"/>
    <mergeCell ref="C318:F318"/>
    <mergeCell ref="M282:N282"/>
    <mergeCell ref="AB388:AD388"/>
    <mergeCell ref="AB413:AD413"/>
    <mergeCell ref="G297:I297"/>
    <mergeCell ref="C320:F320"/>
    <mergeCell ref="AB415:AD415"/>
    <mergeCell ref="M313:N313"/>
    <mergeCell ref="C356:F356"/>
    <mergeCell ref="G299:I299"/>
    <mergeCell ref="AB408:AD408"/>
    <mergeCell ref="G293:I293"/>
    <mergeCell ref="K426:L426"/>
    <mergeCell ref="M342:N342"/>
    <mergeCell ref="G292:I292"/>
    <mergeCell ref="AB410:AD410"/>
    <mergeCell ref="K428:L428"/>
    <mergeCell ref="M308:N308"/>
    <mergeCell ref="W363:AA363"/>
    <mergeCell ref="AB439:AD439"/>
    <mergeCell ref="M344:N344"/>
    <mergeCell ref="R409:T409"/>
    <mergeCell ref="G294:I294"/>
    <mergeCell ref="AB441:AD441"/>
    <mergeCell ref="C338:F338"/>
    <mergeCell ref="R321:T321"/>
    <mergeCell ref="AB312:AD312"/>
    <mergeCell ref="G325:I325"/>
    <mergeCell ref="AB434:AD434"/>
    <mergeCell ref="R404:T404"/>
    <mergeCell ref="C340:F340"/>
    <mergeCell ref="R323:T323"/>
    <mergeCell ref="G318:I318"/>
    <mergeCell ref="O278:Q278"/>
    <mergeCell ref="AB314:AD314"/>
    <mergeCell ref="AB436:AD436"/>
    <mergeCell ref="W389:AA389"/>
    <mergeCell ref="C333:F333"/>
    <mergeCell ref="K297:L297"/>
    <mergeCell ref="M326:N326"/>
    <mergeCell ref="AB307:AD307"/>
    <mergeCell ref="U288:V288"/>
    <mergeCell ref="W391:AA391"/>
    <mergeCell ref="K299:L299"/>
    <mergeCell ref="K293:L293"/>
    <mergeCell ref="O449:Q449"/>
    <mergeCell ref="M355:N355"/>
    <mergeCell ref="M357:N357"/>
    <mergeCell ref="R305:T305"/>
    <mergeCell ref="O296:Q296"/>
    <mergeCell ref="C359:F359"/>
    <mergeCell ref="AB454:AD454"/>
    <mergeCell ref="C420:F420"/>
    <mergeCell ref="C395:F395"/>
    <mergeCell ref="O306:Q306"/>
    <mergeCell ref="R334:T334"/>
    <mergeCell ref="G363:I363"/>
    <mergeCell ref="G338:I338"/>
    <mergeCell ref="AB366:AD366"/>
    <mergeCell ref="O297:Q297"/>
    <mergeCell ref="R336:T336"/>
    <mergeCell ref="O335:Q335"/>
    <mergeCell ref="G340:I340"/>
    <mergeCell ref="AB351:AD351"/>
    <mergeCell ref="W321:AA321"/>
    <mergeCell ref="W315:AA315"/>
    <mergeCell ref="W404:AA404"/>
    <mergeCell ref="G366:I366"/>
    <mergeCell ref="W323:AA323"/>
    <mergeCell ref="C448:F448"/>
    <mergeCell ref="AB384:AD384"/>
    <mergeCell ref="O317:Q317"/>
    <mergeCell ref="AB378:AD378"/>
    <mergeCell ref="G391:I391"/>
    <mergeCell ref="D260:E260"/>
    <mergeCell ref="M289:N289"/>
    <mergeCell ref="C439:F439"/>
    <mergeCell ref="O325:Q325"/>
    <mergeCell ref="O319:Q319"/>
    <mergeCell ref="W333:AA333"/>
    <mergeCell ref="C405:F405"/>
    <mergeCell ref="K363:L363"/>
    <mergeCell ref="AB379:AD379"/>
    <mergeCell ref="G392:I392"/>
    <mergeCell ref="G386:I386"/>
    <mergeCell ref="K365:L365"/>
    <mergeCell ref="AB381:AD381"/>
    <mergeCell ref="G394:I394"/>
    <mergeCell ref="W334:AA334"/>
    <mergeCell ref="M315:N315"/>
    <mergeCell ref="M429:N429"/>
    <mergeCell ref="AB437:AD437"/>
    <mergeCell ref="L30:M30"/>
    <mergeCell ref="G321:I321"/>
    <mergeCell ref="M335:N335"/>
    <mergeCell ref="R400:T400"/>
    <mergeCell ref="AB397:AD397"/>
    <mergeCell ref="G404:I404"/>
    <mergeCell ref="AB432:AD432"/>
    <mergeCell ref="R408:T408"/>
    <mergeCell ref="C373:F373"/>
    <mergeCell ref="R402:T402"/>
    <mergeCell ref="AB309:AD309"/>
    <mergeCell ref="M322:N322"/>
    <mergeCell ref="G316:I316"/>
    <mergeCell ref="U284:V284"/>
    <mergeCell ref="W387:AA387"/>
    <mergeCell ref="G405:I405"/>
    <mergeCell ref="M324:N324"/>
    <mergeCell ref="M351:N351"/>
    <mergeCell ref="U286:V286"/>
    <mergeCell ref="U408:V408"/>
    <mergeCell ref="C360:F360"/>
    <mergeCell ref="U279:V279"/>
    <mergeCell ref="M353:N353"/>
    <mergeCell ref="U410:V410"/>
    <mergeCell ref="R434:T434"/>
    <mergeCell ref="R428:T428"/>
    <mergeCell ref="K290:L290"/>
    <mergeCell ref="AB450:AD450"/>
    <mergeCell ref="M319:N319"/>
    <mergeCell ref="C355:F355"/>
    <mergeCell ref="U281:V281"/>
    <mergeCell ref="C391:F391"/>
    <mergeCell ref="O302:Q302"/>
    <mergeCell ref="R436:T436"/>
    <mergeCell ref="G334:I334"/>
    <mergeCell ref="AB452:AD452"/>
    <mergeCell ref="M354:N354"/>
    <mergeCell ref="C357:F357"/>
    <mergeCell ref="K321:L321"/>
    <mergeCell ref="O418:Q418"/>
    <mergeCell ref="AB451:AD451"/>
    <mergeCell ref="AB445:AD445"/>
    <mergeCell ref="G336:I336"/>
    <mergeCell ref="O420:Q420"/>
    <mergeCell ref="C386:F386"/>
    <mergeCell ref="K323:L323"/>
    <mergeCell ref="K279:L279"/>
    <mergeCell ref="M379:N379"/>
    <mergeCell ref="U339:V339"/>
    <mergeCell ref="W400:AA400"/>
    <mergeCell ref="M381:N381"/>
    <mergeCell ref="K308:L308"/>
    <mergeCell ref="G331:I331"/>
    <mergeCell ref="K274:L274"/>
    <mergeCell ref="W402:AA402"/>
    <mergeCell ref="W401:AA401"/>
    <mergeCell ref="O349:Q349"/>
    <mergeCell ref="R447:T447"/>
    <mergeCell ref="M338:N338"/>
    <mergeCell ref="K305:L305"/>
    <mergeCell ref="O321:Q321"/>
    <mergeCell ref="O315:Q315"/>
    <mergeCell ref="W426:AA426"/>
    <mergeCell ref="K334:L334"/>
    <mergeCell ref="G357:I357"/>
    <mergeCell ref="O344:Q344"/>
    <mergeCell ref="K300:L300"/>
    <mergeCell ref="W428:AA428"/>
    <mergeCell ref="O316:Q316"/>
    <mergeCell ref="K361:L361"/>
    <mergeCell ref="K336:L336"/>
    <mergeCell ref="U352:V352"/>
    <mergeCell ref="U351:V351"/>
    <mergeCell ref="M425:N425"/>
    <mergeCell ref="E255:E256"/>
    <mergeCell ref="U353:V353"/>
    <mergeCell ref="M427:N427"/>
    <mergeCell ref="W456:AA456"/>
    <mergeCell ref="M306:N306"/>
    <mergeCell ref="R371:T371"/>
    <mergeCell ref="O326:Q326"/>
    <mergeCell ref="M420:N420"/>
    <mergeCell ref="O334:Q334"/>
    <mergeCell ref="L27:M27"/>
    <mergeCell ref="O364:Q364"/>
    <mergeCell ref="M451:N451"/>
    <mergeCell ref="G401:I401"/>
    <mergeCell ref="M295:N295"/>
    <mergeCell ref="U379:V379"/>
    <mergeCell ref="M453:N453"/>
    <mergeCell ref="AB390:AD390"/>
    <mergeCell ref="G403:I403"/>
    <mergeCell ref="M446:N446"/>
    <mergeCell ref="U406:V406"/>
    <mergeCell ref="U381:V381"/>
    <mergeCell ref="B157:B158"/>
    <mergeCell ref="G432:I432"/>
    <mergeCell ref="AB421:AD421"/>
    <mergeCell ref="G428:I428"/>
    <mergeCell ref="M448:N448"/>
    <mergeCell ref="L45:M45"/>
    <mergeCell ref="R432:T432"/>
    <mergeCell ref="AB414:AD414"/>
    <mergeCell ref="O362:Q362"/>
    <mergeCell ref="L38:M38"/>
    <mergeCell ref="C302:F302"/>
    <mergeCell ref="AB416:AD416"/>
    <mergeCell ref="G429:I429"/>
    <mergeCell ref="O385:Q385"/>
    <mergeCell ref="L40:M40"/>
    <mergeCell ref="G421:I421"/>
    <mergeCell ref="H249:I249"/>
    <mergeCell ref="U432:V432"/>
    <mergeCell ref="R427:T427"/>
    <mergeCell ref="G300:I300"/>
    <mergeCell ref="K408:L408"/>
    <mergeCell ref="K402:L402"/>
    <mergeCell ref="G431:I431"/>
    <mergeCell ref="W371:AA371"/>
    <mergeCell ref="U303:V303"/>
    <mergeCell ref="M377:N377"/>
    <mergeCell ref="U425:V425"/>
    <mergeCell ref="R443:T443"/>
    <mergeCell ref="G447:I447"/>
    <mergeCell ref="R445:T445"/>
    <mergeCell ref="O444:Q444"/>
    <mergeCell ref="K330:L330"/>
    <mergeCell ref="W424:AA424"/>
    <mergeCell ref="G442:I442"/>
    <mergeCell ref="K332:L332"/>
    <mergeCell ref="U451:V451"/>
    <mergeCell ref="H262:I262"/>
    <mergeCell ref="U445:V445"/>
    <mergeCell ref="K421:L421"/>
    <mergeCell ref="U322:V322"/>
    <mergeCell ref="K456:L456"/>
    <mergeCell ref="M396:N396"/>
    <mergeCell ref="U453:V453"/>
    <mergeCell ref="M390:N390"/>
    <mergeCell ref="W425:AA425"/>
    <mergeCell ref="K327:L327"/>
    <mergeCell ref="M389:N389"/>
    <mergeCell ref="AB305:AD305"/>
    <mergeCell ref="G371:I371"/>
    <mergeCell ref="R280:T280"/>
    <mergeCell ref="M391:N391"/>
    <mergeCell ref="O455:Q455"/>
    <mergeCell ref="C423:F423"/>
    <mergeCell ref="K343:L343"/>
    <mergeCell ref="AB359:AD359"/>
    <mergeCell ref="W443:AA443"/>
    <mergeCell ref="U375:V375"/>
    <mergeCell ref="K345:L345"/>
    <mergeCell ref="U377:V377"/>
    <mergeCell ref="M409:N409"/>
    <mergeCell ref="M444:N444"/>
    <mergeCell ref="O386:Q386"/>
    <mergeCell ref="O352:Q352"/>
    <mergeCell ref="L9:M9"/>
    <mergeCell ref="M404:N404"/>
    <mergeCell ref="W279:AA279"/>
    <mergeCell ref="K371:L371"/>
    <mergeCell ref="G425:I425"/>
    <mergeCell ref="O387:Q387"/>
    <mergeCell ref="O381:Q381"/>
    <mergeCell ref="L11:M11"/>
    <mergeCell ref="AB361:AD361"/>
    <mergeCell ref="O353:Q353"/>
    <mergeCell ref="K398:L398"/>
    <mergeCell ref="U388:V388"/>
    <mergeCell ref="G456:I456"/>
    <mergeCell ref="K399:L399"/>
    <mergeCell ref="U390:V390"/>
    <mergeCell ref="U302:V302"/>
    <mergeCell ref="C284:F284"/>
    <mergeCell ref="O371:Q371"/>
    <mergeCell ref="AB283:AD283"/>
    <mergeCell ref="G438:I438"/>
    <mergeCell ref="AB285:AD285"/>
    <mergeCell ref="O400:Q400"/>
    <mergeCell ref="H258:I258"/>
    <mergeCell ref="U416:V416"/>
    <mergeCell ref="K417:L417"/>
    <mergeCell ref="G440:I440"/>
    <mergeCell ref="K427:L427"/>
    <mergeCell ref="K298:L298"/>
    <mergeCell ref="AB301:AD301"/>
    <mergeCell ref="K412:L412"/>
    <mergeCell ref="C337:F337"/>
    <mergeCell ref="R276:T276"/>
    <mergeCell ref="O451:Q451"/>
    <mergeCell ref="AB311:AD311"/>
    <mergeCell ref="AB303:AD303"/>
    <mergeCell ref="K443:L443"/>
    <mergeCell ref="C339:F339"/>
    <mergeCell ref="C366:F366"/>
    <mergeCell ref="O453:Q453"/>
    <mergeCell ref="O428:Q428"/>
    <mergeCell ref="G309:I309"/>
    <mergeCell ref="K445:L445"/>
    <mergeCell ref="K438:L438"/>
    <mergeCell ref="U454:V454"/>
    <mergeCell ref="J192:J193"/>
    <mergeCell ref="AB322:AD322"/>
    <mergeCell ref="C350:F350"/>
    <mergeCell ref="M343:N343"/>
    <mergeCell ref="AB324:AD324"/>
    <mergeCell ref="K367:L367"/>
    <mergeCell ref="L7:M7"/>
    <mergeCell ref="O290:Q290"/>
    <mergeCell ref="K369:L369"/>
    <mergeCell ref="R322:T322"/>
    <mergeCell ref="U359:V359"/>
    <mergeCell ref="M433:N433"/>
    <mergeCell ref="W281:AA281"/>
    <mergeCell ref="K364:L364"/>
    <mergeCell ref="M426:N426"/>
    <mergeCell ref="R351:T351"/>
    <mergeCell ref="R317:T317"/>
    <mergeCell ref="M428:N428"/>
    <mergeCell ref="R353:T353"/>
    <mergeCell ref="C280:F280"/>
    <mergeCell ref="C274:F274"/>
    <mergeCell ref="C282:F282"/>
    <mergeCell ref="AB272:AD272"/>
    <mergeCell ref="R406:T406"/>
    <mergeCell ref="G279:I279"/>
    <mergeCell ref="C308:F308"/>
    <mergeCell ref="R283:T283"/>
    <mergeCell ref="R277:T277"/>
    <mergeCell ref="AB396:AD396"/>
    <mergeCell ref="F253:F254"/>
    <mergeCell ref="G281:I281"/>
    <mergeCell ref="C310:F310"/>
    <mergeCell ref="K439:L439"/>
    <mergeCell ref="G280:I280"/>
    <mergeCell ref="G274:I274"/>
    <mergeCell ref="AB398:AD398"/>
    <mergeCell ref="K441:L441"/>
    <mergeCell ref="W351:AA351"/>
    <mergeCell ref="U283:V283"/>
    <mergeCell ref="R278:T278"/>
    <mergeCell ref="M288:N288"/>
    <mergeCell ref="G282:I282"/>
    <mergeCell ref="K434:L434"/>
    <mergeCell ref="W353:AA353"/>
    <mergeCell ref="U285:V285"/>
    <mergeCell ref="AB325:AD325"/>
    <mergeCell ref="K436:L436"/>
    <mergeCell ref="R425:T425"/>
    <mergeCell ref="R419:T419"/>
    <mergeCell ref="C346:F346"/>
    <mergeCell ref="AB320:AD320"/>
    <mergeCell ref="R418:T418"/>
    <mergeCell ref="AB409:AD409"/>
    <mergeCell ref="C348:F348"/>
    <mergeCell ref="G335:I335"/>
    <mergeCell ref="W275:AA275"/>
    <mergeCell ref="W406:AA406"/>
    <mergeCell ref="K454:L454"/>
    <mergeCell ref="U296:V296"/>
    <mergeCell ref="M370:N370"/>
    <mergeCell ref="W277:AA277"/>
    <mergeCell ref="W399:AA399"/>
    <mergeCell ref="AB323:AD323"/>
    <mergeCell ref="C372:F372"/>
    <mergeCell ref="W276:AA276"/>
    <mergeCell ref="R347:T347"/>
    <mergeCell ref="K449:L449"/>
    <mergeCell ref="AB338:AD338"/>
    <mergeCell ref="G351:I351"/>
    <mergeCell ref="C374:F374"/>
    <mergeCell ref="C401:F401"/>
    <mergeCell ref="R288:T288"/>
    <mergeCell ref="R349:T349"/>
    <mergeCell ref="R324:T324"/>
    <mergeCell ref="O279:Q279"/>
    <mergeCell ref="AB340:AD340"/>
    <mergeCell ref="C403:F403"/>
    <mergeCell ref="G346:I346"/>
    <mergeCell ref="AB333:AD333"/>
    <mergeCell ref="O281:Q281"/>
    <mergeCell ref="W417:AA417"/>
    <mergeCell ref="G348:I348"/>
    <mergeCell ref="W419:AA419"/>
    <mergeCell ref="R375:T375"/>
    <mergeCell ref="W418:AA418"/>
    <mergeCell ref="E157:E158"/>
    <mergeCell ref="R377:T377"/>
    <mergeCell ref="C421:F421"/>
    <mergeCell ref="O332:Q332"/>
    <mergeCell ref="R370:T370"/>
    <mergeCell ref="AB392:AD392"/>
    <mergeCell ref="AB367:AD367"/>
    <mergeCell ref="C306:F306"/>
    <mergeCell ref="R362:T362"/>
    <mergeCell ref="O361:Q361"/>
    <mergeCell ref="G276:I276"/>
    <mergeCell ref="C416:F416"/>
    <mergeCell ref="AB394:AD394"/>
    <mergeCell ref="C335:F335"/>
    <mergeCell ref="W322:AA322"/>
    <mergeCell ref="W347:AA347"/>
    <mergeCell ref="G278:I278"/>
    <mergeCell ref="U368:V368"/>
    <mergeCell ref="W288:AA288"/>
    <mergeCell ref="C447:F447"/>
    <mergeCell ref="W349:AA349"/>
    <mergeCell ref="M321:N321"/>
    <mergeCell ref="W342:AA342"/>
    <mergeCell ref="M323:N323"/>
    <mergeCell ref="R388:T388"/>
    <mergeCell ref="M279:N279"/>
    <mergeCell ref="W344:AA344"/>
    <mergeCell ref="O351:Q351"/>
    <mergeCell ref="R390:T390"/>
    <mergeCell ref="C317:F317"/>
    <mergeCell ref="M281:N281"/>
    <mergeCell ref="O345:Q345"/>
    <mergeCell ref="G419:I419"/>
    <mergeCell ref="AB405:AD405"/>
    <mergeCell ref="W375:AA375"/>
    <mergeCell ref="G418:I418"/>
    <mergeCell ref="C319:F319"/>
    <mergeCell ref="O380:Q380"/>
    <mergeCell ref="K277:L277"/>
    <mergeCell ref="AB293:AD293"/>
    <mergeCell ref="G306:I306"/>
    <mergeCell ref="W368:AA368"/>
    <mergeCell ref="O346:Q346"/>
    <mergeCell ref="AB407:AD407"/>
    <mergeCell ref="G420:I420"/>
    <mergeCell ref="M305:N305"/>
    <mergeCell ref="M341:N341"/>
    <mergeCell ref="G291:I291"/>
    <mergeCell ref="W370:AA370"/>
    <mergeCell ref="M307:N307"/>
    <mergeCell ref="W362:AA362"/>
    <mergeCell ref="U294:V294"/>
    <mergeCell ref="R289:T289"/>
    <mergeCell ref="R318:T318"/>
    <mergeCell ref="R320:T320"/>
    <mergeCell ref="O275:Q275"/>
    <mergeCell ref="R314:T314"/>
    <mergeCell ref="AB433:AD433"/>
    <mergeCell ref="C399:F399"/>
    <mergeCell ref="R286:T286"/>
    <mergeCell ref="R444:T444"/>
    <mergeCell ref="G342:I342"/>
    <mergeCell ref="G317:I317"/>
    <mergeCell ref="O277:Q277"/>
    <mergeCell ref="K419:L419"/>
    <mergeCell ref="AB435:AD435"/>
    <mergeCell ref="W388:AA388"/>
    <mergeCell ref="O276:Q276"/>
    <mergeCell ref="R315:T315"/>
    <mergeCell ref="G344:I344"/>
    <mergeCell ref="G319:I319"/>
    <mergeCell ref="W390:AA390"/>
    <mergeCell ref="W383:AA383"/>
    <mergeCell ref="R373:T373"/>
    <mergeCell ref="O303:Q303"/>
    <mergeCell ref="W410:AA410"/>
    <mergeCell ref="C389:F389"/>
    <mergeCell ref="K347:L347"/>
    <mergeCell ref="AB357:AD357"/>
    <mergeCell ref="G370:I370"/>
    <mergeCell ref="R333:T333"/>
    <mergeCell ref="R455:T455"/>
    <mergeCell ref="O288:Q288"/>
    <mergeCell ref="W441:AA441"/>
    <mergeCell ref="D157:D158"/>
    <mergeCell ref="C418:F418"/>
    <mergeCell ref="O304:Q304"/>
    <mergeCell ref="C412:F412"/>
    <mergeCell ref="AB365:AD365"/>
    <mergeCell ref="O298:Q298"/>
    <mergeCell ref="W318:AA318"/>
    <mergeCell ref="G355:I355"/>
    <mergeCell ref="W312:AA312"/>
    <mergeCell ref="K342:L342"/>
    <mergeCell ref="U333:V333"/>
    <mergeCell ref="C443:F443"/>
    <mergeCell ref="M407:N407"/>
    <mergeCell ref="W314:AA314"/>
    <mergeCell ref="W436:AA436"/>
    <mergeCell ref="K344:L344"/>
    <mergeCell ref="AB360:AD360"/>
    <mergeCell ref="U366:V366"/>
    <mergeCell ref="U341:V341"/>
    <mergeCell ref="W313:AA313"/>
    <mergeCell ref="W444:AA444"/>
    <mergeCell ref="R384:T384"/>
    <mergeCell ref="L13:M13"/>
    <mergeCell ref="G388:I388"/>
    <mergeCell ref="M408:N408"/>
    <mergeCell ref="C438:F438"/>
    <mergeCell ref="M402:N402"/>
    <mergeCell ref="R386:T386"/>
    <mergeCell ref="L15:M15"/>
    <mergeCell ref="C446:F446"/>
    <mergeCell ref="M410:N410"/>
    <mergeCell ref="C440:F440"/>
    <mergeCell ref="AB376:AD376"/>
    <mergeCell ref="G389:I389"/>
    <mergeCell ref="G383:I383"/>
    <mergeCell ref="U392:V392"/>
    <mergeCell ref="K326:L326"/>
    <mergeCell ref="R387:T387"/>
    <mergeCell ref="W454:AA454"/>
    <mergeCell ref="O342:Q342"/>
    <mergeCell ref="K362:L362"/>
    <mergeCell ref="G385:I385"/>
    <mergeCell ref="M301:N301"/>
    <mergeCell ref="M337:N337"/>
    <mergeCell ref="U394:V394"/>
    <mergeCell ref="W366:AA366"/>
    <mergeCell ref="M309:N309"/>
    <mergeCell ref="M303:N303"/>
    <mergeCell ref="M330:N330"/>
    <mergeCell ref="W455:AA455"/>
    <mergeCell ref="U387:V387"/>
    <mergeCell ref="W326:AA326"/>
    <mergeCell ref="M332:N332"/>
    <mergeCell ref="R397:T397"/>
    <mergeCell ref="C430:F430"/>
    <mergeCell ref="M304:N304"/>
    <mergeCell ref="O368:Q368"/>
    <mergeCell ref="AB429:AD429"/>
    <mergeCell ref="L53:M53"/>
    <mergeCell ref="L28:M28"/>
    <mergeCell ref="H260:K260"/>
    <mergeCell ref="G313:I313"/>
    <mergeCell ref="AB431:AD431"/>
    <mergeCell ref="W384:AA384"/>
    <mergeCell ref="K292:L292"/>
    <mergeCell ref="G315:I315"/>
    <mergeCell ref="U405:V405"/>
    <mergeCell ref="H257:I257"/>
    <mergeCell ref="W386:AA386"/>
    <mergeCell ref="M350:N350"/>
    <mergeCell ref="U407:V407"/>
    <mergeCell ref="W379:AA379"/>
    <mergeCell ref="K287:L287"/>
    <mergeCell ref="M352:N352"/>
    <mergeCell ref="W381:AA381"/>
    <mergeCell ref="O388:Q388"/>
    <mergeCell ref="K289:L289"/>
    <mergeCell ref="M345:N345"/>
    <mergeCell ref="R451:T451"/>
    <mergeCell ref="O328:Q328"/>
    <mergeCell ref="AB442:AD442"/>
    <mergeCell ref="G455:I455"/>
    <mergeCell ref="AB302:AD302"/>
    <mergeCell ref="O417:Q417"/>
    <mergeCell ref="O294:Q294"/>
    <mergeCell ref="M376:N376"/>
    <mergeCell ref="R453:T453"/>
    <mergeCell ref="G326:I326"/>
    <mergeCell ref="O383:Q383"/>
    <mergeCell ref="K313:L313"/>
    <mergeCell ref="O419:Q419"/>
    <mergeCell ref="C385:F385"/>
    <mergeCell ref="W397:AA397"/>
    <mergeCell ref="M378:N378"/>
    <mergeCell ref="K315:L315"/>
    <mergeCell ref="U337:V337"/>
    <mergeCell ref="M371:N371"/>
    <mergeCell ref="U331:V331"/>
    <mergeCell ref="C354:F354"/>
    <mergeCell ref="O318:Q318"/>
    <mergeCell ref="O312:Q312"/>
    <mergeCell ref="U332:V332"/>
    <mergeCell ref="M406:N406"/>
    <mergeCell ref="C436:F436"/>
    <mergeCell ref="G379:I379"/>
    <mergeCell ref="O314:Q314"/>
    <mergeCell ref="C444:F444"/>
    <mergeCell ref="O313:Q313"/>
    <mergeCell ref="L6:M6"/>
    <mergeCell ref="R352:T352"/>
    <mergeCell ref="G387:I387"/>
    <mergeCell ref="G381:I381"/>
    <mergeCell ref="K360:L360"/>
    <mergeCell ref="M422:N422"/>
    <mergeCell ref="W451:AA451"/>
    <mergeCell ref="M432:N432"/>
    <mergeCell ref="K353:L353"/>
    <mergeCell ref="U350:V350"/>
    <mergeCell ref="W453:AA453"/>
    <mergeCell ref="M417:N417"/>
    <mergeCell ref="O369:Q369"/>
    <mergeCell ref="L24:M24"/>
    <mergeCell ref="L18:M18"/>
    <mergeCell ref="C455:F455"/>
    <mergeCell ref="M419:N419"/>
    <mergeCell ref="C449:F449"/>
    <mergeCell ref="L26:M26"/>
    <mergeCell ref="U401:V401"/>
    <mergeCell ref="U376:V376"/>
    <mergeCell ref="G444:I444"/>
    <mergeCell ref="K387:L387"/>
    <mergeCell ref="K381:L381"/>
    <mergeCell ref="M443:N443"/>
    <mergeCell ref="U403:V403"/>
    <mergeCell ref="U378:V378"/>
    <mergeCell ref="M445:N445"/>
    <mergeCell ref="C297:F297"/>
    <mergeCell ref="W352:AA352"/>
    <mergeCell ref="R423:T423"/>
    <mergeCell ref="C299:F299"/>
    <mergeCell ref="K397:L397"/>
    <mergeCell ref="G426:I426"/>
    <mergeCell ref="AB273:AD273"/>
    <mergeCell ref="O413:Q413"/>
    <mergeCell ref="L37:M37"/>
    <mergeCell ref="C292:F292"/>
    <mergeCell ref="U429:V429"/>
    <mergeCell ref="R424:T424"/>
    <mergeCell ref="O415:Q415"/>
    <mergeCell ref="U300:V300"/>
    <mergeCell ref="U431:V431"/>
    <mergeCell ref="U414:V414"/>
    <mergeCell ref="K311:L311"/>
    <mergeCell ref="H266:I266"/>
    <mergeCell ref="M367:N367"/>
    <mergeCell ref="U424:V424"/>
    <mergeCell ref="K425:L425"/>
    <mergeCell ref="K400:L400"/>
    <mergeCell ref="O410:Q410"/>
    <mergeCell ref="U301:V301"/>
    <mergeCell ref="M375:N375"/>
    <mergeCell ref="M369:N369"/>
    <mergeCell ref="R294:T294"/>
    <mergeCell ref="O441:Q441"/>
    <mergeCell ref="AB284:AD284"/>
    <mergeCell ref="O434:Q434"/>
    <mergeCell ref="AB286:AD286"/>
    <mergeCell ref="O426:Q426"/>
    <mergeCell ref="K451:L451"/>
    <mergeCell ref="K329:L329"/>
    <mergeCell ref="G352:I352"/>
    <mergeCell ref="U442:V442"/>
    <mergeCell ref="O436:Q436"/>
    <mergeCell ref="K295:L295"/>
    <mergeCell ref="K322:L322"/>
    <mergeCell ref="K453:L453"/>
    <mergeCell ref="M359:N359"/>
    <mergeCell ref="K324:L324"/>
    <mergeCell ref="U443:V443"/>
    <mergeCell ref="C363:F363"/>
    <mergeCell ref="M388:N388"/>
    <mergeCell ref="R313:T313"/>
    <mergeCell ref="R279:T279"/>
    <mergeCell ref="AB339:AD339"/>
    <mergeCell ref="O454:Q454"/>
    <mergeCell ref="W292:AA292"/>
    <mergeCell ref="R281:T281"/>
    <mergeCell ref="U372:V372"/>
    <mergeCell ref="W294:AA294"/>
    <mergeCell ref="K377:L377"/>
    <mergeCell ref="M439:N439"/>
    <mergeCell ref="W287:AA287"/>
    <mergeCell ref="U374:V374"/>
    <mergeCell ref="M441:N441"/>
    <mergeCell ref="W289:AA289"/>
    <mergeCell ref="R366:T366"/>
    <mergeCell ref="U369:V369"/>
    <mergeCell ref="AB350:AD350"/>
    <mergeCell ref="O384:Q384"/>
    <mergeCell ref="R361:T361"/>
    <mergeCell ref="AB358:AD358"/>
    <mergeCell ref="O350:Q350"/>
    <mergeCell ref="G424:I424"/>
    <mergeCell ref="C290:F290"/>
    <mergeCell ref="M283:N283"/>
    <mergeCell ref="O379:Q379"/>
    <mergeCell ref="G453:I453"/>
    <mergeCell ref="K396:L396"/>
    <mergeCell ref="U456:V456"/>
    <mergeCell ref="K390:L390"/>
    <mergeCell ref="C321:F321"/>
    <mergeCell ref="C404:F404"/>
    <mergeCell ref="M454:N454"/>
    <mergeCell ref="AB280:AD280"/>
    <mergeCell ref="C316:F316"/>
    <mergeCell ref="AB411:AD411"/>
    <mergeCell ref="K423:L423"/>
    <mergeCell ref="AB282:AD282"/>
    <mergeCell ref="O432:Q432"/>
    <mergeCell ref="K414:L414"/>
    <mergeCell ref="AB406:AD406"/>
    <mergeCell ref="R405:T405"/>
    <mergeCell ref="G290:I290"/>
    <mergeCell ref="U439:V439"/>
    <mergeCell ref="H250:I250"/>
    <mergeCell ref="W361:AA361"/>
    <mergeCell ref="K409:L409"/>
    <mergeCell ref="C334:F334"/>
    <mergeCell ref="AB308:AD308"/>
    <mergeCell ref="U441:V441"/>
    <mergeCell ref="R309:T309"/>
    <mergeCell ref="M297:N297"/>
    <mergeCell ref="AB422:AD422"/>
    <mergeCell ref="C336:F336"/>
    <mergeCell ref="R275:T275"/>
    <mergeCell ref="AB335:AD335"/>
    <mergeCell ref="O450:Q450"/>
    <mergeCell ref="AB310:AD310"/>
    <mergeCell ref="C329:F329"/>
    <mergeCell ref="C365:F365"/>
    <mergeCell ref="R304:T304"/>
    <mergeCell ref="O452:Q452"/>
    <mergeCell ref="C157:C158"/>
    <mergeCell ref="C331:F331"/>
    <mergeCell ref="C362:F362"/>
    <mergeCell ref="R301:T301"/>
    <mergeCell ref="W285:AA285"/>
    <mergeCell ref="O292:Q292"/>
    <mergeCell ref="R330:T330"/>
    <mergeCell ref="R332:T332"/>
    <mergeCell ref="AB354:AD354"/>
    <mergeCell ref="O287:Q287"/>
    <mergeCell ref="AB348:AD348"/>
    <mergeCell ref="G361:I361"/>
    <mergeCell ref="O289:Q289"/>
    <mergeCell ref="K359:L359"/>
    <mergeCell ref="AB349:AD349"/>
    <mergeCell ref="C400:F400"/>
    <mergeCell ref="AB380:AD380"/>
    <mergeCell ref="W304:AA304"/>
    <mergeCell ref="M285:N285"/>
    <mergeCell ref="R350:T350"/>
    <mergeCell ref="C429:F429"/>
    <mergeCell ref="R343:T343"/>
    <mergeCell ref="W329:AA329"/>
    <mergeCell ref="C437:F437"/>
    <mergeCell ref="AB375:AD375"/>
    <mergeCell ref="R345:T345"/>
    <mergeCell ref="W331:AA331"/>
    <mergeCell ref="AB377:AD377"/>
    <mergeCell ref="W330:AA330"/>
    <mergeCell ref="W332:AA332"/>
    <mergeCell ref="D192:D193"/>
    <mergeCell ref="R403:T403"/>
    <mergeCell ref="C305:F305"/>
    <mergeCell ref="O333:Q333"/>
    <mergeCell ref="AB393:AD393"/>
    <mergeCell ref="G400:I400"/>
    <mergeCell ref="AB306:AD306"/>
    <mergeCell ref="R398:T398"/>
    <mergeCell ref="C300:F300"/>
    <mergeCell ref="AB395:AD395"/>
    <mergeCell ref="G402:I402"/>
    <mergeCell ref="C361:F361"/>
    <mergeCell ref="U280:V280"/>
    <mergeCell ref="G304:I304"/>
    <mergeCell ref="C327:F327"/>
    <mergeCell ref="O416:Q416"/>
    <mergeCell ref="U282:V282"/>
    <mergeCell ref="K433:L433"/>
    <mergeCell ref="W343:AA343"/>
    <mergeCell ref="U275:V275"/>
    <mergeCell ref="M349:N349"/>
    <mergeCell ref="R414:T414"/>
    <mergeCell ref="AB446:AD446"/>
    <mergeCell ref="K435:L435"/>
    <mergeCell ref="W345:AA345"/>
    <mergeCell ref="U277:V277"/>
    <mergeCell ref="C387:F387"/>
    <mergeCell ref="R416:T416"/>
    <mergeCell ref="AB317:AD317"/>
    <mergeCell ref="G330:I330"/>
    <mergeCell ref="AB448:AD448"/>
    <mergeCell ref="C353:F353"/>
    <mergeCell ref="R328:T328"/>
    <mergeCell ref="O283:Q283"/>
    <mergeCell ref="AB319:AD319"/>
    <mergeCell ref="G332:I332"/>
    <mergeCell ref="U422:V422"/>
    <mergeCell ref="R417:T417"/>
    <mergeCell ref="C382:F382"/>
    <mergeCell ref="K275:L275"/>
    <mergeCell ref="AB318:AD318"/>
    <mergeCell ref="O285:Q285"/>
    <mergeCell ref="W396:AA396"/>
    <mergeCell ref="R442:T442"/>
    <mergeCell ref="K304:L304"/>
    <mergeCell ref="M333:N333"/>
    <mergeCell ref="G327:I327"/>
    <mergeCell ref="U295:V295"/>
    <mergeCell ref="W398:AA398"/>
    <mergeCell ref="K306:L306"/>
    <mergeCell ref="M368:N368"/>
    <mergeCell ref="C371:F371"/>
    <mergeCell ref="R346:T346"/>
    <mergeCell ref="M334:N334"/>
    <mergeCell ref="O311:Q311"/>
    <mergeCell ref="C192:C193"/>
    <mergeCell ref="G343:I343"/>
    <mergeCell ref="C402:F402"/>
    <mergeCell ref="W414:AA414"/>
    <mergeCell ref="R341:T341"/>
    <mergeCell ref="G345:I345"/>
    <mergeCell ref="AB373:AD373"/>
    <mergeCell ref="K288:L288"/>
    <mergeCell ref="W416:AA416"/>
    <mergeCell ref="W295:AA295"/>
    <mergeCell ref="U347:V347"/>
    <mergeCell ref="W409:AA409"/>
    <mergeCell ref="W328:AA328"/>
    <mergeCell ref="O329:Q329"/>
    <mergeCell ref="U349:V349"/>
    <mergeCell ref="R367:T367"/>
    <mergeCell ref="AB389:AD389"/>
    <mergeCell ref="F157:J157"/>
    <mergeCell ref="M294:N294"/>
    <mergeCell ref="R359:T359"/>
    <mergeCell ref="R394:T394"/>
    <mergeCell ref="O330:Q330"/>
    <mergeCell ref="R369:T369"/>
    <mergeCell ref="C296:F296"/>
    <mergeCell ref="O324:Q324"/>
    <mergeCell ref="AB391:AD391"/>
    <mergeCell ref="AB385:AD385"/>
    <mergeCell ref="G398:I398"/>
    <mergeCell ref="O360:Q360"/>
    <mergeCell ref="G275:I275"/>
    <mergeCell ref="C298:F298"/>
    <mergeCell ref="G427:I427"/>
    <mergeCell ref="C456:F456"/>
    <mergeCell ref="AB386:AD386"/>
    <mergeCell ref="G399:I399"/>
    <mergeCell ref="U367:V367"/>
    <mergeCell ref="M293:N293"/>
    <mergeCell ref="M320:N320"/>
    <mergeCell ref="M286:N286"/>
    <mergeCell ref="W341:AA341"/>
    <mergeCell ref="U273:V273"/>
    <mergeCell ref="L41:M41"/>
    <mergeCell ref="R293:T293"/>
    <mergeCell ref="AB412:AD412"/>
    <mergeCell ref="R413:T413"/>
    <mergeCell ref="R407:T407"/>
    <mergeCell ref="O343:Q343"/>
    <mergeCell ref="L36:M36"/>
    <mergeCell ref="G417:I417"/>
  </mergeCells>
  <conditionalFormatting sqref="K4:K31 N4:N31 N37:N57">
    <cfRule type="cellIs" priority="7" operator="lessThan" dxfId="8">
      <formula>0</formula>
    </cfRule>
  </conditionalFormatting>
  <conditionalFormatting sqref="B159:I190">
    <cfRule type="expression" priority="6" dxfId="12">
      <formula>MOD(ROW(),2)=0</formula>
    </cfRule>
  </conditionalFormatting>
  <conditionalFormatting sqref="B194:I216">
    <cfRule type="expression" priority="5" dxfId="12">
      <formula>MOD(ROW(),2)=0</formula>
    </cfRule>
  </conditionalFormatting>
  <conditionalFormatting sqref="D4:N5 D6:L6 D7:N7 D8:L8 D9:K31 D37:N51 D52:L52 D53:N57 L9:M11 L12 L13:M13 L14 L15:M16 L17:L18 L19:M19 L20 L21:M22 L23 L24:M26 L27 L28:M29 L30 L31:M31 N6 N8:N31 N52">
    <cfRule type="expression" priority="4" dxfId="11">
      <formula>MOD(ROW(),2)=0</formula>
    </cfRule>
  </conditionalFormatting>
  <conditionalFormatting sqref="K37:K57">
    <cfRule type="cellIs" priority="1" operator="lessThan" dxfId="8">
      <formula>0</formula>
    </cfRule>
    <cfRule type="cellIs" priority="3" operator="lessThan" dxfId="8">
      <formula>0</formula>
    </cfRule>
  </conditionalFormatting>
  <conditionalFormatting sqref="K4:K30">
    <cfRule type="cellIs" priority="2" operator="lessThan" dxfId="8">
      <formula>0</formula>
    </cfRule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E977"/>
  <sheetViews>
    <sheetView showGridLines="0" zoomScale="85" zoomScaleNormal="85" workbookViewId="0">
      <selection activeCell="F7" sqref="F7"/>
    </sheetView>
  </sheetViews>
  <sheetFormatPr baseColWidth="10" defaultRowHeight="12.75"/>
  <cols>
    <col width="11.42578125" customWidth="1" style="232" min="1" max="2"/>
    <col width="12.140625" bestFit="1" customWidth="1" style="232" min="3" max="3"/>
    <col width="36.42578125" bestFit="1" customWidth="1" style="232" min="4" max="4"/>
    <col width="11.42578125" customWidth="1" style="232" min="5" max="5"/>
    <col width="26.85546875" customWidth="1" style="232" min="6" max="6"/>
    <col width="11.85546875" customWidth="1" style="232" min="7" max="7"/>
    <col width="11.42578125" customWidth="1" style="232" min="8" max="9"/>
    <col width="13.7109375" bestFit="1" customWidth="1" style="232" min="10" max="10"/>
    <col width="12" bestFit="1" customWidth="1" style="232" min="11" max="11"/>
    <col width="23.140625" customWidth="1" style="232" min="12" max="12"/>
    <col width="11.42578125" customWidth="1" style="232" min="13" max="16384"/>
  </cols>
  <sheetData>
    <row r="1" ht="13.5" customHeight="1" s="95" thickBot="1"/>
    <row r="2" ht="13.5" customHeight="1" s="95" thickBot="1">
      <c r="B2" s="4" t="n"/>
      <c r="C2" s="9" t="n"/>
      <c r="D2" s="126" t="inlineStr">
        <is>
          <t>PRODUCTOS</t>
        </is>
      </c>
      <c r="E2" s="128" t="inlineStr">
        <is>
          <t>+</t>
        </is>
      </c>
      <c r="F2" s="128" t="inlineStr">
        <is>
          <t>+</t>
        </is>
      </c>
      <c r="G2" s="128" t="inlineStr">
        <is>
          <t>(-)</t>
        </is>
      </c>
      <c r="H2" s="128" t="inlineStr">
        <is>
          <t>(-)</t>
        </is>
      </c>
      <c r="I2" s="128" t="inlineStr">
        <is>
          <t>=</t>
        </is>
      </c>
      <c r="J2" s="128" t="inlineStr">
        <is>
          <t>=</t>
        </is>
      </c>
      <c r="K2" s="128" t="inlineStr">
        <is>
          <t>=</t>
        </is>
      </c>
      <c r="L2" s="296" t="inlineStr">
        <is>
          <t>$</t>
        </is>
      </c>
      <c r="M2" s="297" t="n"/>
      <c r="N2" s="34" t="inlineStr">
        <is>
          <t>$</t>
        </is>
      </c>
      <c r="O2" s="4" t="n"/>
      <c r="P2" s="4" t="n"/>
      <c r="Q2" s="4" t="n"/>
    </row>
    <row r="3" ht="13.5" customHeight="1" s="95" thickBot="1">
      <c r="B3" s="4" t="n"/>
      <c r="C3" s="33" t="n"/>
      <c r="D3" s="298" t="n"/>
      <c r="E3" s="129" t="inlineStr">
        <is>
          <t>Stock Inicial</t>
        </is>
      </c>
      <c r="F3" s="129" t="inlineStr">
        <is>
          <t>Entregas</t>
        </is>
      </c>
      <c r="G3" s="129" t="inlineStr">
        <is>
          <t>Ventas</t>
        </is>
      </c>
      <c r="H3" s="129" t="inlineStr">
        <is>
          <t>Mermas</t>
        </is>
      </c>
      <c r="I3" s="129" t="inlineStr">
        <is>
          <t>Stock Real</t>
        </is>
      </c>
      <c r="J3" s="129" t="inlineStr">
        <is>
          <t>Stock Informado</t>
        </is>
      </c>
      <c r="K3" s="129" t="inlineStr">
        <is>
          <t>Diferencias</t>
        </is>
      </c>
      <c r="L3" s="129" t="inlineStr">
        <is>
          <t>Precio</t>
        </is>
      </c>
      <c r="M3" s="297" t="n"/>
      <c r="N3" s="109" t="inlineStr">
        <is>
          <t>Descuento</t>
        </is>
      </c>
      <c r="O3" s="4" t="n"/>
      <c r="P3" s="4" t="n"/>
      <c r="Q3" s="4" t="n"/>
    </row>
    <row r="4">
      <c r="B4" s="4" t="n"/>
      <c r="C4" s="9" t="n"/>
      <c r="D4" s="103" t="inlineStr">
        <is>
          <t>Atún Steak</t>
        </is>
      </c>
      <c r="E4" s="243" t="n"/>
      <c r="F4" s="104">
        <f>E221</f>
        <v/>
      </c>
      <c r="G4" s="104">
        <f>IFERROR(SUMPRODUCT(($F$66:$F$153="Atún Steak")*$E$66:$E$153*$G$66:$G$153),"Error")</f>
        <v/>
      </c>
      <c r="H4" s="104">
        <f>SUM(F159:J159)</f>
        <v/>
      </c>
      <c r="I4" s="104">
        <f>E4+F4-G4-H4</f>
        <v/>
      </c>
      <c r="J4" s="104">
        <f>E159</f>
        <v/>
      </c>
      <c r="K4" s="105">
        <f>J4-I4</f>
        <v/>
      </c>
      <c r="L4" s="299">
        <f>+'MERMAS S1'!D5</f>
        <v/>
      </c>
      <c r="M4" s="300" t="n"/>
      <c r="N4" s="106">
        <f>IF(K4&lt;0,K4*L4,0)</f>
        <v/>
      </c>
      <c r="O4" s="4" t="n"/>
      <c r="P4" s="4" t="n"/>
      <c r="Q4" s="4" t="n"/>
    </row>
    <row r="5">
      <c r="B5" s="4" t="n"/>
      <c r="C5" s="9" t="n"/>
      <c r="D5" s="49" t="inlineStr">
        <is>
          <t>Atún Trozos</t>
        </is>
      </c>
      <c r="E5" s="244" t="n"/>
      <c r="F5" s="86">
        <f>E222</f>
        <v/>
      </c>
      <c r="G5" s="86">
        <f>IFERROR(SUMPRODUCT(($F$66:$F$153="Atún Trozos")*$E$66:$E$153*$G$66:$G$153),"Error")</f>
        <v/>
      </c>
      <c r="H5" s="86">
        <f>SUM(F160:I160)+SUM(F190:I190)</f>
        <v/>
      </c>
      <c r="I5" s="86">
        <f>E5+F5-G5-H5</f>
        <v/>
      </c>
      <c r="J5" s="86">
        <f>E160+E190</f>
        <v/>
      </c>
      <c r="K5" s="87">
        <f>J5-I5</f>
        <v/>
      </c>
      <c r="L5" s="121">
        <f>+'MERMAS S1'!D6</f>
        <v/>
      </c>
      <c r="M5" s="301" t="n"/>
      <c r="N5" s="36">
        <f>IF(K5&lt;0,K5*L5,0)</f>
        <v/>
      </c>
      <c r="O5" s="4" t="n"/>
      <c r="P5" s="4" t="n"/>
      <c r="Q5" s="4" t="n"/>
    </row>
    <row r="6">
      <c r="B6" s="4" t="n"/>
      <c r="C6" s="9" t="n"/>
      <c r="D6" s="49" t="inlineStr">
        <is>
          <t>Almejas Julianas</t>
        </is>
      </c>
      <c r="E6" s="244" t="n"/>
      <c r="F6" s="86">
        <f>E254</f>
        <v/>
      </c>
      <c r="G6" s="86">
        <f>K254</f>
        <v/>
      </c>
      <c r="H6" s="86">
        <f>SUM(F161:I161)+J254</f>
        <v/>
      </c>
      <c r="I6" s="86">
        <f>E6+F6-G6-H6</f>
        <v/>
      </c>
      <c r="J6" s="86">
        <f>E161</f>
        <v/>
      </c>
      <c r="K6" s="87">
        <f>J6-I6</f>
        <v/>
      </c>
      <c r="L6" s="121">
        <f>+'MERMAS S1'!D7</f>
        <v/>
      </c>
      <c r="M6" s="301" t="n"/>
      <c r="N6" s="36">
        <f>IF(K6&lt;0,K6*L6,0)</f>
        <v/>
      </c>
      <c r="O6" s="4" t="n"/>
      <c r="P6" s="4" t="n"/>
      <c r="Q6" s="4" t="n"/>
    </row>
    <row r="7">
      <c r="A7" s="302" t="n"/>
      <c r="B7" s="4" t="n"/>
      <c r="C7" s="9" t="n"/>
      <c r="D7" s="50" t="inlineStr">
        <is>
          <t>Carpaccio de res</t>
        </is>
      </c>
      <c r="E7" s="244" t="n"/>
      <c r="F7" s="86">
        <f>E223</f>
        <v/>
      </c>
      <c r="G7" s="86">
        <f>IFERROR(SUMPRODUCT(($F$66:$F$153="Carpaccio de res")*$E$66:$E$153*$G$66:$G$153),"Error")</f>
        <v/>
      </c>
      <c r="H7" s="86">
        <f>SUM(F162:I162)</f>
        <v/>
      </c>
      <c r="I7" s="86">
        <f>E7+F7-G7-H7</f>
        <v/>
      </c>
      <c r="J7" s="86">
        <f>E162</f>
        <v/>
      </c>
      <c r="K7" s="87">
        <f>J7-I7</f>
        <v/>
      </c>
      <c r="L7" s="121">
        <f>+'MERMAS S1'!D8</f>
        <v/>
      </c>
      <c r="M7" s="301" t="n"/>
      <c r="N7" s="36">
        <f>IF(K7&lt;0,K7*L7,0)</f>
        <v/>
      </c>
      <c r="O7" s="4" t="n"/>
      <c r="P7" s="4" t="n"/>
      <c r="Q7" s="4" t="n"/>
    </row>
    <row r="8">
      <c r="A8" s="302" t="n"/>
      <c r="B8" s="4" t="n"/>
      <c r="C8" s="9" t="n"/>
      <c r="D8" s="50" t="inlineStr">
        <is>
          <t>Chupe</t>
        </is>
      </c>
      <c r="E8" s="244" t="n"/>
      <c r="F8" s="86">
        <f>H258</f>
        <v/>
      </c>
      <c r="G8" s="86">
        <f>E90</f>
        <v/>
      </c>
      <c r="H8" s="86">
        <f>SUM(F165:I165)</f>
        <v/>
      </c>
      <c r="I8" s="86">
        <f>E8+F8-G8-H8</f>
        <v/>
      </c>
      <c r="J8" s="86">
        <f>E165</f>
        <v/>
      </c>
      <c r="K8" s="87">
        <f>J8-I8</f>
        <v/>
      </c>
      <c r="L8" s="121">
        <f>+'MERMAS S1'!D9</f>
        <v/>
      </c>
      <c r="M8" s="301" t="n"/>
      <c r="N8" s="36">
        <f>IF(K8&lt;0,K8*L8,0)</f>
        <v/>
      </c>
      <c r="O8" s="4" t="n"/>
      <c r="P8" s="4" t="n"/>
      <c r="Q8" s="4" t="n"/>
    </row>
    <row r="9">
      <c r="A9" s="302" t="n"/>
      <c r="B9" s="4" t="n"/>
      <c r="C9" s="9" t="n"/>
      <c r="D9" s="50" t="inlineStr">
        <is>
          <t>Congrio</t>
        </is>
      </c>
      <c r="E9" s="244" t="n"/>
      <c r="F9" s="86">
        <f>E252</f>
        <v/>
      </c>
      <c r="G9" s="86">
        <f>IFERROR(SUMPRODUCT(($F$66:$F$153="Congrio")*$E$66:$E$153*$G$66:$G$153),"Error")</f>
        <v/>
      </c>
      <c r="H9" s="86">
        <f>J252+SUM(F164:I164)</f>
        <v/>
      </c>
      <c r="I9" s="86">
        <f>E9+F9-G9-H9</f>
        <v/>
      </c>
      <c r="J9" s="86">
        <f>E164</f>
        <v/>
      </c>
      <c r="K9" s="87">
        <f>J9-I9</f>
        <v/>
      </c>
      <c r="L9" s="121">
        <f>+'MERMAS S1'!D10</f>
        <v/>
      </c>
      <c r="M9" s="301" t="n"/>
      <c r="N9" s="36">
        <f>IF(K9&lt;0,K9*L9,0)</f>
        <v/>
      </c>
      <c r="O9" s="4" t="n"/>
      <c r="P9" s="4" t="n"/>
      <c r="Q9" s="4" t="n"/>
    </row>
    <row r="10">
      <c r="A10" s="302" t="n"/>
      <c r="B10" s="4" t="n"/>
      <c r="C10" s="9" t="n"/>
      <c r="D10" s="50" t="inlineStr">
        <is>
          <t>Filete despunte</t>
        </is>
      </c>
      <c r="E10" s="244" t="n"/>
      <c r="F10" s="86">
        <f>E255</f>
        <v/>
      </c>
      <c r="G10" s="86">
        <f>K255+K256</f>
        <v/>
      </c>
      <c r="H10" s="86">
        <f>SUM(J255:J256)+SUM(F167:I167)</f>
        <v/>
      </c>
      <c r="I10" s="86">
        <f>E10+F10-G10-H10</f>
        <v/>
      </c>
      <c r="J10" s="86">
        <f>E167</f>
        <v/>
      </c>
      <c r="K10" s="87">
        <f>J10-I10</f>
        <v/>
      </c>
      <c r="L10" s="121">
        <f>+'MERMAS S1'!D11</f>
        <v/>
      </c>
      <c r="M10" s="301" t="n"/>
      <c r="N10" s="36">
        <f>IF(K10&lt;0,K10*L10,0)</f>
        <v/>
      </c>
      <c r="O10" s="4" t="n"/>
      <c r="P10" s="4" t="n"/>
      <c r="Q10" s="4" t="n"/>
    </row>
    <row r="11">
      <c r="A11" s="302" t="n"/>
      <c r="B11" s="4" t="n"/>
      <c r="C11" s="9" t="n"/>
      <c r="D11" s="50" t="inlineStr">
        <is>
          <t>Filete para churrasco</t>
        </is>
      </c>
      <c r="E11" s="244" t="n"/>
      <c r="F11" s="86">
        <f>E226</f>
        <v/>
      </c>
      <c r="G11" s="86">
        <f>IFERROR(SUMPRODUCT(($F$66:$F$153="Filete para churrasco")*$E$66:$E$153*$G$66:$G$153),"Error")</f>
        <v/>
      </c>
      <c r="H11" s="86">
        <f>SUM(F168:I168)</f>
        <v/>
      </c>
      <c r="I11" s="86">
        <f>E11+F11-G11-H11</f>
        <v/>
      </c>
      <c r="J11" s="86">
        <f>E168</f>
        <v/>
      </c>
      <c r="K11" s="87">
        <f>J11-I11</f>
        <v/>
      </c>
      <c r="L11" s="121">
        <f>+'MERMAS S1'!D12</f>
        <v/>
      </c>
      <c r="M11" s="301" t="n"/>
      <c r="N11" s="36">
        <f>IF(K11&lt;0,K11*L11,0)</f>
        <v/>
      </c>
      <c r="O11" s="4" t="n"/>
      <c r="P11" s="4" t="n"/>
      <c r="Q11" s="4" t="n"/>
    </row>
    <row r="12">
      <c r="B12" s="4" t="n"/>
      <c r="C12" s="9" t="n"/>
      <c r="D12" s="50" t="inlineStr">
        <is>
          <t>Filete para crudo</t>
        </is>
      </c>
      <c r="E12" s="244" t="n"/>
      <c r="F12" s="86">
        <f>E227</f>
        <v/>
      </c>
      <c r="G12" s="86">
        <f>IFERROR(SUMPRODUCT(($F$66:$F$153="Filete para crudo")*$E$66:$E$153*$G$66:$G$153),"Error")</f>
        <v/>
      </c>
      <c r="H12" s="86">
        <f>SUM(F169:I169)+SUM(F189:I189)</f>
        <v/>
      </c>
      <c r="I12" s="86">
        <f>E12+F12-G12-H12</f>
        <v/>
      </c>
      <c r="J12" s="86">
        <f>E169
+IFERROR(INDEX($E$159:$E$215,MATCH("Tartar de Res",$D$159:$D$215,0)),0)</f>
        <v/>
      </c>
      <c r="K12" s="87">
        <f>J12-I12</f>
        <v/>
      </c>
      <c r="L12" s="121">
        <f>+'MERMAS S1'!D13</f>
        <v/>
      </c>
      <c r="M12" s="301" t="n"/>
      <c r="N12" s="36">
        <f>IF(K12&lt;0,K12*L12,0)</f>
        <v/>
      </c>
      <c r="O12" s="4" t="n"/>
      <c r="P12" s="4" t="n"/>
      <c r="Q12" s="4" t="n"/>
    </row>
    <row r="13" ht="14.25" customHeight="1" s="95">
      <c r="B13" s="4" t="n"/>
      <c r="C13" s="9" t="n"/>
      <c r="D13" s="50" t="inlineStr">
        <is>
          <t>Filete Salteado</t>
        </is>
      </c>
      <c r="E13" s="244" t="n"/>
      <c r="F13" s="86">
        <f>E228</f>
        <v/>
      </c>
      <c r="G13" s="86">
        <f>IFERROR(SUMPRODUCT(($F$66:$F$153=D13)*$E$66:$E$153*$G$66:$G$153),"Error")</f>
        <v/>
      </c>
      <c r="H13" s="86">
        <f>SUM(F170:I170)</f>
        <v/>
      </c>
      <c r="I13" s="86">
        <f>E13+F13-G13-H13</f>
        <v/>
      </c>
      <c r="J13" s="86">
        <f>E170</f>
        <v/>
      </c>
      <c r="K13" s="87">
        <f>J13-I13</f>
        <v/>
      </c>
      <c r="L13" s="121">
        <f>+'MERMAS S1'!D14</f>
        <v/>
      </c>
      <c r="M13" s="301" t="n"/>
      <c r="N13" s="36">
        <f>IF(K13&lt;0,K13*L13,0)</f>
        <v/>
      </c>
      <c r="O13" s="4" t="n"/>
      <c r="P13" s="4" t="n"/>
      <c r="Q13" s="4" t="n"/>
    </row>
    <row r="14">
      <c r="B14" s="4" t="n"/>
      <c r="C14" s="9" t="n"/>
      <c r="D14" s="50" t="inlineStr">
        <is>
          <t>Ganso</t>
        </is>
      </c>
      <c r="E14" s="244" t="n"/>
      <c r="F14" s="86">
        <f>E229</f>
        <v/>
      </c>
      <c r="G14" s="86">
        <f>IFERROR(SUMPRODUCT(($F$66:$F$153=D14)*$E$66:$E$153*$G$66:$G$153),"Error")</f>
        <v/>
      </c>
      <c r="H14" s="86">
        <f>SUM(F171:I171)+SUM(F180:I180)</f>
        <v/>
      </c>
      <c r="I14" s="86">
        <f>E14+F14-G14-H14</f>
        <v/>
      </c>
      <c r="J14" s="86">
        <f>E171
+IFERROR(INDEX($E$159:$E$215,MATCH("Paila de Carne",$D$159:$D$215,0)),0)</f>
        <v/>
      </c>
      <c r="K14" s="87">
        <f>J14-I14</f>
        <v/>
      </c>
      <c r="L14" s="121">
        <f>+'MERMAS S1'!D15</f>
        <v/>
      </c>
      <c r="M14" s="301" t="n"/>
      <c r="N14" s="36">
        <f>IF(K14&lt;0,K14*L14,0)</f>
        <v/>
      </c>
      <c r="O14" s="4" t="n"/>
      <c r="P14" s="4" t="n"/>
      <c r="Q14" s="4" t="n"/>
    </row>
    <row r="15">
      <c r="B15" s="4" t="n"/>
      <c r="C15" s="9" t="n"/>
      <c r="D15" s="50" t="inlineStr">
        <is>
          <t>Hamburguesas</t>
        </is>
      </c>
      <c r="E15" s="244" t="n"/>
      <c r="F15" s="86">
        <f>E231</f>
        <v/>
      </c>
      <c r="G15" s="86">
        <f>IFERROR(SUMPRODUCT(($F$66:$F$153=D15)*$E$66:$E$153*$G$66:$G$153),"Error")</f>
        <v/>
      </c>
      <c r="H15" s="86">
        <f>SUM(F172:I172)</f>
        <v/>
      </c>
      <c r="I15" s="86">
        <f>E15+F15-G15-H15</f>
        <v/>
      </c>
      <c r="J15" s="86">
        <f>E172</f>
        <v/>
      </c>
      <c r="K15" s="87">
        <f>J15-I15</f>
        <v/>
      </c>
      <c r="L15" s="121">
        <f>+'MERMAS S1'!D16</f>
        <v/>
      </c>
      <c r="M15" s="301" t="n"/>
      <c r="N15" s="36">
        <f>IF(K15&lt;0,K15*L15,0)</f>
        <v/>
      </c>
      <c r="O15" s="4" t="n"/>
      <c r="P15" s="4" t="n"/>
      <c r="Q15" s="4" t="n"/>
    </row>
    <row r="16">
      <c r="B16" s="4" t="n"/>
      <c r="C16" s="9" t="n"/>
      <c r="D16" s="50" t="inlineStr">
        <is>
          <t>Jamón serrano</t>
        </is>
      </c>
      <c r="E16" s="244" t="n"/>
      <c r="F16" s="86">
        <f>E232</f>
        <v/>
      </c>
      <c r="G16" s="86">
        <f>IFERROR(SUMPRODUCT(($F$66:$F$153=D16)*$E$66:$E$153*$G$66:$G$153),"Error")</f>
        <v/>
      </c>
      <c r="H16" s="86">
        <f>SUM(F174:I174)</f>
        <v/>
      </c>
      <c r="I16" s="86">
        <f>E16+F16-G16-H16</f>
        <v/>
      </c>
      <c r="J16" s="86">
        <f>E174</f>
        <v/>
      </c>
      <c r="K16" s="87">
        <f>J16-I16</f>
        <v/>
      </c>
      <c r="L16" s="121">
        <f>+'MERMAS S1'!D17</f>
        <v/>
      </c>
      <c r="M16" s="301" t="n"/>
      <c r="N16" s="36">
        <f>IF(K16&lt;0,K16*L16,0)</f>
        <v/>
      </c>
      <c r="O16" s="4" t="n"/>
      <c r="P16" s="4" t="n"/>
      <c r="Q16" s="4" t="n"/>
    </row>
    <row r="17">
      <c r="B17" s="4" t="n"/>
      <c r="C17" s="9" t="n"/>
      <c r="D17" s="50" t="inlineStr">
        <is>
          <t>Langostinos</t>
        </is>
      </c>
      <c r="E17" s="244" t="n"/>
      <c r="F17" s="86">
        <f>H248</f>
        <v/>
      </c>
      <c r="G17" s="86">
        <f>IFERROR(SUMPRODUCT(($F$66:$F$153=D17)*$E$66:$E$153*$G$66:$G$153),"Error")</f>
        <v/>
      </c>
      <c r="H17" s="86">
        <f>SUM(F173:I173)</f>
        <v/>
      </c>
      <c r="I17" s="86">
        <f>E17+F17-G17-H17</f>
        <v/>
      </c>
      <c r="J17" s="86">
        <f>E173</f>
        <v/>
      </c>
      <c r="K17" s="87">
        <f>J17-I17</f>
        <v/>
      </c>
      <c r="L17" s="121">
        <f>+'MERMAS S1'!D18</f>
        <v/>
      </c>
      <c r="M17" s="301" t="n"/>
      <c r="N17" s="36">
        <f>IF(K17&lt;0,K17*L17,0)</f>
        <v/>
      </c>
      <c r="O17" s="4" t="n"/>
      <c r="P17" s="4" t="n"/>
      <c r="Q17" s="4" t="n"/>
    </row>
    <row r="18">
      <c r="B18" s="4" t="n"/>
      <c r="C18" s="9" t="n"/>
      <c r="D18" s="50" t="inlineStr">
        <is>
          <t>Lasagna de Berenjenas</t>
        </is>
      </c>
      <c r="E18" s="244" t="n"/>
      <c r="F18" s="86">
        <f>H257</f>
        <v/>
      </c>
      <c r="G18" s="86">
        <f>E120</f>
        <v/>
      </c>
      <c r="H18" s="86">
        <f>SUM(F175:I175)</f>
        <v/>
      </c>
      <c r="I18" s="86">
        <f>E18+F18-G18-H18</f>
        <v/>
      </c>
      <c r="J18" s="86">
        <f>E175</f>
        <v/>
      </c>
      <c r="K18" s="87">
        <f>J18-I18</f>
        <v/>
      </c>
      <c r="L18" s="121">
        <f>+'MERMAS S1'!D19</f>
        <v/>
      </c>
      <c r="M18" s="301" t="n"/>
      <c r="N18" s="36">
        <f>IF(K18&lt;0,K18*L18,0)</f>
        <v/>
      </c>
      <c r="O18" s="4" t="n"/>
      <c r="P18" s="4" t="n"/>
      <c r="Q18" s="4" t="n"/>
    </row>
    <row r="19">
      <c r="B19" s="4" t="n"/>
      <c r="C19" s="9" t="n"/>
      <c r="D19" s="50" t="inlineStr">
        <is>
          <t>Locos</t>
        </is>
      </c>
      <c r="E19" s="244" t="n"/>
      <c r="F19" s="86">
        <f>E249</f>
        <v/>
      </c>
      <c r="G19" s="86">
        <f>IFERROR(SUMPRODUCT(($F$66:$F$153=D19)*$E$66:$E$153*$G$66:$G$153),"Error")</f>
        <v/>
      </c>
      <c r="H19" s="86">
        <f>SUM(F177:I177)+J249</f>
        <v/>
      </c>
      <c r="I19" s="86">
        <f>E19+F19-G19-H19</f>
        <v/>
      </c>
      <c r="J19" s="86">
        <f>E177</f>
        <v/>
      </c>
      <c r="K19" s="87">
        <f>J19-I19</f>
        <v/>
      </c>
      <c r="L19" s="121">
        <f>+'MERMAS S1'!D20</f>
        <v/>
      </c>
      <c r="M19" s="301" t="n"/>
      <c r="N19" s="36">
        <f>IF(K19&lt;0,K19*L19,0)</f>
        <v/>
      </c>
      <c r="O19" s="4" t="n"/>
      <c r="P19" s="4" t="n"/>
      <c r="Q19" s="4" t="n"/>
    </row>
    <row r="20">
      <c r="B20" s="4" t="n"/>
      <c r="C20" s="9" t="n"/>
      <c r="D20" s="50" t="inlineStr">
        <is>
          <t>Lomo liso</t>
        </is>
      </c>
      <c r="E20" s="244" t="n"/>
      <c r="F20" s="86">
        <f>E233</f>
        <v/>
      </c>
      <c r="G20" s="86">
        <f>IFERROR(SUMPRODUCT(($F$66:$F$153=D20)*$E$66:$E$153*$G$66:$G$153),"Error")</f>
        <v/>
      </c>
      <c r="H20" s="86">
        <f>SUM(F176:I176)</f>
        <v/>
      </c>
      <c r="I20" s="86">
        <f>E20+F20-G20-H20</f>
        <v/>
      </c>
      <c r="J20" s="86">
        <f>E176</f>
        <v/>
      </c>
      <c r="K20" s="87">
        <f>J20-I20</f>
        <v/>
      </c>
      <c r="L20" s="121">
        <f>+'MERMAS S1'!D21</f>
        <v/>
      </c>
      <c r="M20" s="301" t="n"/>
      <c r="N20" s="36">
        <f>IF(K20&lt;0,K20*L20,0)</f>
        <v/>
      </c>
      <c r="O20" s="4" t="n"/>
      <c r="P20" s="4" t="n"/>
      <c r="Q20" s="4" t="n"/>
    </row>
    <row r="21">
      <c r="B21" s="4" t="n"/>
      <c r="C21" s="9" t="n"/>
      <c r="D21" s="50" t="inlineStr">
        <is>
          <t>Mejillones</t>
        </is>
      </c>
      <c r="E21" s="244" t="n"/>
      <c r="F21" s="86">
        <f>E253</f>
        <v/>
      </c>
      <c r="G21" s="86">
        <f>K253</f>
        <v/>
      </c>
      <c r="H21" s="86">
        <f>J253+SUM(F178:I178)</f>
        <v/>
      </c>
      <c r="I21" s="86">
        <f>E21+F21-G21-H21</f>
        <v/>
      </c>
      <c r="J21" s="86">
        <f>E178</f>
        <v/>
      </c>
      <c r="K21" s="87">
        <f>J21-I21</f>
        <v/>
      </c>
      <c r="L21" s="121">
        <f>+'MERMAS S1'!D22</f>
        <v/>
      </c>
      <c r="M21" s="301" t="n"/>
      <c r="N21" s="36">
        <f>IF(K21&lt;0,K21*L21,0)</f>
        <v/>
      </c>
      <c r="O21" s="4" t="n"/>
      <c r="P21" s="4" t="n"/>
      <c r="Q21" s="4" t="n"/>
    </row>
    <row r="22">
      <c r="B22" s="4" t="n"/>
      <c r="C22" s="9" t="n"/>
      <c r="D22" s="50" t="inlineStr">
        <is>
          <t>Merluza</t>
        </is>
      </c>
      <c r="E22" s="244" t="n"/>
      <c r="F22" s="86">
        <f>E250</f>
        <v/>
      </c>
      <c r="G22" s="86">
        <f>IFERROR(SUMPRODUCT(($F$66:$F$153=D22)*$E$66:$E$153*$G$66:$G$153),"Error")</f>
        <v/>
      </c>
      <c r="H22" s="86">
        <f>SUM(F179:I179)+J250</f>
        <v/>
      </c>
      <c r="I22" s="86">
        <f>E22+F22-G22-H22</f>
        <v/>
      </c>
      <c r="J22" s="86">
        <f>E179</f>
        <v/>
      </c>
      <c r="K22" s="87">
        <f>J22-I22</f>
        <v/>
      </c>
      <c r="L22" s="121">
        <f>+'MERMAS S1'!D23</f>
        <v/>
      </c>
      <c r="M22" s="301" t="n"/>
      <c r="N22" s="36">
        <f>IF(K22&lt;0,K22*L22,0)</f>
        <v/>
      </c>
      <c r="O22" s="4" t="n"/>
      <c r="P22" s="4" t="n"/>
      <c r="Q22" s="4" t="n"/>
    </row>
    <row r="23">
      <c r="B23" s="4" t="n"/>
      <c r="C23" s="30" t="n"/>
      <c r="D23" s="50" t="inlineStr">
        <is>
          <t>Plateada</t>
        </is>
      </c>
      <c r="E23" s="244" t="n"/>
      <c r="F23" s="86">
        <f>E234</f>
        <v/>
      </c>
      <c r="G23" s="86">
        <f>IFERROR(SUMPRODUCT(($F$66:$F$153=D23)*$E$66:$E$153*$G$66:$G$153),"Error")</f>
        <v/>
      </c>
      <c r="H23" s="86">
        <f>SUM(F181:I181)</f>
        <v/>
      </c>
      <c r="I23" s="86">
        <f>E23+F23-G23-H23</f>
        <v/>
      </c>
      <c r="J23" s="86">
        <f>E181</f>
        <v/>
      </c>
      <c r="K23" s="87">
        <f>J23-I23</f>
        <v/>
      </c>
      <c r="L23" s="121">
        <f>+'MERMAS S1'!D24</f>
        <v/>
      </c>
      <c r="M23" s="301" t="n"/>
      <c r="N23" s="36">
        <f>IF(K23&lt;0,K23*L23,0)</f>
        <v/>
      </c>
      <c r="O23" s="4" t="n"/>
      <c r="P23" s="4" t="n"/>
      <c r="Q23" s="4" t="n"/>
    </row>
    <row r="24">
      <c r="B24" s="4" t="n"/>
      <c r="C24" s="30" t="n"/>
      <c r="D24" s="50" t="inlineStr">
        <is>
          <t>Pulpo</t>
        </is>
      </c>
      <c r="E24" s="244" t="n"/>
      <c r="F24" s="86">
        <f>E235</f>
        <v/>
      </c>
      <c r="G24" s="86">
        <f>IFERROR(SUMPRODUCT(($F$66:$F$153=D24)*$E$66:$E$153*$G$66:$G$153),"Error")</f>
        <v/>
      </c>
      <c r="H24" s="86">
        <f>SUM(F182:I182)</f>
        <v/>
      </c>
      <c r="I24" s="86">
        <f>E24+F24-G24-H24</f>
        <v/>
      </c>
      <c r="J24" s="86">
        <f>E182</f>
        <v/>
      </c>
      <c r="K24" s="87">
        <f>J24-I24</f>
        <v/>
      </c>
      <c r="L24" s="121">
        <f>+'MERMAS S1'!D25</f>
        <v/>
      </c>
      <c r="M24" s="301" t="n"/>
      <c r="N24" s="36">
        <f>IF(K24&lt;0,K24*L24,0)</f>
        <v/>
      </c>
      <c r="O24" s="4" t="n"/>
      <c r="P24" s="4" t="n"/>
      <c r="Q24" s="4" t="n"/>
    </row>
    <row r="25">
      <c r="B25" s="4" t="n"/>
      <c r="C25" s="30" t="n"/>
      <c r="D25" s="50" t="inlineStr">
        <is>
          <t>Ragout Lasagna</t>
        </is>
      </c>
      <c r="E25" s="244" t="n"/>
      <c r="F25" s="86">
        <f>H255</f>
        <v/>
      </c>
      <c r="G25" s="86">
        <f>E257</f>
        <v/>
      </c>
      <c r="H25" s="86">
        <f>SUM(F183:I183)+J257</f>
        <v/>
      </c>
      <c r="I25" s="86">
        <f>E25+F25-G25-H25</f>
        <v/>
      </c>
      <c r="J25" s="86">
        <f>E183</f>
        <v/>
      </c>
      <c r="K25" s="87">
        <f>J25-I25</f>
        <v/>
      </c>
      <c r="L25" s="121">
        <f>+'MERMAS S1'!D26</f>
        <v/>
      </c>
      <c r="M25" s="301" t="n"/>
      <c r="N25" s="36">
        <f>IF(K25&lt;0,K25*L25,0)</f>
        <v/>
      </c>
      <c r="O25" s="4" t="n"/>
      <c r="P25" s="4" t="n"/>
      <c r="Q25" s="4" t="n"/>
    </row>
    <row r="26">
      <c r="B26" s="4" t="n"/>
      <c r="C26" s="30" t="n"/>
      <c r="D26" s="50" t="inlineStr">
        <is>
          <t>Ragout Rigatoni</t>
        </is>
      </c>
      <c r="E26" s="244" t="n"/>
      <c r="F26" s="86">
        <f>H256</f>
        <v/>
      </c>
      <c r="G26" s="86">
        <f>E133</f>
        <v/>
      </c>
      <c r="H26" s="86">
        <f>SUM(F184:I184)</f>
        <v/>
      </c>
      <c r="I26" s="86">
        <f>E26+F26-G26-H26</f>
        <v/>
      </c>
      <c r="J26" s="86">
        <f>E184</f>
        <v/>
      </c>
      <c r="K26" s="87">
        <f>J26-I26</f>
        <v/>
      </c>
      <c r="L26" s="121">
        <f>+'MERMAS S1'!D27</f>
        <v/>
      </c>
      <c r="M26" s="301" t="n"/>
      <c r="N26" s="36">
        <f>IF(K26&lt;0,K26*L26,0)</f>
        <v/>
      </c>
      <c r="O26" s="4" t="n"/>
      <c r="P26" s="4" t="n"/>
      <c r="Q26" s="4" t="n"/>
    </row>
    <row r="27">
      <c r="B27" s="4" t="n"/>
      <c r="C27" s="30" t="n"/>
      <c r="D27" s="50" t="inlineStr">
        <is>
          <t>Reineta</t>
        </is>
      </c>
      <c r="E27" s="244" t="n"/>
      <c r="F27" s="86">
        <f>E251</f>
        <v/>
      </c>
      <c r="G27" s="86">
        <f>IFERROR(SUMPRODUCT(($F$66:$F$153=D27)*$E$66:$E$153*$G$66:$G$153),"Error")</f>
        <v/>
      </c>
      <c r="H27" s="86">
        <f>SUM(F163:I163)+J251</f>
        <v/>
      </c>
      <c r="I27" s="86">
        <f>E27+F27-G27-H27</f>
        <v/>
      </c>
      <c r="J27" s="86">
        <f>E163</f>
        <v/>
      </c>
      <c r="K27" s="87">
        <f>J27-I27</f>
        <v/>
      </c>
      <c r="L27" s="121">
        <f>+'MERMAS S1'!D28</f>
        <v/>
      </c>
      <c r="M27" s="301" t="n"/>
      <c r="N27" s="36">
        <f>IF(K27&lt;0,K27*L27,0)</f>
        <v/>
      </c>
      <c r="O27" s="4" t="n"/>
      <c r="P27" s="4" t="n"/>
      <c r="Q27" s="4" t="n"/>
    </row>
    <row r="28">
      <c r="B28" s="4" t="n"/>
      <c r="C28" s="30" t="n"/>
      <c r="D28" s="50" t="inlineStr">
        <is>
          <t>Salmón ahumado en frío</t>
        </is>
      </c>
      <c r="E28" s="244" t="n"/>
      <c r="F28" s="86">
        <f>E258</f>
        <v/>
      </c>
      <c r="G28" s="86">
        <f>K258</f>
        <v/>
      </c>
      <c r="H28" s="86">
        <f>J258</f>
        <v/>
      </c>
      <c r="I28" s="86">
        <f>E28+F28-G28-H28</f>
        <v/>
      </c>
      <c r="J28" s="86">
        <f>E185</f>
        <v/>
      </c>
      <c r="K28" s="87">
        <f>J28-I28</f>
        <v/>
      </c>
      <c r="L28" s="121">
        <f>+'MERMAS S1'!D29</f>
        <v/>
      </c>
      <c r="M28" s="301" t="n"/>
      <c r="N28" s="36">
        <f>IF(K28&lt;0,K28*L28,0)</f>
        <v/>
      </c>
      <c r="O28" s="4" t="n"/>
      <c r="P28" s="4" t="n"/>
      <c r="Q28" s="4" t="n"/>
    </row>
    <row r="29">
      <c r="B29" s="4" t="n"/>
      <c r="C29" s="30" t="n"/>
      <c r="D29" s="50" t="inlineStr">
        <is>
          <t>Salmón ahumado en Caliente</t>
        </is>
      </c>
      <c r="E29" s="244" t="n"/>
      <c r="F29" s="86">
        <f>E237</f>
        <v/>
      </c>
      <c r="G29" s="86">
        <f>IFERROR(SUMPRODUCT(($F$66:$F$153=D29)*$E$66:$E$153*$G$66:$G$153),"Error")</f>
        <v/>
      </c>
      <c r="H29" s="86">
        <f>SUM(F186:I186)</f>
        <v/>
      </c>
      <c r="I29" s="86">
        <f>E29+F29-G29-H29</f>
        <v/>
      </c>
      <c r="J29" s="86">
        <f>E186</f>
        <v/>
      </c>
      <c r="K29" s="87">
        <f>J29-I29</f>
        <v/>
      </c>
      <c r="L29" s="121">
        <f>+'MERMAS S1'!D30</f>
        <v/>
      </c>
      <c r="M29" s="301" t="n"/>
      <c r="N29" s="36">
        <f>IF(K29&lt;0,K29*L29,0)</f>
        <v/>
      </c>
      <c r="O29" s="4" t="n"/>
      <c r="P29" s="4" t="n"/>
      <c r="Q29" s="4" t="n"/>
    </row>
    <row r="30">
      <c r="B30" s="4" t="n"/>
      <c r="C30" s="30" t="n"/>
      <c r="D30" s="50" t="inlineStr">
        <is>
          <t>Salmón cancato</t>
        </is>
      </c>
      <c r="E30" s="244" t="n"/>
      <c r="F30" s="86">
        <f>E238</f>
        <v/>
      </c>
      <c r="G30" s="86">
        <f>IFERROR(SUMPRODUCT(($F$66:$F$153=D30)*$E$66:$E$153*$G$66:$G$153),"Error")</f>
        <v/>
      </c>
      <c r="H30" s="86">
        <f>SUM(F187:I187)</f>
        <v/>
      </c>
      <c r="I30" s="86">
        <f>E30+F30-G30-H30</f>
        <v/>
      </c>
      <c r="J30" s="86">
        <f>E187</f>
        <v/>
      </c>
      <c r="K30" s="87">
        <f>J30-I30</f>
        <v/>
      </c>
      <c r="L30" s="121">
        <f>+'MERMAS S1'!D31</f>
        <v/>
      </c>
      <c r="M30" s="301" t="n"/>
      <c r="N30" s="36">
        <f>IF(K30&lt;0,K30*L30,0)</f>
        <v/>
      </c>
      <c r="O30" s="4" t="n"/>
      <c r="P30" s="4" t="n"/>
      <c r="Q30" s="4" t="n"/>
    </row>
    <row r="31" ht="13.5" customHeight="1" s="95" thickBot="1">
      <c r="B31" s="4" t="n"/>
      <c r="C31" s="30" t="n"/>
      <c r="D31" s="51" t="inlineStr">
        <is>
          <t>Salmón fresco premium</t>
        </is>
      </c>
      <c r="E31" s="245" t="n"/>
      <c r="F31" s="107">
        <f>E239</f>
        <v/>
      </c>
      <c r="G31" s="107">
        <f>IFERROR(SUMPRODUCT(($F$66:$F$153=D31)*$E$66:$E$153*$G$66:$G$153),"Error")</f>
        <v/>
      </c>
      <c r="H31" s="107">
        <f>SUM(F188:I188)</f>
        <v/>
      </c>
      <c r="I31" s="107">
        <f>E31+F31-G31-H31</f>
        <v/>
      </c>
      <c r="J31" s="107">
        <f>E188</f>
        <v/>
      </c>
      <c r="K31" s="108">
        <f>J31-I31</f>
        <v/>
      </c>
      <c r="L31" s="131">
        <f>+'MERMAS S1'!D32</f>
        <v/>
      </c>
      <c r="M31" s="303" t="n"/>
      <c r="N31" s="110">
        <f>IF(K31&lt;0,K31*L31,0)</f>
        <v/>
      </c>
      <c r="O31" s="4" t="n"/>
      <c r="P31" s="4" t="n"/>
      <c r="Q31" s="4" t="n"/>
    </row>
    <row r="32" ht="13.5" customHeight="1" s="95" thickBot="1">
      <c r="B32" s="5" t="n"/>
      <c r="C32" s="6" t="n"/>
      <c r="D32" s="7" t="n"/>
      <c r="E32" s="6" t="n"/>
      <c r="F32" s="6" t="n"/>
      <c r="G32" s="6" t="n"/>
      <c r="H32" s="6" t="n"/>
      <c r="I32" s="8" t="n"/>
      <c r="J32" s="8" t="n"/>
      <c r="K32" s="8" t="n"/>
      <c r="L32" s="9" t="n"/>
      <c r="M32" s="4" t="n"/>
      <c r="N32" s="4" t="n"/>
      <c r="O32" s="4" t="n"/>
      <c r="P32" s="4" t="n"/>
      <c r="Q32" s="4" t="n"/>
    </row>
    <row r="33" ht="13.5" customHeight="1" s="95" thickBot="1">
      <c r="B33" s="5" t="n"/>
      <c r="C33" s="6" t="n"/>
      <c r="D33" s="7" t="n"/>
      <c r="E33" s="6" t="n"/>
      <c r="F33" s="6" t="n"/>
      <c r="G33" s="6" t="n"/>
      <c r="H33" s="10" t="n"/>
      <c r="I33" s="304" t="inlineStr">
        <is>
          <t>DIFERENCIAS PROMEDIO</t>
        </is>
      </c>
      <c r="J33" s="305" t="n"/>
      <c r="K33" s="11">
        <f>SUM(K7:K31)</f>
        <v/>
      </c>
      <c r="L33" s="4" t="n"/>
      <c r="M33" s="12" t="inlineStr">
        <is>
          <t>DCTO. TOTAL</t>
        </is>
      </c>
      <c r="N33" s="13">
        <f>SUM(N7:N31)</f>
        <v/>
      </c>
      <c r="O33" s="4" t="n"/>
      <c r="P33" s="4" t="n"/>
      <c r="Q33" s="4" t="n"/>
    </row>
    <row r="34" ht="13.5" customHeight="1" s="95" thickBot="1">
      <c r="B34" s="5" t="n"/>
      <c r="C34" s="6" t="n"/>
      <c r="D34" s="5" t="n"/>
      <c r="E34" s="6" t="n"/>
      <c r="F34" s="6" t="n"/>
      <c r="G34" s="6" t="n"/>
      <c r="H34" s="6" t="n"/>
      <c r="I34" s="14" t="n"/>
      <c r="J34" s="14" t="n"/>
      <c r="K34" s="14" t="n"/>
      <c r="L34" s="4" t="n"/>
      <c r="M34" s="4" t="n"/>
      <c r="N34" s="4" t="n"/>
      <c r="O34" s="4" t="n"/>
      <c r="P34" s="4" t="n"/>
      <c r="Q34" s="4" t="n"/>
    </row>
    <row r="35" ht="13.5" customHeight="1" s="95" thickBot="1">
      <c r="B35" s="4" t="n"/>
      <c r="C35" s="6" t="n"/>
      <c r="D35" s="37" t="n"/>
      <c r="E35" s="128" t="n"/>
      <c r="F35" s="128" t="inlineStr">
        <is>
          <t>+</t>
        </is>
      </c>
      <c r="G35" s="128" t="inlineStr">
        <is>
          <t>(-)</t>
        </is>
      </c>
      <c r="H35" s="128" t="inlineStr">
        <is>
          <t>(-)</t>
        </is>
      </c>
      <c r="I35" s="128" t="inlineStr">
        <is>
          <t>=</t>
        </is>
      </c>
      <c r="J35" s="128" t="inlineStr">
        <is>
          <t>=</t>
        </is>
      </c>
      <c r="K35" s="128" t="inlineStr">
        <is>
          <t>=</t>
        </is>
      </c>
      <c r="L35" s="296" t="inlineStr">
        <is>
          <t>$</t>
        </is>
      </c>
      <c r="M35" s="297" t="n"/>
      <c r="N35" s="34" t="inlineStr">
        <is>
          <t>$</t>
        </is>
      </c>
      <c r="O35" s="4" t="n"/>
      <c r="P35" s="4" t="n"/>
      <c r="Q35" s="4" t="n"/>
    </row>
    <row r="36" ht="13.5" customHeight="1" s="95" thickBot="1">
      <c r="B36" s="4" t="n"/>
      <c r="C36" s="33" t="n"/>
      <c r="D36" s="162" t="inlineStr">
        <is>
          <t>PRODUCTOS</t>
        </is>
      </c>
      <c r="E36" s="164" t="n"/>
      <c r="F36" s="164" t="inlineStr">
        <is>
          <t>Entregas</t>
        </is>
      </c>
      <c r="G36" s="164" t="inlineStr">
        <is>
          <t>Ventas</t>
        </is>
      </c>
      <c r="H36" s="164" t="inlineStr">
        <is>
          <t>Mermas</t>
        </is>
      </c>
      <c r="I36" s="164" t="inlineStr">
        <is>
          <t>Stock Real</t>
        </is>
      </c>
      <c r="J36" s="164" t="inlineStr">
        <is>
          <t>Stock Informado</t>
        </is>
      </c>
      <c r="K36" s="164" t="inlineStr">
        <is>
          <t>Diferencias</t>
        </is>
      </c>
      <c r="L36" s="164" t="inlineStr">
        <is>
          <t>Precio</t>
        </is>
      </c>
      <c r="M36" s="306" t="n"/>
      <c r="N36" s="165" t="inlineStr">
        <is>
          <t>Descuento</t>
        </is>
      </c>
      <c r="O36" s="4" t="n"/>
      <c r="P36" s="4" t="n"/>
      <c r="Q36" s="4" t="n"/>
    </row>
    <row r="37">
      <c r="B37" s="4" t="n"/>
      <c r="C37" s="30" t="n"/>
      <c r="D37" s="113" t="inlineStr">
        <is>
          <t>Brownie Nutella</t>
        </is>
      </c>
      <c r="E37" s="244" t="n"/>
      <c r="F37" s="86">
        <f>E264</f>
        <v/>
      </c>
      <c r="G37" s="86">
        <f>IFERROR(SUMPRODUCT(($F$66:$F$153=D37)*$E$66:$E$153*$G$66:$G$153),"Error")</f>
        <v/>
      </c>
      <c r="H37" s="86">
        <f>SUM(F194:I194)</f>
        <v/>
      </c>
      <c r="I37" s="86">
        <f>E37+F37-G37-H37</f>
        <v/>
      </c>
      <c r="J37" s="204">
        <f>E194</f>
        <v/>
      </c>
      <c r="K37" s="114">
        <f>J37-I37</f>
        <v/>
      </c>
      <c r="L37" s="125">
        <f>+'MERMAS S1'!D33</f>
        <v/>
      </c>
      <c r="M37" s="307" t="n"/>
      <c r="N37" s="115">
        <f>IF(K37&lt;0,K37*L37,0)</f>
        <v/>
      </c>
      <c r="O37" s="4" t="n"/>
      <c r="P37" s="4" t="n"/>
      <c r="Q37" s="4" t="n"/>
    </row>
    <row r="38">
      <c r="B38" s="4" t="n"/>
      <c r="C38" s="30" t="n"/>
      <c r="D38" s="69" t="inlineStr">
        <is>
          <t>Brownie Vegano</t>
        </is>
      </c>
      <c r="E38" s="244" t="n"/>
      <c r="F38" s="77">
        <f>E265</f>
        <v/>
      </c>
      <c r="G38" s="77">
        <f>IFERROR(SUMPRODUCT(($F$66:$F$153=D38)*$E$66:$E$153*$G$66:$G$153),"Error")</f>
        <v/>
      </c>
      <c r="H38" s="77">
        <f>SUM(F195:I195)</f>
        <v/>
      </c>
      <c r="I38" s="77">
        <f>E38+F38-G38-H38</f>
        <v/>
      </c>
      <c r="J38" s="205">
        <f>E195</f>
        <v/>
      </c>
      <c r="K38" s="88">
        <f>J38-I38</f>
        <v/>
      </c>
      <c r="L38" s="121">
        <f>+'MERMAS S1'!D34</f>
        <v/>
      </c>
      <c r="M38" s="301" t="n"/>
      <c r="N38" s="36">
        <f>IF(K38&lt;0,K38*L38,0)</f>
        <v/>
      </c>
      <c r="O38" s="4" t="n"/>
      <c r="P38" s="4" t="n"/>
      <c r="Q38" s="4" t="n"/>
    </row>
    <row r="39">
      <c r="B39" s="4" t="n"/>
      <c r="C39" s="9" t="n"/>
      <c r="D39" s="69" t="inlineStr">
        <is>
          <t>Cheesecake de Berries</t>
        </is>
      </c>
      <c r="E39" s="244" t="n"/>
      <c r="F39" s="77">
        <f>E262</f>
        <v/>
      </c>
      <c r="G39" s="77">
        <f>IFERROR(SUMPRODUCT(($F$66:$F$153="Cheesecake Berries")*$E$66:$E$153*$G$66:$G$153),"Error")</f>
        <v/>
      </c>
      <c r="H39" s="77">
        <f>SUM(F196:I196)</f>
        <v/>
      </c>
      <c r="I39" s="77">
        <f>E39+F39-G39-H39</f>
        <v/>
      </c>
      <c r="J39" s="205">
        <f>E196</f>
        <v/>
      </c>
      <c r="K39" s="88">
        <f>J39-I39</f>
        <v/>
      </c>
      <c r="L39" s="121">
        <f>+'MERMAS S1'!D35</f>
        <v/>
      </c>
      <c r="M39" s="301" t="n"/>
      <c r="N39" s="36">
        <f>IF(K39&lt;0,K39*L39,0)</f>
        <v/>
      </c>
      <c r="O39" s="4" t="n"/>
      <c r="P39" s="4" t="n"/>
      <c r="Q39" s="4" t="n"/>
    </row>
    <row r="40">
      <c r="B40" s="4" t="n"/>
      <c r="C40" s="30" t="n"/>
      <c r="D40" s="50" t="inlineStr">
        <is>
          <t>Cheesecake de Limón</t>
        </is>
      </c>
      <c r="E40" s="244" t="n"/>
      <c r="F40" s="77">
        <f>E263</f>
        <v/>
      </c>
      <c r="G40" s="77">
        <f>IFERROR(SUMPRODUCT(($F$66:$F$153=D40)*$E$66:$E$153*$G$66:$G$153),"Error")</f>
        <v/>
      </c>
      <c r="H40" s="77">
        <f>SUM(F197:H197)</f>
        <v/>
      </c>
      <c r="I40" s="77">
        <f>E40+F40-G40-H40</f>
        <v/>
      </c>
      <c r="J40" s="205">
        <f>E197</f>
        <v/>
      </c>
      <c r="K40" s="88">
        <f>J40-I40</f>
        <v/>
      </c>
      <c r="L40" s="121">
        <f>+'MERMAS S1'!D36</f>
        <v/>
      </c>
      <c r="M40" s="301" t="n"/>
      <c r="N40" s="36">
        <f>IF(K40&lt;0,K40*L40,0)</f>
        <v/>
      </c>
      <c r="O40" s="4" t="n"/>
      <c r="P40" s="4" t="n"/>
      <c r="Q40" s="4" t="n"/>
    </row>
    <row r="41">
      <c r="B41" s="4" t="n"/>
      <c r="C41" s="30" t="n"/>
      <c r="D41" s="50" t="inlineStr">
        <is>
          <t>Chocolate Blanco</t>
        </is>
      </c>
      <c r="E41" s="244" t="n"/>
      <c r="F41" s="77">
        <f>H262</f>
        <v/>
      </c>
      <c r="G41" s="77">
        <f>J262</f>
        <v/>
      </c>
      <c r="H41" s="77">
        <f>SUM(F198:I198)</f>
        <v/>
      </c>
      <c r="I41" s="77">
        <f>E41+F41-G41-H41</f>
        <v/>
      </c>
      <c r="J41" s="205">
        <f>E198</f>
        <v/>
      </c>
      <c r="K41" s="88">
        <f>J41-I41</f>
        <v/>
      </c>
      <c r="L41" s="121">
        <f>+'MERMAS S1'!D37</f>
        <v/>
      </c>
      <c r="M41" s="301" t="n"/>
      <c r="N41" s="36">
        <f>IF(K41&lt;0,K41*L41,0)</f>
        <v/>
      </c>
      <c r="O41" s="4" t="n"/>
      <c r="P41" s="4" t="n"/>
      <c r="Q41" s="4" t="n"/>
    </row>
    <row r="42">
      <c r="B42" s="4" t="n"/>
      <c r="C42" s="30" t="n"/>
      <c r="D42" s="50" t="inlineStr">
        <is>
          <t>Chocolate Leche</t>
        </is>
      </c>
      <c r="E42" s="244" t="n"/>
      <c r="F42" s="77">
        <f>H263</f>
        <v/>
      </c>
      <c r="G42" s="77">
        <f>J263</f>
        <v/>
      </c>
      <c r="H42" s="77">
        <f>SUM(F199:I199)</f>
        <v/>
      </c>
      <c r="I42" s="77">
        <f>E42+F42-G42-H42</f>
        <v/>
      </c>
      <c r="J42" s="205">
        <f>E199</f>
        <v/>
      </c>
      <c r="K42" s="88">
        <f>J42-I42</f>
        <v/>
      </c>
      <c r="L42" s="121">
        <f>+'MERMAS S1'!D38</f>
        <v/>
      </c>
      <c r="M42" s="301" t="n"/>
      <c r="N42" s="36">
        <f>IF(K42&lt;0,K42*L42,0)</f>
        <v/>
      </c>
      <c r="O42" s="4" t="n"/>
      <c r="P42" s="4" t="n"/>
      <c r="Q42" s="4" t="n"/>
    </row>
    <row r="43">
      <c r="B43" s="4" t="n"/>
      <c r="C43" s="30" t="n"/>
      <c r="D43" s="50" t="inlineStr">
        <is>
          <t>Chocolate Negro</t>
        </is>
      </c>
      <c r="E43" s="244" t="n"/>
      <c r="F43" s="77">
        <f>H264</f>
        <v/>
      </c>
      <c r="G43" s="77">
        <f>J264</f>
        <v/>
      </c>
      <c r="H43" s="77">
        <f>SUM(F200:I200)</f>
        <v/>
      </c>
      <c r="I43" s="77">
        <f>E43+F43-G43-H43</f>
        <v/>
      </c>
      <c r="J43" s="205">
        <f>E200</f>
        <v/>
      </c>
      <c r="K43" s="88">
        <f>J43-I43</f>
        <v/>
      </c>
      <c r="L43" s="121">
        <f>+'MERMAS S1'!D39</f>
        <v/>
      </c>
      <c r="M43" s="301" t="n"/>
      <c r="N43" s="36">
        <f>IF(K43&lt;0,K43*L43,0)</f>
        <v/>
      </c>
      <c r="O43" s="4" t="n"/>
      <c r="P43" s="4" t="n"/>
      <c r="Q43" s="4" t="n"/>
    </row>
    <row r="44">
      <c r="B44" s="4" t="n"/>
      <c r="C44" s="30" t="n"/>
      <c r="D44" s="50" t="inlineStr">
        <is>
          <t>Chocolate Neucober Cobertura</t>
        </is>
      </c>
      <c r="E44" s="244" t="n"/>
      <c r="F44" s="77">
        <f>H265</f>
        <v/>
      </c>
      <c r="G44" s="77">
        <f>J265</f>
        <v/>
      </c>
      <c r="H44" s="77">
        <f>SUM(F201:I201)</f>
        <v/>
      </c>
      <c r="I44" s="77">
        <f>E44+F44-G44-H44</f>
        <v/>
      </c>
      <c r="J44" s="205">
        <f>E201</f>
        <v/>
      </c>
      <c r="K44" s="88">
        <f>J44-I44</f>
        <v/>
      </c>
      <c r="L44" s="121">
        <f>+'MERMAS S1'!D40</f>
        <v/>
      </c>
      <c r="M44" s="301" t="n"/>
      <c r="N44" s="36">
        <f>IF(K44&lt;0,K44*L44,0)</f>
        <v/>
      </c>
      <c r="O44" s="4" t="n"/>
      <c r="P44" s="4" t="n"/>
      <c r="Q44" s="4" t="n"/>
    </row>
    <row r="45">
      <c r="B45" s="4" t="n"/>
      <c r="C45" s="30" t="n"/>
      <c r="D45" s="50" t="inlineStr">
        <is>
          <t>Chocolate Sicao Cobertura</t>
        </is>
      </c>
      <c r="E45" s="244" t="n"/>
      <c r="F45" s="77">
        <f>H266</f>
        <v/>
      </c>
      <c r="G45" s="77">
        <f>J266</f>
        <v/>
      </c>
      <c r="H45" s="77">
        <f>SUM(F202:I202)</f>
        <v/>
      </c>
      <c r="I45" s="77">
        <f>E45+F45-G45-H45</f>
        <v/>
      </c>
      <c r="J45" s="205">
        <f>E202</f>
        <v/>
      </c>
      <c r="K45" s="88">
        <f>J45-I45</f>
        <v/>
      </c>
      <c r="L45" s="121">
        <f>+'MERMAS S1'!D41</f>
        <v/>
      </c>
      <c r="M45" s="301" t="n"/>
      <c r="N45" s="36">
        <f>IF(K45&lt;0,K45*L45,0)</f>
        <v/>
      </c>
      <c r="O45" s="4" t="n"/>
      <c r="P45" s="4" t="n"/>
      <c r="Q45" s="4" t="n"/>
    </row>
    <row r="46">
      <c r="B46" s="4" t="n"/>
      <c r="C46" s="30" t="n"/>
      <c r="D46" s="50" t="inlineStr">
        <is>
          <t>Discos de Chocolate</t>
        </is>
      </c>
      <c r="E46" s="244" t="n"/>
      <c r="F46" s="77">
        <f>E268</f>
        <v/>
      </c>
      <c r="G46" s="77">
        <f>E91</f>
        <v/>
      </c>
      <c r="H46" s="77">
        <f>SUM(F203:I203)</f>
        <v/>
      </c>
      <c r="I46" s="77">
        <f>E46+F46-G46-H46</f>
        <v/>
      </c>
      <c r="J46" s="205">
        <f>E203</f>
        <v/>
      </c>
      <c r="K46" s="88">
        <f>J46-I46</f>
        <v/>
      </c>
      <c r="L46" s="121">
        <f>+'MERMAS S1'!D42</f>
        <v/>
      </c>
      <c r="M46" s="301" t="n"/>
      <c r="N46" s="36">
        <f>IF(K46&lt;0,K46*L46,0)</f>
        <v/>
      </c>
      <c r="O46" s="4" t="n"/>
      <c r="P46" s="4" t="n"/>
      <c r="Q46" s="4" t="n"/>
    </row>
    <row r="47">
      <c r="B47" s="4" t="n"/>
      <c r="C47" s="30" t="n"/>
      <c r="D47" s="50" t="inlineStr">
        <is>
          <t>Empanada Mechada</t>
        </is>
      </c>
      <c r="E47" s="244" t="n"/>
      <c r="F47" s="77">
        <f>E225</f>
        <v/>
      </c>
      <c r="G47" s="77">
        <f>IFERROR(SUMPRODUCT(($F$66:$F$153=D47)*$E$66:$E$153*$G$66:$G$153),"Error")</f>
        <v/>
      </c>
      <c r="H47" s="77">
        <f>(SUM(F204:I204)*4)+SUM(F205:I205)</f>
        <v/>
      </c>
      <c r="I47" s="77">
        <f>E47+F47-G47-H47</f>
        <v/>
      </c>
      <c r="J47" s="205">
        <f>(E204*4)+E205</f>
        <v/>
      </c>
      <c r="K47" s="88">
        <f>J47-I47</f>
        <v/>
      </c>
      <c r="L47" s="121">
        <f>+'MERMAS S1'!D43</f>
        <v/>
      </c>
      <c r="M47" s="301" t="n"/>
      <c r="N47" s="36">
        <f>IF(K47&lt;0,K47*L47,0)</f>
        <v/>
      </c>
      <c r="O47" s="4" t="n"/>
      <c r="P47" s="4" t="n"/>
      <c r="Q47" s="4" t="n"/>
    </row>
    <row r="48">
      <c r="B48" s="4" t="n"/>
      <c r="C48" s="30" t="n"/>
      <c r="D48" s="50" t="inlineStr">
        <is>
          <t>Empanada Pulpo</t>
        </is>
      </c>
      <c r="E48" s="244" t="n"/>
      <c r="F48" s="77">
        <f>H247</f>
        <v/>
      </c>
      <c r="G48" s="77">
        <f>IFERROR(SUMPRODUCT(($F$66:$F$153=D48)*$E$66:$E$153*$G$66:$G$153),"Error")</f>
        <v/>
      </c>
      <c r="H48" s="77">
        <f>(SUM(F206:I206)*4)+SUM(F207:I207)</f>
        <v/>
      </c>
      <c r="I48" s="77">
        <f>E48+F48-G48-H48</f>
        <v/>
      </c>
      <c r="J48" s="205">
        <f>(E206*4)+E207</f>
        <v/>
      </c>
      <c r="K48" s="88">
        <f>J48-I48</f>
        <v/>
      </c>
      <c r="L48" s="121">
        <f>+'MERMAS S1'!D44</f>
        <v/>
      </c>
      <c r="M48" s="301" t="n"/>
      <c r="N48" s="36">
        <f>IF(K48&lt;0,K48*L48,0)</f>
        <v/>
      </c>
      <c r="O48" s="4" t="n"/>
      <c r="P48" s="4" t="n"/>
      <c r="Q48" s="4" t="n"/>
    </row>
    <row r="49">
      <c r="B49" s="4" t="n"/>
      <c r="C49" s="30" t="n"/>
      <c r="D49" s="50" t="inlineStr">
        <is>
          <t>Flan de Caluga</t>
        </is>
      </c>
      <c r="E49" s="244" t="n"/>
      <c r="F49" s="77">
        <f>E266</f>
        <v/>
      </c>
      <c r="G49" s="77">
        <f>IFERROR(SUMPRODUCT(($F$66:$F$153=D49)*$E$66:$E$153*$G$66:$G$153),"Error")</f>
        <v/>
      </c>
      <c r="H49" s="77">
        <f>SUM(F208:I208)</f>
        <v/>
      </c>
      <c r="I49" s="77">
        <f>E49+F49-G49-H49</f>
        <v/>
      </c>
      <c r="J49" s="205">
        <f>E208</f>
        <v/>
      </c>
      <c r="K49" s="88">
        <f>J49-I49</f>
        <v/>
      </c>
      <c r="L49" s="121">
        <f>+'MERMAS S1'!D45</f>
        <v/>
      </c>
      <c r="M49" s="301" t="n"/>
      <c r="N49" s="36">
        <f>IF(K49&lt;0,K49*L49,0)</f>
        <v/>
      </c>
      <c r="O49" s="4" t="n"/>
      <c r="P49" s="4" t="n"/>
      <c r="Q49" s="4" t="n"/>
    </row>
    <row r="50">
      <c r="B50" s="4" t="n"/>
      <c r="C50" s="30" t="n"/>
      <c r="D50" s="69" t="inlineStr">
        <is>
          <t>Granola salada</t>
        </is>
      </c>
      <c r="E50" s="244" t="n"/>
      <c r="F50" s="77">
        <f>IF(
SUMPRODUCT(--ISNUMBER(SEARCH(D50,$D$221:$D$242)))
+
SUMPRODUCT(--ISNUMBER(SEARCH(D50,$D$262:$D$267)))=0,
"Error",
SUMPRODUCT((ISNUMBER(SEARCH(D50,$D$221:$D$242)))*$E$221:$E$242)
+
SUMPRODUCT((ISNUMBER(SEARCH(D50,$D$262:$D$267)))*$E$262:$E$267)
)</f>
        <v/>
      </c>
      <c r="G50" s="77">
        <f>IFERROR(SUMPRODUCT(($F$66:$F$153=D50)*$E$66:$E$153*$G$66:$G$153),"Error")</f>
        <v/>
      </c>
      <c r="H50" s="77">
        <f>SUM(F209:I209)</f>
        <v/>
      </c>
      <c r="I50" s="77">
        <f>E50+F50-G50-H50</f>
        <v/>
      </c>
      <c r="J50" s="205">
        <f>E209</f>
        <v/>
      </c>
      <c r="K50" s="88">
        <f>J50-I50</f>
        <v/>
      </c>
      <c r="L50" s="121">
        <f>+'MERMAS S1'!D46</f>
        <v/>
      </c>
      <c r="M50" s="301" t="n"/>
      <c r="N50" s="36">
        <f>IF(K50&lt;0,K50*L50,0)</f>
        <v/>
      </c>
      <c r="O50" s="4" t="n"/>
      <c r="P50" s="4" t="n"/>
      <c r="Q50" s="4" t="n"/>
    </row>
    <row r="51">
      <c r="B51" s="4" t="n"/>
      <c r="C51" s="30" t="n"/>
      <c r="D51" s="69" t="inlineStr">
        <is>
          <t>Mix Conchas</t>
        </is>
      </c>
      <c r="E51" s="244" t="n"/>
      <c r="F51" s="77">
        <f>H253</f>
        <v/>
      </c>
      <c r="G51" s="77">
        <f>IFERROR(SUMPRODUCT(($F$66:$F$153=D51)*$E$66:$E$153*$G$66:$G$153),"Error")</f>
        <v/>
      </c>
      <c r="H51" s="77">
        <f>SUM(F210:I210)</f>
        <v/>
      </c>
      <c r="I51" s="77">
        <f>E51+F51-G51-H51</f>
        <v/>
      </c>
      <c r="J51" s="205">
        <f>E210</f>
        <v/>
      </c>
      <c r="K51" s="88">
        <f>J51-I51</f>
        <v/>
      </c>
      <c r="L51" s="121">
        <f>+'MERMAS S1'!D47</f>
        <v/>
      </c>
      <c r="M51" s="301" t="n"/>
      <c r="N51" s="36">
        <f>IF(K51&lt;0,K51*L51,0)</f>
        <v/>
      </c>
      <c r="O51" s="4" t="n"/>
      <c r="P51" s="4" t="n"/>
      <c r="Q51" s="4" t="n"/>
    </row>
    <row r="52">
      <c r="B52" s="4" t="n"/>
      <c r="C52" s="30" t="n"/>
      <c r="D52" s="69" t="inlineStr">
        <is>
          <t>Nutella</t>
        </is>
      </c>
      <c r="E52" s="244" t="n"/>
      <c r="F52" s="77">
        <f>H267</f>
        <v/>
      </c>
      <c r="G52" s="77">
        <f>J267</f>
        <v/>
      </c>
      <c r="H52" s="77">
        <f>SUM(F211:I211)</f>
        <v/>
      </c>
      <c r="I52" s="77">
        <f>E52+F52-G52-H52</f>
        <v/>
      </c>
      <c r="J52" s="205">
        <f>E211</f>
        <v/>
      </c>
      <c r="K52" s="88">
        <f>J52-I52</f>
        <v/>
      </c>
      <c r="L52" s="121">
        <f>+'MERMAS S1'!D48</f>
        <v/>
      </c>
      <c r="M52" s="301" t="n"/>
      <c r="N52" s="36">
        <f>IF(K52&lt;0,K52*L52,0)</f>
        <v/>
      </c>
      <c r="O52" s="4" t="n"/>
      <c r="P52" s="4" t="n"/>
      <c r="Q52" s="4" t="n"/>
    </row>
    <row r="53">
      <c r="B53" s="4" t="n"/>
      <c r="C53" s="30" t="n"/>
      <c r="D53" s="50" t="inlineStr">
        <is>
          <t>Queso Mozzarella</t>
        </is>
      </c>
      <c r="E53" s="244" t="n"/>
      <c r="F53" s="77">
        <f>E236</f>
        <v/>
      </c>
      <c r="G53" s="77">
        <f>IFERROR(SUMPRODUCT(($F$66:$F$153=D53)*$E$66:$E$153*$G$66:$G$153),"Error")</f>
        <v/>
      </c>
      <c r="H53" s="77">
        <f>SUM(F212:I212)</f>
        <v/>
      </c>
      <c r="I53" s="77">
        <f>E53+F53-G53-H53</f>
        <v/>
      </c>
      <c r="J53" s="205">
        <f>E212</f>
        <v/>
      </c>
      <c r="K53" s="88">
        <f>J53-I53</f>
        <v/>
      </c>
      <c r="L53" s="121">
        <f>+'MERMAS S1'!D49</f>
        <v/>
      </c>
      <c r="M53" s="301" t="n"/>
      <c r="N53" s="36">
        <f>IF(K53&lt;0,K53*L53,0)</f>
        <v/>
      </c>
      <c r="O53" s="4" t="n"/>
      <c r="P53" s="4" t="n"/>
      <c r="Q53" s="4" t="n"/>
    </row>
    <row r="54">
      <c r="B54" s="4" t="n"/>
      <c r="C54" s="30" t="n"/>
      <c r="D54" s="50" t="inlineStr">
        <is>
          <t>Sorrentinos carne mechada</t>
        </is>
      </c>
      <c r="E54" s="244" t="n"/>
      <c r="F54" s="77">
        <f>E240</f>
        <v/>
      </c>
      <c r="G54" s="77">
        <f>IFERROR(SUMPRODUCT(($F$66:$F$153=D54)*$E$66:$E$153*$G$66:$G$153),"Error")</f>
        <v/>
      </c>
      <c r="H54" s="77">
        <f>SUM(F213:I213)</f>
        <v/>
      </c>
      <c r="I54" s="77">
        <f>E54+F54-G54-H54</f>
        <v/>
      </c>
      <c r="J54" s="205">
        <f>E213</f>
        <v/>
      </c>
      <c r="K54" s="88">
        <f>J54-I54</f>
        <v/>
      </c>
      <c r="L54" s="121">
        <f>+'MERMAS S1'!D50</f>
        <v/>
      </c>
      <c r="M54" s="301" t="n"/>
      <c r="N54" s="36">
        <f>IF(K54&lt;0,K54*L54,0)</f>
        <v/>
      </c>
      <c r="O54" s="4" t="n"/>
      <c r="P54" s="4" t="n"/>
      <c r="Q54" s="4" t="n"/>
    </row>
    <row r="55">
      <c r="B55" s="4" t="n"/>
      <c r="C55" s="30" t="n"/>
      <c r="D55" s="50" t="inlineStr">
        <is>
          <t>Sorrentinos pulpo y salmón</t>
        </is>
      </c>
      <c r="E55" s="244" t="n"/>
      <c r="F55" s="77">
        <f>E241</f>
        <v/>
      </c>
      <c r="G55" s="77">
        <f>IFERROR(SUMPRODUCT(($F$66:$F$153=D55)*$E$66:$E$153*$G$66:$G$153),"Error")</f>
        <v/>
      </c>
      <c r="H55" s="77">
        <f>SUM(F214:I214)</f>
        <v/>
      </c>
      <c r="I55" s="77">
        <f>E55+F55-G55-H55</f>
        <v/>
      </c>
      <c r="J55" s="205">
        <f>E214</f>
        <v/>
      </c>
      <c r="K55" s="88">
        <f>J55-I55</f>
        <v/>
      </c>
      <c r="L55" s="121">
        <f>+'MERMAS S1'!D51</f>
        <v/>
      </c>
      <c r="M55" s="301" t="n"/>
      <c r="N55" s="36">
        <f>IF(K55&lt;0,K55*L55,0)</f>
        <v/>
      </c>
      <c r="O55" s="4" t="n"/>
      <c r="P55" s="4" t="n"/>
      <c r="Q55" s="4" t="n"/>
    </row>
    <row r="56">
      <c r="B56" s="4" t="n"/>
      <c r="C56" s="30" t="n"/>
      <c r="D56" s="50" t="inlineStr">
        <is>
          <t>Sorrentinos zapallo</t>
        </is>
      </c>
      <c r="E56" s="244" t="n"/>
      <c r="F56" s="77">
        <f>E242</f>
        <v/>
      </c>
      <c r="G56" s="77">
        <f>IFERROR(SUMPRODUCT(($F$66:$F$153=D56)*$E$66:$E$153*$G$66:$G$153),"Error")</f>
        <v/>
      </c>
      <c r="H56" s="77">
        <f>SUM(F215:I215)</f>
        <v/>
      </c>
      <c r="I56" s="77">
        <f>E56+F56-G56-H56</f>
        <v/>
      </c>
      <c r="J56" s="205">
        <f>E215</f>
        <v/>
      </c>
      <c r="K56" s="88">
        <f>J56-I56</f>
        <v/>
      </c>
      <c r="L56" s="121">
        <f>+'MERMAS S1'!D52</f>
        <v/>
      </c>
      <c r="M56" s="301" t="n"/>
      <c r="N56" s="36">
        <f>IF(K56&lt;0,K56*L56,0)</f>
        <v/>
      </c>
      <c r="O56" s="4" t="n"/>
      <c r="P56" s="4" t="n"/>
      <c r="Q56" s="4" t="n"/>
    </row>
    <row r="57" ht="13.5" customHeight="1" s="95" thickBot="1">
      <c r="B57" s="4" t="n"/>
      <c r="C57" s="30" t="n"/>
      <c r="D57" s="89" t="inlineStr">
        <is>
          <t>Volcán de Chocolate</t>
        </is>
      </c>
      <c r="E57" s="245" t="n"/>
      <c r="F57" s="166">
        <f>E267</f>
        <v/>
      </c>
      <c r="G57" s="166">
        <f>IFERROR(SUMPRODUCT(($F$66:$F$153=D57)*$E$66:$E$153*$G$66:$G$153),"Error")</f>
        <v/>
      </c>
      <c r="H57" s="166">
        <f>SUM(F216:I216)</f>
        <v/>
      </c>
      <c r="I57" s="166">
        <f>E57+F57-G57-H57</f>
        <v/>
      </c>
      <c r="J57" s="206">
        <f>E216</f>
        <v/>
      </c>
      <c r="K57" s="167">
        <f>J57-I57</f>
        <v/>
      </c>
      <c r="L57" s="131">
        <f>+'MERMAS S1'!D53</f>
        <v/>
      </c>
      <c r="M57" s="303" t="n"/>
      <c r="N57" s="110">
        <f>IF(K57&lt;0,K57*L57,0)</f>
        <v/>
      </c>
      <c r="O57" s="4" t="n"/>
      <c r="P57" s="4" t="n"/>
      <c r="Q57" s="4" t="n"/>
    </row>
    <row r="58" ht="13.5" customHeight="1" s="95" thickBot="1">
      <c r="B58" s="4" t="n"/>
      <c r="C58" s="4" t="n"/>
      <c r="D58" s="16" t="n"/>
      <c r="E58" s="9" t="n"/>
      <c r="F58" s="9" t="n"/>
      <c r="G58" s="9" t="n"/>
      <c r="H58" s="9" t="n"/>
      <c r="I58" s="8" t="n"/>
      <c r="J58" s="8" t="n"/>
      <c r="K58" s="8" t="n"/>
      <c r="L58" s="9" t="n"/>
      <c r="M58" s="4" t="n"/>
      <c r="N58" s="4" t="n"/>
      <c r="O58" s="4" t="n"/>
      <c r="P58" s="4" t="n"/>
      <c r="Q58" s="4" t="n"/>
    </row>
    <row r="59" ht="13.5" customHeight="1" s="95" thickBot="1">
      <c r="B59" s="4" t="n"/>
      <c r="C59" s="4" t="n"/>
      <c r="D59" s="16" t="n"/>
      <c r="E59" s="9" t="n"/>
      <c r="F59" s="9" t="n"/>
      <c r="G59" s="9" t="n"/>
      <c r="H59" s="17" t="n"/>
      <c r="I59" s="304" t="inlineStr">
        <is>
          <t>DIFERENCIAS PROMEDIO</t>
        </is>
      </c>
      <c r="J59" s="305" t="n"/>
      <c r="K59" s="11">
        <f>SUM(K37:K57)</f>
        <v/>
      </c>
      <c r="L59" s="4" t="n"/>
      <c r="M59" s="12" t="inlineStr">
        <is>
          <t>DCTO. TOTAL</t>
        </is>
      </c>
      <c r="N59" s="13">
        <f>SUM(N37:N57)</f>
        <v/>
      </c>
      <c r="O59" s="4" t="n"/>
      <c r="P59" s="4" t="n"/>
      <c r="Q59" s="4" t="n"/>
    </row>
    <row r="60"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</row>
    <row r="61"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</row>
    <row r="62"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</row>
    <row r="63" ht="13.5" customHeight="1" s="95" thickBot="1"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</row>
    <row r="64">
      <c r="B64" s="4" t="n"/>
      <c r="C64" s="197" t="inlineStr">
        <is>
          <t>VENTAS</t>
        </is>
      </c>
      <c r="D64" s="308" t="n"/>
      <c r="E64" s="308" t="n"/>
      <c r="F64" s="308" t="n"/>
      <c r="G64" s="308" t="n"/>
      <c r="H64" s="300" t="n"/>
      <c r="I64" s="55" t="n"/>
      <c r="J64" s="55" t="n"/>
      <c r="K64" s="55" t="n"/>
      <c r="L64" s="55" t="n"/>
      <c r="M64" s="55" t="n"/>
      <c r="N64" s="55" t="n"/>
      <c r="O64" s="4" t="n"/>
      <c r="P64" s="4" t="n"/>
      <c r="Q64" s="4" t="n"/>
    </row>
    <row r="65">
      <c r="B65" s="4" t="n"/>
      <c r="C65" s="200" t="inlineStr">
        <is>
          <t>Código</t>
        </is>
      </c>
      <c r="D65" s="196" t="inlineStr">
        <is>
          <t>Ítem</t>
        </is>
      </c>
      <c r="E65" s="196" t="inlineStr">
        <is>
          <t xml:space="preserve">Vendido </t>
        </is>
      </c>
      <c r="F65" s="196" t="inlineStr">
        <is>
          <t>Producto</t>
        </is>
      </c>
      <c r="G65" s="196" t="inlineStr">
        <is>
          <t>Cantidad</t>
        </is>
      </c>
      <c r="H65" s="201" t="inlineStr">
        <is>
          <t>Medida</t>
        </is>
      </c>
      <c r="I65" s="56" t="n"/>
      <c r="J65" s="56" t="n"/>
      <c r="K65" s="56" t="n"/>
      <c r="L65" s="56" t="n"/>
      <c r="M65" s="56" t="n"/>
      <c r="N65" s="56" t="n"/>
      <c r="O65" s="4" t="n"/>
      <c r="P65" s="4" t="n"/>
      <c r="Q65" s="4" t="n"/>
    </row>
    <row r="66">
      <c r="B66" s="4" t="n"/>
      <c r="C66" s="96" t="inlineStr">
        <is>
          <t>VECARAGR013</t>
        </is>
      </c>
      <c r="D66" s="18" t="inlineStr">
        <is>
          <t>Age Salmon Ahumado</t>
        </is>
      </c>
      <c r="E66" s="207">
        <f>IFERROR(
IF(
INDEX($K$272:$K$977,MATCH(C66,$B$272:$B$977,0))&lt;&gt;0,
INDEX($K$272:$K$977,MATCH(C66,$B$272:$B$977,0)),
INDEX($L$272:$L$977,MATCH(C66,$B$272:$B$977,0))
),
0)</f>
        <v/>
      </c>
      <c r="F66" s="1" t="inlineStr">
        <is>
          <t>Salmón ahumado en Caliente</t>
        </is>
      </c>
      <c r="G66" s="52" t="n">
        <v>0.12</v>
      </c>
      <c r="H66" s="81" t="inlineStr">
        <is>
          <t>Kg</t>
        </is>
      </c>
      <c r="I66" s="79" t="n"/>
      <c r="J66" s="78" t="n"/>
      <c r="K66" s="79" t="n"/>
      <c r="L66" s="80" t="n"/>
      <c r="M66" s="80" t="n"/>
      <c r="N66" s="80" t="n"/>
      <c r="O66" s="4" t="n"/>
      <c r="P66" s="4" t="n"/>
      <c r="Q66" s="4" t="n"/>
    </row>
    <row r="67">
      <c r="B67" s="4" t="n"/>
      <c r="C67" s="96" t="inlineStr">
        <is>
          <t>VECARAGR007</t>
        </is>
      </c>
      <c r="D67" s="18" t="inlineStr">
        <is>
          <t>Agr. Jamon Crudo</t>
        </is>
      </c>
      <c r="E67" s="207">
        <f>IFERROR(
IF(
INDEX($K$272:$K$977,MATCH(C67,$B$272:$B$977,0))&lt;&gt;0,
INDEX($K$272:$K$977,MATCH(C67,$B$272:$B$977,0)),
INDEX($L$272:$L$977,MATCH(C67,$B$272:$B$977,0))
),
0)</f>
        <v/>
      </c>
      <c r="F67" s="1" t="inlineStr">
        <is>
          <t>Jamón serrano</t>
        </is>
      </c>
      <c r="G67" s="52" t="n">
        <v>0.03</v>
      </c>
      <c r="H67" s="81" t="inlineStr">
        <is>
          <t>Kg</t>
        </is>
      </c>
      <c r="I67" s="79" t="n"/>
      <c r="J67" s="78" t="n"/>
      <c r="K67" s="79" t="n"/>
      <c r="L67" s="80" t="n"/>
      <c r="M67" s="80" t="n"/>
      <c r="N67" s="80" t="n"/>
      <c r="O67" s="4" t="n"/>
      <c r="P67" s="4" t="n"/>
      <c r="Q67" s="4" t="n"/>
    </row>
    <row r="68">
      <c r="B68" s="4" t="n"/>
      <c r="C68" s="96" t="inlineStr">
        <is>
          <t>VECARENT001</t>
        </is>
      </c>
      <c r="D68" s="18" t="inlineStr">
        <is>
          <t>Atún Apanado</t>
        </is>
      </c>
      <c r="E68" s="207">
        <f>IFERROR(
IF(
INDEX($K$272:$K$977,MATCH(C68,$B$272:$B$977,0))&lt;&gt;0,
INDEX($K$272:$K$977,MATCH(C68,$B$272:$B$977,0)),
INDEX($L$272:$L$977,MATCH(C68,$B$272:$B$977,0))
),
0)</f>
        <v/>
      </c>
      <c r="F68" s="1" t="inlineStr">
        <is>
          <t>Atún Steak</t>
        </is>
      </c>
      <c r="G68" s="52" t="n">
        <v>0.18</v>
      </c>
      <c r="H68" s="81" t="inlineStr">
        <is>
          <t>Kg</t>
        </is>
      </c>
      <c r="I68" s="79" t="n"/>
      <c r="J68" s="78" t="n"/>
      <c r="K68" s="79" t="n"/>
      <c r="L68" s="80" t="n"/>
      <c r="M68" s="80" t="n"/>
      <c r="N68" s="80" t="n"/>
      <c r="O68" s="20" t="n"/>
      <c r="P68" s="4" t="n"/>
      <c r="Q68" s="4" t="n"/>
    </row>
    <row r="69">
      <c r="B69" s="4" t="n"/>
      <c r="C69" s="96" t="inlineStr">
        <is>
          <t>VECARFJT001</t>
        </is>
      </c>
      <c r="D69" s="18" t="inlineStr">
        <is>
          <t>Atún Sellado JT</t>
        </is>
      </c>
      <c r="E69" s="207">
        <f>IFERROR(
IF(
INDEX($K$272:$K$977,MATCH(C69,$B$272:$B$977,0))&lt;&gt;0,
INDEX($K$272:$K$977,MATCH(C69,$B$272:$B$977,0)),
INDEX($L$272:$L$977,MATCH(C69,$B$272:$B$977,0))
),
0)</f>
        <v/>
      </c>
      <c r="F69" s="1" t="inlineStr">
        <is>
          <t>Atún Steak</t>
        </is>
      </c>
      <c r="G69" s="52" t="n">
        <v>0.18</v>
      </c>
      <c r="H69" s="81" t="inlineStr">
        <is>
          <t>Kg</t>
        </is>
      </c>
      <c r="I69" s="79" t="n"/>
      <c r="J69" s="78" t="n"/>
      <c r="K69" s="79" t="n"/>
      <c r="L69" s="80" t="n"/>
      <c r="M69" s="80" t="n"/>
      <c r="N69" s="80" t="n"/>
      <c r="O69" s="20" t="n"/>
      <c r="P69" s="4" t="n"/>
      <c r="Q69" s="4" t="n"/>
    </row>
    <row r="70">
      <c r="B70" s="4" t="n"/>
      <c r="C70" s="96" t="inlineStr">
        <is>
          <t>VECARFON002</t>
        </is>
      </c>
      <c r="D70" s="18" t="inlineStr">
        <is>
          <t>Atún Risotto</t>
        </is>
      </c>
      <c r="E70" s="207">
        <f>IFERROR(
IF(
INDEX($K$272:$K$977,MATCH(C70,$B$272:$B$977,0))&lt;&gt;0,
INDEX($K$272:$K$977,MATCH(C70,$B$272:$B$977,0)),
INDEX($L$272:$L$977,MATCH(C70,$B$272:$B$977,0))
),
0)</f>
        <v/>
      </c>
      <c r="F70" s="1" t="inlineStr">
        <is>
          <t>Atún Steak</t>
        </is>
      </c>
      <c r="G70" s="52" t="n">
        <v>0.18</v>
      </c>
      <c r="H70" s="81" t="inlineStr">
        <is>
          <t>Kg</t>
        </is>
      </c>
      <c r="I70" s="79" t="n"/>
      <c r="J70" s="78" t="n"/>
      <c r="K70" s="79" t="n"/>
      <c r="L70" s="80" t="n"/>
      <c r="M70" s="80" t="n"/>
      <c r="N70" s="80" t="n"/>
      <c r="O70" s="20" t="n"/>
      <c r="P70" s="4" t="n"/>
      <c r="Q70" s="4" t="n"/>
    </row>
    <row r="71">
      <c r="B71" s="4" t="n"/>
      <c r="C71" s="96" t="inlineStr">
        <is>
          <t>VECARFUB001</t>
        </is>
      </c>
      <c r="D71" s="18" t="inlineStr">
        <is>
          <t>Atún Risotto PY</t>
        </is>
      </c>
      <c r="E71" s="207">
        <f>IFERROR(
IF(
INDEX($K$272:$K$977,MATCH(C71,$B$272:$B$977,0))&lt;&gt;0,
INDEX($K$272:$K$977,MATCH(C71,$B$272:$B$977,0)),
INDEX($L$272:$L$977,MATCH(C71,$B$272:$B$977,0))
),
0)</f>
        <v/>
      </c>
      <c r="F71" s="1" t="inlineStr">
        <is>
          <t>Atún Steak</t>
        </is>
      </c>
      <c r="G71" s="52" t="n">
        <v>0.18</v>
      </c>
      <c r="H71" s="81" t="inlineStr">
        <is>
          <t>Kg</t>
        </is>
      </c>
      <c r="I71" s="79" t="n"/>
      <c r="J71" s="78" t="n"/>
      <c r="K71" s="79" t="n"/>
      <c r="L71" s="80" t="n"/>
      <c r="M71" s="80" t="n"/>
      <c r="N71" s="80" t="n"/>
      <c r="O71" s="20" t="n"/>
      <c r="P71" s="4" t="n"/>
      <c r="Q71" s="4" t="n"/>
    </row>
    <row r="72">
      <c r="B72" s="4" t="n"/>
      <c r="C72" s="96" t="inlineStr">
        <is>
          <t>VECARENT034</t>
        </is>
      </c>
      <c r="D72" s="18" t="inlineStr">
        <is>
          <t>Brocheta Langostino</t>
        </is>
      </c>
      <c r="E72" s="207">
        <f>IFERROR(
IF(
INDEX($K$272:$K$977,MATCH(C72,$B$272:$B$977,0))&lt;&gt;0,
INDEX($K$272:$K$977,MATCH(C72,$B$272:$B$977,0)),
INDEX($L$272:$L$977,MATCH(C72,$B$272:$B$977,0))
),
0)</f>
        <v/>
      </c>
      <c r="F72" s="1" t="inlineStr">
        <is>
          <t>Langostinos</t>
        </is>
      </c>
      <c r="G72" s="52" t="n">
        <v>1</v>
      </c>
      <c r="H72" s="81" t="inlineStr">
        <is>
          <t>Und</t>
        </is>
      </c>
      <c r="I72" s="79" t="n"/>
      <c r="J72" s="78" t="n"/>
      <c r="K72" s="79" t="n"/>
      <c r="L72" s="80" t="n"/>
      <c r="M72" s="80" t="n"/>
      <c r="N72" s="80" t="n"/>
      <c r="O72" s="20" t="n"/>
      <c r="P72" s="4" t="n"/>
      <c r="Q72" s="4" t="n"/>
    </row>
    <row r="73">
      <c r="B73" s="4" t="n"/>
      <c r="C73" s="96" t="inlineStr">
        <is>
          <t>VECARPOS013</t>
        </is>
      </c>
      <c r="D73" s="18" t="inlineStr">
        <is>
          <t>Brownie Choc Vegano</t>
        </is>
      </c>
      <c r="E73" s="207">
        <f>IFERROR(
IF(
INDEX($K$272:$K$977,MATCH(C73,$B$272:$B$977,0))&lt;&gt;0,
INDEX($K$272:$K$977,MATCH(C73,$B$272:$B$977,0)),
INDEX($L$272:$L$977,MATCH(C73,$B$272:$B$977,0))
),
0)</f>
        <v/>
      </c>
      <c r="F73" s="18" t="inlineStr">
        <is>
          <t>Brownie Vegano</t>
        </is>
      </c>
      <c r="G73" s="52" t="n">
        <v>1</v>
      </c>
      <c r="H73" s="81" t="inlineStr">
        <is>
          <t>Kg</t>
        </is>
      </c>
      <c r="I73" s="79" t="n"/>
      <c r="J73" s="78" t="n"/>
      <c r="K73" s="79" t="n"/>
      <c r="L73" s="80" t="n"/>
      <c r="M73" s="80" t="n"/>
      <c r="N73" s="80" t="n"/>
      <c r="O73" s="20" t="n"/>
      <c r="P73" s="4" t="n"/>
      <c r="Q73" s="4" t="n"/>
    </row>
    <row r="74">
      <c r="B74" s="4" t="n"/>
      <c r="C74" s="96" t="inlineStr">
        <is>
          <t>VECARPOS024</t>
        </is>
      </c>
      <c r="D74" s="18" t="inlineStr">
        <is>
          <t>Brownie Nutella</t>
        </is>
      </c>
      <c r="E74" s="207">
        <f>IFERROR(
IF(
INDEX($K$272:$K$977,MATCH(C74,$B$272:$B$977,0))&lt;&gt;0,
INDEX($K$272:$K$977,MATCH(C74,$B$272:$B$977,0)),
INDEX($L$272:$L$977,MATCH(C74,$B$272:$B$977,0))
),
0)</f>
        <v/>
      </c>
      <c r="F74" s="18" t="inlineStr">
        <is>
          <t>Brownie Nutella</t>
        </is>
      </c>
      <c r="G74" s="52" t="n">
        <v>1</v>
      </c>
      <c r="H74" s="81" t="inlineStr">
        <is>
          <t>Kg</t>
        </is>
      </c>
      <c r="I74" s="79" t="n"/>
      <c r="J74" s="78" t="n"/>
      <c r="K74" s="79" t="n"/>
      <c r="L74" s="80" t="n"/>
      <c r="M74" s="80" t="n"/>
      <c r="N74" s="80" t="n"/>
      <c r="O74" s="4" t="n"/>
      <c r="P74" s="4" t="n"/>
      <c r="Q74" s="4" t="n"/>
    </row>
    <row r="75">
      <c r="B75" s="4" t="n"/>
      <c r="C75" s="96" t="inlineStr">
        <is>
          <t>VECARPUB012</t>
        </is>
      </c>
      <c r="D75" s="18" t="inlineStr">
        <is>
          <t>Brownie Nutella  PY</t>
        </is>
      </c>
      <c r="E75" s="207">
        <f>IFERROR(
IF(
INDEX($K$272:$K$977,MATCH(C75,$B$272:$B$977,0))&lt;&gt;0,
INDEX($K$272:$K$977,MATCH(C75,$B$272:$B$977,0)),
INDEX($L$272:$L$977,MATCH(C75,$B$272:$B$977,0))
),
0)</f>
        <v/>
      </c>
      <c r="F75" s="18" t="inlineStr">
        <is>
          <t>Brownie Nutella</t>
        </is>
      </c>
      <c r="G75" s="52" t="n">
        <v>1</v>
      </c>
      <c r="H75" s="81" t="inlineStr">
        <is>
          <t>Kg</t>
        </is>
      </c>
      <c r="I75" s="79" t="n"/>
      <c r="J75" s="78" t="n"/>
      <c r="K75" s="79" t="n"/>
      <c r="L75" s="80" t="n"/>
      <c r="M75" s="80" t="n"/>
      <c r="N75" s="80" t="n"/>
      <c r="O75" s="4" t="n"/>
      <c r="P75" s="4" t="n"/>
      <c r="Q75" s="4" t="n"/>
    </row>
    <row r="76">
      <c r="B76" s="4" t="n"/>
      <c r="C76" s="96" t="inlineStr">
        <is>
          <t>VECARPJT005</t>
        </is>
      </c>
      <c r="D76" s="18" t="inlineStr">
        <is>
          <t>Brownie Vegano JT</t>
        </is>
      </c>
      <c r="E76" s="207">
        <f>IFERROR(
IF(
INDEX($K$272:$K$977,MATCH(C76,$B$272:$B$977,0))&lt;&gt;0,
INDEX($K$272:$K$977,MATCH(C76,$B$272:$B$977,0)),
INDEX($L$272:$L$977,MATCH(C76,$B$272:$B$977,0))
),
0)</f>
        <v/>
      </c>
      <c r="F76" s="18" t="inlineStr">
        <is>
          <t>Brownie Vegano</t>
        </is>
      </c>
      <c r="G76" s="52" t="n">
        <v>1</v>
      </c>
      <c r="H76" s="81" t="inlineStr">
        <is>
          <t>Kg</t>
        </is>
      </c>
      <c r="I76" s="79" t="n"/>
      <c r="J76" s="78" t="n"/>
      <c r="K76" s="79" t="n"/>
      <c r="L76" s="80" t="n"/>
      <c r="M76" s="80" t="n"/>
      <c r="N76" s="80" t="n"/>
      <c r="O76" s="4" t="n"/>
      <c r="P76" s="4" t="n"/>
      <c r="Q76" s="4" t="n"/>
    </row>
    <row r="77">
      <c r="B77" s="4" t="n"/>
      <c r="C77" s="96" t="inlineStr">
        <is>
          <t>VECARPUB005</t>
        </is>
      </c>
      <c r="D77" s="18" t="inlineStr">
        <is>
          <t>Brownie Vegano PY</t>
        </is>
      </c>
      <c r="E77" s="207">
        <f>IFERROR(
IF(
INDEX($K$272:$K$977,MATCH(C77,$B$272:$B$977,0))&lt;&gt;0,
INDEX($K$272:$K$977,MATCH(C77,$B$272:$B$977,0)),
INDEX($L$272:$L$977,MATCH(C77,$B$272:$B$977,0))
),
0)</f>
        <v/>
      </c>
      <c r="F77" s="18" t="inlineStr">
        <is>
          <t>Brownie Vegano</t>
        </is>
      </c>
      <c r="G77" s="52" t="n">
        <v>1</v>
      </c>
      <c r="H77" s="81" t="inlineStr">
        <is>
          <t>Kg</t>
        </is>
      </c>
      <c r="I77" s="79" t="n"/>
      <c r="J77" s="78" t="n"/>
      <c r="K77" s="79" t="n"/>
      <c r="L77" s="80" t="n"/>
      <c r="M77" s="80" t="n"/>
      <c r="N77" s="80" t="n"/>
      <c r="O77" s="20" t="n"/>
      <c r="P77" s="4" t="n"/>
      <c r="Q77" s="4" t="n"/>
    </row>
    <row r="78">
      <c r="B78" s="4" t="n"/>
      <c r="C78" s="96" t="inlineStr">
        <is>
          <t>VECARFON067</t>
        </is>
      </c>
      <c r="D78" s="18" t="inlineStr">
        <is>
          <t>Carne Desmechada con Ñoquis</t>
        </is>
      </c>
      <c r="E78" s="207">
        <f>IFERROR(
IF(
INDEX($K$272:$K$977,MATCH(C78,$B$272:$B$977,0))&lt;&gt;0,
INDEX($K$272:$K$977,MATCH(C78,$B$272:$B$977,0)),
INDEX($L$272:$L$977,MATCH(C78,$B$272:$B$977,0))
),
0)</f>
        <v/>
      </c>
      <c r="F78" s="18" t="inlineStr">
        <is>
          <t>Ganso</t>
        </is>
      </c>
      <c r="G78" s="52" t="n">
        <v>0.12</v>
      </c>
      <c r="H78" s="81" t="inlineStr">
        <is>
          <t>Kg</t>
        </is>
      </c>
      <c r="I78" s="79" t="n"/>
      <c r="J78" s="78" t="n"/>
      <c r="K78" s="79" t="n"/>
      <c r="L78" s="80" t="n"/>
      <c r="M78" s="80" t="n"/>
      <c r="N78" s="80" t="n"/>
      <c r="O78" s="20" t="n"/>
      <c r="P78" s="4" t="n"/>
      <c r="Q78" s="4" t="n"/>
    </row>
    <row r="79">
      <c r="B79" s="4" t="n"/>
      <c r="C79" s="96" t="inlineStr">
        <is>
          <t>VECARAUB013</t>
        </is>
      </c>
      <c r="D79" s="18" t="inlineStr">
        <is>
          <t>Carpaccio de Res Margó PY</t>
        </is>
      </c>
      <c r="E79" s="207">
        <f>IFERROR(
IF(
INDEX($K$272:$K$977,MATCH(C79,$B$272:$B$977,0))&lt;&gt;0,
INDEX($K$272:$K$977,MATCH(C79,$B$272:$B$977,0)),
INDEX($L$272:$L$977,MATCH(C79,$B$272:$B$977,0))
),
0)</f>
        <v/>
      </c>
      <c r="F79" s="1" t="inlineStr">
        <is>
          <t>Carpaccio de res</t>
        </is>
      </c>
      <c r="G79" s="52" t="n">
        <v>0.12</v>
      </c>
      <c r="H79" s="81" t="inlineStr">
        <is>
          <t>Kg</t>
        </is>
      </c>
      <c r="I79" s="79" t="n"/>
      <c r="J79" s="78" t="n"/>
      <c r="K79" s="79" t="n"/>
      <c r="L79" s="80" t="n"/>
      <c r="M79" s="80" t="n"/>
      <c r="N79" s="80" t="n"/>
      <c r="O79" s="20" t="n"/>
      <c r="P79" s="4" t="n"/>
      <c r="Q79" s="4" t="n"/>
    </row>
    <row r="80">
      <c r="B80" s="4" t="n"/>
      <c r="C80" s="96" t="inlineStr">
        <is>
          <t>VECARENT002</t>
        </is>
      </c>
      <c r="D80" s="18" t="inlineStr">
        <is>
          <t>Carpaccio Filete Res</t>
        </is>
      </c>
      <c r="E80" s="207">
        <f>IFERROR(
IF(
INDEX($K$272:$K$977,MATCH(C80,$B$272:$B$977,0))&lt;&gt;0,
INDEX($K$272:$K$977,MATCH(C80,$B$272:$B$977,0)),
INDEX($L$272:$L$977,MATCH(C80,$B$272:$B$977,0))
),
0)</f>
        <v/>
      </c>
      <c r="F80" s="1" t="inlineStr">
        <is>
          <t>Carpaccio de res</t>
        </is>
      </c>
      <c r="G80" s="52" t="n">
        <v>0.12</v>
      </c>
      <c r="H80" s="81" t="inlineStr">
        <is>
          <t>Kg</t>
        </is>
      </c>
      <c r="I80" s="79" t="n"/>
      <c r="J80" s="78" t="n"/>
      <c r="K80" s="79" t="n"/>
      <c r="L80" s="80" t="n"/>
      <c r="M80" s="80" t="n"/>
      <c r="N80" s="80" t="n"/>
      <c r="O80" s="20" t="n"/>
      <c r="P80" s="4" t="n"/>
      <c r="Q80" s="4" t="n"/>
    </row>
    <row r="81">
      <c r="B81" s="4" t="n"/>
      <c r="C81" s="96" t="inlineStr">
        <is>
          <t>VECARFON004</t>
        </is>
      </c>
      <c r="D81" s="18" t="inlineStr">
        <is>
          <t>Caldillo de Congrio</t>
        </is>
      </c>
      <c r="E81" s="207">
        <f>IFERROR(
IF(
INDEX($K$272:$K$977,MATCH(C81,$B$272:$B$977,0))&lt;&gt;0,
INDEX($K$272:$K$977,MATCH(C81,$B$272:$B$977,0)),
INDEX($L$272:$L$977,MATCH(C81,$B$272:$B$977,0))
),
0)</f>
        <v/>
      </c>
      <c r="F81" s="1" t="inlineStr">
        <is>
          <t>Congrio</t>
        </is>
      </c>
      <c r="G81" s="52" t="n">
        <v>0.15</v>
      </c>
      <c r="H81" s="81" t="inlineStr">
        <is>
          <t>Kg</t>
        </is>
      </c>
      <c r="I81" s="79" t="n"/>
      <c r="J81" s="78" t="n"/>
      <c r="K81" s="79" t="n"/>
      <c r="L81" s="80" t="n"/>
      <c r="M81" s="80" t="n"/>
      <c r="N81" s="80" t="n"/>
      <c r="O81" s="20" t="n"/>
      <c r="P81" s="4" t="n"/>
      <c r="Q81" s="4" t="n"/>
    </row>
    <row r="82">
      <c r="B82" s="4" t="n"/>
      <c r="C82" s="96" t="inlineStr">
        <is>
          <t>VECARFON004</t>
        </is>
      </c>
      <c r="D82" s="18" t="inlineStr">
        <is>
          <t>Caldillo de Congrio</t>
        </is>
      </c>
      <c r="E82" s="207">
        <f>IFERROR(
IF(
INDEX($K$272:$K$977,MATCH(C82,$B$272:$B$977,0))&lt;&gt;0,
INDEX($K$272:$K$977,MATCH(C82,$B$272:$B$977,0)),
INDEX($L$272:$L$977,MATCH(C82,$B$272:$B$977,0))
),
0)</f>
        <v/>
      </c>
      <c r="F82" s="1" t="inlineStr">
        <is>
          <t>Mix Conchas</t>
        </is>
      </c>
      <c r="G82" s="52" t="n">
        <v>1</v>
      </c>
      <c r="H82" s="81" t="inlineStr">
        <is>
          <t>Porción</t>
        </is>
      </c>
      <c r="I82" s="79" t="n"/>
      <c r="J82" s="78" t="n"/>
      <c r="K82" s="79" t="n"/>
      <c r="L82" s="80" t="n"/>
      <c r="M82" s="80" t="n"/>
      <c r="N82" s="80" t="n"/>
      <c r="O82" s="20" t="n"/>
      <c r="P82" s="4" t="n"/>
      <c r="Q82" s="4" t="n"/>
    </row>
    <row r="83">
      <c r="B83" s="4" t="n"/>
      <c r="C83" s="97" t="inlineStr">
        <is>
          <t>VECARENT003</t>
        </is>
      </c>
      <c r="D83" s="18" t="inlineStr">
        <is>
          <t>Ceviche Margo</t>
        </is>
      </c>
      <c r="E83" s="207">
        <f>IFERROR(
IF(
INDEX($K$272:$K$977,MATCH(C83,$B$272:$B$977,0))&lt;&gt;0,
INDEX($K$272:$K$977,MATCH(C83,$B$272:$B$977,0)),
INDEX($L$272:$L$977,MATCH(C83,$B$272:$B$977,0))
),
0)</f>
        <v/>
      </c>
      <c r="F83" s="1" t="inlineStr">
        <is>
          <t>Reineta</t>
        </is>
      </c>
      <c r="G83" s="52" t="n">
        <v>0.1</v>
      </c>
      <c r="H83" s="81" t="inlineStr">
        <is>
          <t>Kg</t>
        </is>
      </c>
      <c r="I83" s="79" t="n"/>
      <c r="J83" s="78" t="n"/>
      <c r="K83" s="79" t="n"/>
      <c r="L83" s="80" t="n"/>
      <c r="M83" s="80" t="n"/>
      <c r="N83" s="80" t="n"/>
      <c r="O83" s="20" t="n"/>
      <c r="P83" s="4" t="n"/>
      <c r="Q83" s="4" t="n"/>
    </row>
    <row r="84">
      <c r="B84" s="4" t="n"/>
      <c r="C84" s="96" t="inlineStr">
        <is>
          <t>VECARPOS015</t>
        </is>
      </c>
      <c r="D84" s="122" t="inlineStr">
        <is>
          <t>Cheesecake Berries</t>
        </is>
      </c>
      <c r="E84" s="207">
        <f>IFERROR(
IF(
INDEX($K$272:$K$977,MATCH(C84,$B$272:$B$977,0))&lt;&gt;0,
INDEX($K$272:$K$977,MATCH(C84,$B$272:$B$977,0)),
INDEX($L$272:$L$977,MATCH(C84,$B$272:$B$977,0))
),
0)</f>
        <v/>
      </c>
      <c r="F84" s="1" t="inlineStr">
        <is>
          <t>Cheesecake Berries</t>
        </is>
      </c>
      <c r="G84" s="52" t="n">
        <v>1</v>
      </c>
      <c r="H84" s="81" t="inlineStr">
        <is>
          <t>Kg</t>
        </is>
      </c>
      <c r="I84" s="79" t="n"/>
      <c r="J84" s="78" t="n"/>
      <c r="K84" s="79" t="n"/>
      <c r="L84" s="80" t="n"/>
      <c r="M84" s="80" t="n"/>
      <c r="N84" s="80" t="n"/>
      <c r="O84" s="20" t="n"/>
      <c r="P84" s="4" t="n"/>
      <c r="Q84" s="4" t="n"/>
    </row>
    <row r="85">
      <c r="B85" s="4" t="n"/>
      <c r="C85" s="96" t="inlineStr">
        <is>
          <t>VECARPUB006</t>
        </is>
      </c>
      <c r="D85" s="122" t="inlineStr">
        <is>
          <t>Cheesecake Berries PY</t>
        </is>
      </c>
      <c r="E85" s="207">
        <f>IFERROR(
IF(
INDEX($K$272:$K$977,MATCH(C85,$B$272:$B$977,0))&lt;&gt;0,
INDEX($K$272:$K$977,MATCH(C85,$B$272:$B$977,0)),
INDEX($L$272:$L$977,MATCH(C85,$B$272:$B$977,0))
),
0)</f>
        <v/>
      </c>
      <c r="F85" s="1" t="inlineStr">
        <is>
          <t>Cheesecake Berries</t>
        </is>
      </c>
      <c r="G85" s="52" t="n">
        <v>1</v>
      </c>
      <c r="H85" s="81" t="inlineStr">
        <is>
          <t>Kg</t>
        </is>
      </c>
      <c r="I85" s="79" t="n"/>
      <c r="J85" s="78" t="n"/>
      <c r="K85" s="79" t="n"/>
      <c r="L85" s="80" t="n"/>
      <c r="M85" s="80" t="n"/>
      <c r="N85" s="80" t="n"/>
      <c r="O85" s="20" t="n"/>
      <c r="P85" s="4" t="n"/>
      <c r="Q85" s="4" t="n"/>
    </row>
    <row r="86">
      <c r="B86" s="4" t="n"/>
      <c r="C86" s="96" t="inlineStr">
        <is>
          <t>VECARPJT006</t>
        </is>
      </c>
      <c r="D86" s="122" t="inlineStr">
        <is>
          <t>Cheesecake Berries JT</t>
        </is>
      </c>
      <c r="E86" s="207">
        <f>IFERROR(
IF(
INDEX($K$272:$K$977,MATCH(C86,$B$272:$B$977,0))&lt;&gt;0,
INDEX($K$272:$K$977,MATCH(C86,$B$272:$B$977,0)),
INDEX($L$272:$L$977,MATCH(C86,$B$272:$B$977,0))
),
0)</f>
        <v/>
      </c>
      <c r="F86" s="1" t="inlineStr">
        <is>
          <t>Cheesecake Berries</t>
        </is>
      </c>
      <c r="G86" s="52" t="n">
        <v>1</v>
      </c>
      <c r="H86" s="81" t="inlineStr">
        <is>
          <t>Kg</t>
        </is>
      </c>
      <c r="I86" s="79" t="n"/>
      <c r="J86" s="78" t="n"/>
      <c r="K86" s="79" t="n"/>
      <c r="L86" s="80" t="n"/>
      <c r="M86" s="80" t="n"/>
      <c r="N86" s="80" t="n"/>
      <c r="O86" s="20" t="n"/>
      <c r="P86" s="4" t="n"/>
      <c r="Q86" s="4" t="n"/>
    </row>
    <row r="87" ht="15" customHeight="1" s="95">
      <c r="B87" s="4" t="n"/>
      <c r="C87" s="96" t="inlineStr">
        <is>
          <t>VECARPOS003</t>
        </is>
      </c>
      <c r="D87" s="18" t="inlineStr">
        <is>
          <t>Cheesecake Limón</t>
        </is>
      </c>
      <c r="E87" s="207">
        <f>IFERROR(
IF(
INDEX($K$272:$K$977,MATCH(C87,$B$272:$B$977,0))&lt;&gt;0,
INDEX($K$272:$K$977,MATCH(C87,$B$272:$B$977,0)),
INDEX($L$272:$L$977,MATCH(C87,$B$272:$B$977,0))
),
0)</f>
        <v/>
      </c>
      <c r="F87" s="1" t="inlineStr">
        <is>
          <t>Cheesecake de Limón</t>
        </is>
      </c>
      <c r="G87" s="52" t="n">
        <v>1</v>
      </c>
      <c r="H87" s="81" t="inlineStr">
        <is>
          <t>Kg</t>
        </is>
      </c>
      <c r="I87" s="79" t="n"/>
      <c r="J87" s="78" t="n"/>
      <c r="K87" s="79" t="n"/>
      <c r="L87" s="80" t="n"/>
      <c r="M87" s="80" t="n"/>
      <c r="N87" s="80" t="n"/>
      <c r="O87" s="20" t="n"/>
      <c r="P87" s="4" t="n"/>
      <c r="Q87" s="4" t="n"/>
    </row>
    <row r="88" ht="15" customHeight="1" s="95">
      <c r="B88" s="4" t="n"/>
      <c r="C88" s="96" t="inlineStr">
        <is>
          <t>VECARPJT011</t>
        </is>
      </c>
      <c r="D88" s="18" t="inlineStr">
        <is>
          <t>Cheesecake Limón JT</t>
        </is>
      </c>
      <c r="E88" s="207">
        <f>IFERROR(
IF(
INDEX($K$272:$K$977,MATCH(C88,$B$272:$B$977,0))&lt;&gt;0,
INDEX($K$272:$K$977,MATCH(C88,$B$272:$B$977,0)),
INDEX($L$272:$L$977,MATCH(C88,$B$272:$B$977,0))
),
0)</f>
        <v/>
      </c>
      <c r="F88" s="1" t="inlineStr">
        <is>
          <t>Cheesecake de Limón</t>
        </is>
      </c>
      <c r="G88" s="52" t="n">
        <v>1</v>
      </c>
      <c r="H88" s="81" t="inlineStr">
        <is>
          <t>Kg</t>
        </is>
      </c>
      <c r="I88" s="79" t="n"/>
      <c r="J88" s="78" t="n"/>
      <c r="K88" s="79" t="n"/>
      <c r="L88" s="80" t="n"/>
      <c r="M88" s="80" t="n"/>
      <c r="N88" s="80" t="n"/>
      <c r="O88" s="20" t="n"/>
      <c r="P88" s="4" t="n"/>
      <c r="Q88" s="4" t="n"/>
    </row>
    <row r="89">
      <c r="B89" s="4" t="n"/>
      <c r="C89" s="96" t="inlineStr">
        <is>
          <t>VECARPUB011</t>
        </is>
      </c>
      <c r="D89" s="18" t="inlineStr">
        <is>
          <t>Cheesecake Limón PY</t>
        </is>
      </c>
      <c r="E89" s="207">
        <f>IFERROR(
IF(
INDEX($K$272:$K$977,MATCH(C89,$B$272:$B$977,0))&lt;&gt;0,
INDEX($K$272:$K$977,MATCH(C89,$B$272:$B$977,0)),
INDEX($L$272:$L$977,MATCH(C89,$B$272:$B$977,0))
),
0)</f>
        <v/>
      </c>
      <c r="F89" s="1" t="inlineStr">
        <is>
          <t>Cheesecake de Limón</t>
        </is>
      </c>
      <c r="G89" s="52" t="n">
        <v>1</v>
      </c>
      <c r="H89" s="81" t="inlineStr">
        <is>
          <t>Kg</t>
        </is>
      </c>
      <c r="I89" s="79" t="n"/>
      <c r="J89" s="78" t="n"/>
      <c r="K89" s="79" t="n"/>
      <c r="L89" s="80" t="n"/>
      <c r="M89" s="80" t="n"/>
      <c r="N89" s="80" t="n"/>
      <c r="O89" s="20" t="n"/>
      <c r="P89" s="4" t="n"/>
      <c r="Q89" s="4" t="n"/>
    </row>
    <row r="90">
      <c r="B90" s="4" t="n"/>
      <c r="C90" s="96" t="inlineStr">
        <is>
          <t>VECARFON061</t>
        </is>
      </c>
      <c r="D90" s="18" t="inlineStr">
        <is>
          <t>Chupe de salmón ahumado</t>
        </is>
      </c>
      <c r="E90" s="207">
        <f>IFERROR(
IF(
INDEX($K$272:$K$977,MATCH(C90,$B$272:$B$977,0))&lt;&gt;0,
INDEX($K$272:$K$977,MATCH(C90,$B$272:$B$977,0)),
INDEX($L$272:$L$977,MATCH(C90,$B$272:$B$977,0))
),
0)</f>
        <v/>
      </c>
      <c r="F90" s="1" t="inlineStr">
        <is>
          <t>Chupe</t>
        </is>
      </c>
      <c r="G90" s="52" t="n">
        <v>1</v>
      </c>
      <c r="H90" s="81" t="inlineStr">
        <is>
          <t>Porción</t>
        </is>
      </c>
      <c r="I90" s="79" t="n"/>
      <c r="J90" s="78" t="n"/>
      <c r="K90" s="79" t="n"/>
      <c r="L90" s="80" t="n"/>
      <c r="M90" s="80" t="n"/>
      <c r="N90" s="80" t="n"/>
      <c r="O90" s="20" t="n"/>
      <c r="P90" s="4" t="n"/>
      <c r="Q90" s="4" t="n"/>
    </row>
    <row r="91">
      <c r="B91" s="4" t="n"/>
      <c r="C91" s="96" t="inlineStr">
        <is>
          <t>VECARPOS006</t>
        </is>
      </c>
      <c r="D91" s="18" t="inlineStr">
        <is>
          <t>Discos de Chocolate</t>
        </is>
      </c>
      <c r="E91" s="207">
        <f>IFERROR(
IF(
INDEX($K$272:$K$977,MATCH(C91,$B$272:$B$977,0))&lt;&gt;0,
INDEX($K$272:$K$977,MATCH(C91,$B$272:$B$977,0)),
INDEX($L$272:$L$977,MATCH(C91,$B$272:$B$977,0))
),
0)</f>
        <v/>
      </c>
      <c r="F91" s="18" t="inlineStr">
        <is>
          <t>Discos de Chocolate</t>
        </is>
      </c>
      <c r="G91" s="52" t="n">
        <v>3</v>
      </c>
      <c r="H91" s="81" t="inlineStr">
        <is>
          <t>Und</t>
        </is>
      </c>
      <c r="I91" s="79" t="n"/>
      <c r="J91" s="78" t="n"/>
      <c r="K91" s="79" t="n"/>
      <c r="L91" s="80" t="n"/>
      <c r="M91" s="80" t="n"/>
      <c r="N91" s="80" t="n"/>
      <c r="O91" s="20" t="n"/>
      <c r="P91" s="4" t="n"/>
      <c r="Q91" s="4" t="n"/>
    </row>
    <row r="92">
      <c r="B92" s="4" t="n"/>
      <c r="C92" s="96" t="inlineStr">
        <is>
          <t>VECARENT004</t>
        </is>
      </c>
      <c r="D92" s="18" t="inlineStr">
        <is>
          <t>Emp Frita Mechada</t>
        </is>
      </c>
      <c r="E92" s="207">
        <f>IFERROR(
IF(
INDEX($K$272:$K$977,MATCH(C92,$B$272:$B$977,0))&lt;&gt;0,
INDEX($K$272:$K$977,MATCH(C92,$B$272:$B$977,0)),
INDEX($L$272:$L$977,MATCH(C92,$B$272:$B$977,0))
),
0)</f>
        <v/>
      </c>
      <c r="F92" s="1" t="inlineStr">
        <is>
          <t>Empanada Mechada</t>
        </is>
      </c>
      <c r="G92" s="52" t="n">
        <v>4</v>
      </c>
      <c r="H92" s="81" t="inlineStr">
        <is>
          <t>Und</t>
        </is>
      </c>
      <c r="I92" s="79" t="n"/>
      <c r="J92" s="78" t="n"/>
      <c r="K92" s="79" t="n"/>
      <c r="L92" s="80" t="n"/>
      <c r="M92" s="80" t="n"/>
      <c r="N92" s="80" t="n"/>
      <c r="O92" s="20" t="n"/>
      <c r="P92" s="4" t="n"/>
      <c r="Q92" s="4" t="n"/>
    </row>
    <row r="93">
      <c r="B93" s="4" t="n"/>
      <c r="C93" s="96" t="inlineStr">
        <is>
          <t>VECARAJT001</t>
        </is>
      </c>
      <c r="D93" s="18" t="inlineStr">
        <is>
          <t>Emp Mechada JT</t>
        </is>
      </c>
      <c r="E93" s="207">
        <f>IFERROR(
IF(
INDEX($K$272:$K$977,MATCH(C93,$B$272:$B$977,0))&lt;&gt;0,
INDEX($K$272:$K$977,MATCH(C93,$B$272:$B$977,0)),
INDEX($L$272:$L$977,MATCH(C93,$B$272:$B$977,0))
),
0)</f>
        <v/>
      </c>
      <c r="F93" s="1" t="inlineStr">
        <is>
          <t>Empanada Mechada</t>
        </is>
      </c>
      <c r="G93" s="52" t="n">
        <v>4</v>
      </c>
      <c r="H93" s="81" t="inlineStr">
        <is>
          <t>Und</t>
        </is>
      </c>
      <c r="I93" s="79" t="n"/>
      <c r="J93" s="78" t="n"/>
      <c r="K93" s="79" t="n"/>
      <c r="L93" s="80" t="n"/>
      <c r="M93" s="80" t="n"/>
      <c r="N93" s="80" t="n"/>
      <c r="O93" s="20" t="n"/>
      <c r="P93" s="4" t="n"/>
      <c r="Q93" s="4" t="n"/>
    </row>
    <row r="94">
      <c r="B94" s="4" t="n"/>
      <c r="C94" s="96" t="inlineStr">
        <is>
          <t>VECARAUB001</t>
        </is>
      </c>
      <c r="D94" s="18" t="inlineStr">
        <is>
          <t>Emp Mechada PY</t>
        </is>
      </c>
      <c r="E94" s="207">
        <f>IFERROR(
IF(
INDEX($K$272:$K$977,MATCH(C94,$B$272:$B$977,0))&lt;&gt;0,
INDEX($K$272:$K$977,MATCH(C94,$B$272:$B$977,0)),
INDEX($L$272:$L$977,MATCH(C94,$B$272:$B$977,0))
),
0)</f>
        <v/>
      </c>
      <c r="F94" s="1" t="inlineStr">
        <is>
          <t>Empanada Mechada</t>
        </is>
      </c>
      <c r="G94" s="52" t="n">
        <v>4</v>
      </c>
      <c r="H94" s="81" t="inlineStr">
        <is>
          <t>Und</t>
        </is>
      </c>
      <c r="I94" s="79" t="n"/>
      <c r="J94" s="78" t="n"/>
      <c r="K94" s="79" t="n"/>
      <c r="L94" s="80" t="n"/>
      <c r="M94" s="80" t="n"/>
      <c r="N94" s="80" t="n"/>
      <c r="O94" s="20" t="n"/>
      <c r="P94" s="4" t="n"/>
      <c r="Q94" s="4" t="n"/>
    </row>
    <row r="95">
      <c r="B95" s="4" t="n"/>
      <c r="C95" s="96" t="inlineStr">
        <is>
          <t>VECARENT035</t>
        </is>
      </c>
      <c r="D95" s="18" t="inlineStr">
        <is>
          <t>Emp Pulpo Camarón</t>
        </is>
      </c>
      <c r="E95" s="207">
        <f>IFERROR(
IF(
INDEX($K$272:$K$977,MATCH(C95,$B$272:$B$977,0))&lt;&gt;0,
INDEX($K$272:$K$977,MATCH(C95,$B$272:$B$977,0)),
INDEX($L$272:$L$977,MATCH(C95,$B$272:$B$977,0))
),
0)</f>
        <v/>
      </c>
      <c r="F95" s="1" t="inlineStr">
        <is>
          <t>Empanada Pulpo</t>
        </is>
      </c>
      <c r="G95" s="52" t="n">
        <v>4</v>
      </c>
      <c r="H95" s="81" t="inlineStr">
        <is>
          <t>Und</t>
        </is>
      </c>
      <c r="I95" s="79" t="n"/>
      <c r="J95" s="78" t="n"/>
      <c r="K95" s="79" t="n"/>
      <c r="L95" s="80" t="n"/>
      <c r="M95" s="80" t="n"/>
      <c r="N95" s="80" t="n"/>
      <c r="O95" s="20" t="n"/>
      <c r="P95" s="4" t="n"/>
      <c r="Q95" s="4" t="n"/>
    </row>
    <row r="96">
      <c r="B96" s="4" t="n"/>
      <c r="C96" s="96" t="inlineStr">
        <is>
          <t>VECARENS003</t>
        </is>
      </c>
      <c r="D96" s="18" t="inlineStr">
        <is>
          <t>Ens Atún Mango</t>
        </is>
      </c>
      <c r="E96" s="207">
        <f>IFERROR(
IF(
INDEX($K$272:$K$977,MATCH(C96,$B$272:$B$977,0))&lt;&gt;0,
INDEX($K$272:$K$977,MATCH(C96,$B$272:$B$977,0)),
INDEX($L$272:$L$977,MATCH(C96,$B$272:$B$977,0))
),
0)</f>
        <v/>
      </c>
      <c r="F96" s="1" t="inlineStr">
        <is>
          <t>Atún Steak</t>
        </is>
      </c>
      <c r="G96" s="52" t="n">
        <v>0.18</v>
      </c>
      <c r="H96" s="81" t="inlineStr">
        <is>
          <t>Kg</t>
        </is>
      </c>
      <c r="I96" s="79" t="n"/>
      <c r="J96" s="78" t="n"/>
      <c r="K96" s="79" t="n"/>
      <c r="L96" s="80" t="n"/>
      <c r="M96" s="80" t="n"/>
      <c r="N96" s="80" t="n"/>
      <c r="O96" s="20" t="n"/>
      <c r="P96" s="4" t="n"/>
      <c r="Q96" s="4" t="n"/>
    </row>
    <row r="97">
      <c r="B97" s="4" t="n"/>
      <c r="C97" s="96" t="inlineStr">
        <is>
          <t>VECAREJT001</t>
        </is>
      </c>
      <c r="D97" s="18" t="inlineStr">
        <is>
          <t>Ens Atún Mango JT</t>
        </is>
      </c>
      <c r="E97" s="207">
        <f>IFERROR(
IF(
INDEX($K$272:$K$977,MATCH(C97,$B$272:$B$977,0))&lt;&gt;0,
INDEX($K$272:$K$977,MATCH(C97,$B$272:$B$977,0)),
INDEX($L$272:$L$977,MATCH(C97,$B$272:$B$977,0))
),
0)</f>
        <v/>
      </c>
      <c r="F97" s="1" t="inlineStr">
        <is>
          <t>Atún Steak</t>
        </is>
      </c>
      <c r="G97" s="52" t="n">
        <v>0.18</v>
      </c>
      <c r="H97" s="81" t="inlineStr">
        <is>
          <t>Kg</t>
        </is>
      </c>
      <c r="I97" s="79" t="n"/>
      <c r="J97" s="78" t="n"/>
      <c r="K97" s="79" t="n"/>
      <c r="L97" s="80" t="n"/>
      <c r="M97" s="80" t="n"/>
      <c r="N97" s="80" t="n"/>
      <c r="O97" s="20" t="n"/>
      <c r="P97" s="4" t="n"/>
      <c r="Q97" s="4" t="n"/>
    </row>
    <row r="98">
      <c r="B98" s="4" t="n"/>
      <c r="C98" s="96" t="inlineStr">
        <is>
          <t>VECAREUB001</t>
        </is>
      </c>
      <c r="D98" s="18" t="inlineStr">
        <is>
          <t>Ens Atún Mango PY</t>
        </is>
      </c>
      <c r="E98" s="207">
        <f>IFERROR(
IF(
INDEX($K$272:$K$977,MATCH(C98,$B$272:$B$977,0))&lt;&gt;0,
INDEX($K$272:$K$977,MATCH(C98,$B$272:$B$977,0)),
INDEX($L$272:$L$977,MATCH(C98,$B$272:$B$977,0))
),
0)</f>
        <v/>
      </c>
      <c r="F98" s="1" t="inlineStr">
        <is>
          <t>Atún Steak</t>
        </is>
      </c>
      <c r="G98" s="52" t="n">
        <v>0.18</v>
      </c>
      <c r="H98" s="81" t="inlineStr">
        <is>
          <t>Kg</t>
        </is>
      </c>
      <c r="I98" s="79" t="n"/>
      <c r="J98" s="78" t="n"/>
      <c r="K98" s="79" t="n"/>
      <c r="L98" s="80" t="n"/>
      <c r="M98" s="80" t="n"/>
      <c r="N98" s="80" t="n"/>
      <c r="O98" s="20" t="n"/>
      <c r="P98" s="4" t="n"/>
      <c r="Q98" s="4" t="n"/>
    </row>
    <row r="99">
      <c r="B99" s="4" t="n"/>
      <c r="C99" s="96" t="inlineStr">
        <is>
          <t>VECAREJT004</t>
        </is>
      </c>
      <c r="D99" s="18" t="inlineStr">
        <is>
          <t>Ens Caprese JT</t>
        </is>
      </c>
      <c r="E99" s="207">
        <f>IFERROR(
IF(
INDEX($K$272:$K$977,MATCH(C99,$B$272:$B$977,0))&lt;&gt;0,
INDEX($K$272:$K$977,MATCH(C99,$B$272:$B$977,0)),
INDEX($L$272:$L$977,MATCH(C99,$B$272:$B$977,0))
),
0)</f>
        <v/>
      </c>
      <c r="F99" s="1" t="inlineStr">
        <is>
          <t>Queso Mozzarella</t>
        </is>
      </c>
      <c r="G99" s="52" t="n">
        <v>1</v>
      </c>
      <c r="H99" s="81" t="inlineStr">
        <is>
          <t>Und</t>
        </is>
      </c>
      <c r="I99" s="79" t="n"/>
      <c r="J99" s="78" t="n"/>
      <c r="K99" s="79" t="n"/>
      <c r="L99" s="80" t="n"/>
      <c r="M99" s="80" t="n"/>
      <c r="N99" s="80" t="n"/>
      <c r="O99" s="20" t="n"/>
      <c r="P99" s="4" t="n"/>
      <c r="Q99" s="4" t="n"/>
    </row>
    <row r="100" ht="15" customHeight="1" s="95">
      <c r="B100" s="4" t="n"/>
      <c r="C100" s="96" t="inlineStr">
        <is>
          <t>VECARENS002</t>
        </is>
      </c>
      <c r="D100" s="18" t="inlineStr">
        <is>
          <t>Ens Capresse</t>
        </is>
      </c>
      <c r="E100" s="207">
        <f>IFERROR(
IF(
INDEX($K$272:$K$977,MATCH(C100,$B$272:$B$977,0))&lt;&gt;0,
INDEX($K$272:$K$977,MATCH(C100,$B$272:$B$977,0)),
INDEX($L$272:$L$977,MATCH(C100,$B$272:$B$977,0))
),
0)</f>
        <v/>
      </c>
      <c r="F100" s="1" t="inlineStr">
        <is>
          <t>Queso Mozzarella</t>
        </is>
      </c>
      <c r="G100" s="52" t="n">
        <v>1</v>
      </c>
      <c r="H100" s="81" t="inlineStr">
        <is>
          <t>Und</t>
        </is>
      </c>
      <c r="I100" s="79" t="n"/>
      <c r="J100" s="78" t="n"/>
      <c r="K100" s="79" t="n"/>
      <c r="L100" s="80" t="n"/>
      <c r="M100" s="80" t="n"/>
      <c r="N100" s="80" t="n"/>
      <c r="O100" s="20" t="n"/>
      <c r="P100" s="4" t="n"/>
      <c r="Q100" s="4" t="n"/>
    </row>
    <row r="101" ht="15" customHeight="1" s="95">
      <c r="B101" s="4" t="n"/>
      <c r="C101" s="96" t="inlineStr">
        <is>
          <t>VECARENS023</t>
        </is>
      </c>
      <c r="D101" s="18" t="inlineStr">
        <is>
          <t>Ens Pera Queso Azul</t>
        </is>
      </c>
      <c r="E101" s="207">
        <f>IFERROR(
IF(
INDEX($K$272:$K$977,MATCH(C101,$B$272:$B$977,0))&lt;&gt;0,
INDEX($K$272:$K$977,MATCH(C101,$B$272:$B$977,0)),
INDEX($L$272:$L$977,MATCH(C101,$B$272:$B$977,0))
),
0)</f>
        <v/>
      </c>
      <c r="F101" s="1" t="inlineStr">
        <is>
          <t>Jamón serrano</t>
        </is>
      </c>
      <c r="G101" s="52" t="n">
        <v>0.04</v>
      </c>
      <c r="H101" s="81" t="inlineStr">
        <is>
          <t>Kg</t>
        </is>
      </c>
      <c r="I101" s="79" t="n"/>
      <c r="J101" s="78" t="n"/>
      <c r="K101" s="79" t="n"/>
      <c r="L101" s="80" t="n"/>
      <c r="M101" s="80" t="n"/>
      <c r="N101" s="80" t="n"/>
      <c r="O101" s="20" t="n"/>
      <c r="P101" s="4" t="n"/>
      <c r="Q101" s="4" t="n"/>
    </row>
    <row r="102" ht="15" customHeight="1" s="95">
      <c r="B102" s="4" t="n"/>
      <c r="C102" s="96" t="inlineStr">
        <is>
          <t>VECAREJT016</t>
        </is>
      </c>
      <c r="D102" s="18" t="inlineStr">
        <is>
          <t>Ens Pera Oporto JT</t>
        </is>
      </c>
      <c r="E102" s="207">
        <f>IFERROR(
IF(
INDEX($K$272:$K$977,MATCH(C102,$B$272:$B$977,0))&lt;&gt;0,
INDEX($K$272:$K$977,MATCH(C102,$B$272:$B$977,0)),
INDEX($L$272:$L$977,MATCH(C102,$B$272:$B$977,0))
),
0)</f>
        <v/>
      </c>
      <c r="F102" s="1" t="inlineStr">
        <is>
          <t>Jamón serrano</t>
        </is>
      </c>
      <c r="G102" s="52" t="n">
        <v>0.04</v>
      </c>
      <c r="H102" s="81" t="inlineStr">
        <is>
          <t>Kg</t>
        </is>
      </c>
      <c r="I102" s="79" t="n"/>
      <c r="J102" s="78" t="n"/>
      <c r="K102" s="79" t="n"/>
      <c r="L102" s="80" t="n"/>
      <c r="M102" s="80" t="n"/>
      <c r="N102" s="80" t="n"/>
      <c r="O102" s="20" t="n"/>
      <c r="P102" s="4" t="n"/>
      <c r="Q102" s="4" t="n"/>
    </row>
    <row r="103">
      <c r="B103" s="4" t="n"/>
      <c r="C103" s="96" t="inlineStr">
        <is>
          <t>VECAREUB016</t>
        </is>
      </c>
      <c r="D103" s="18" t="inlineStr">
        <is>
          <t>Ens Peras Oporto  PY</t>
        </is>
      </c>
      <c r="E103" s="207">
        <f>IFERROR(
IF(
INDEX($K$272:$K$977,MATCH(C103,$B$272:$B$977,0))&lt;&gt;0,
INDEX($K$272:$K$977,MATCH(C103,$B$272:$B$977,0)),
INDEX($L$272:$L$977,MATCH(C103,$B$272:$B$977,0))
),
0)</f>
        <v/>
      </c>
      <c r="F103" s="18" t="inlineStr">
        <is>
          <t>Jamón serrano</t>
        </is>
      </c>
      <c r="G103" s="52" t="n">
        <v>0.04</v>
      </c>
      <c r="H103" s="81" t="inlineStr">
        <is>
          <t>Kg</t>
        </is>
      </c>
      <c r="I103" s="79" t="n"/>
      <c r="J103" s="78" t="n"/>
      <c r="K103" s="79" t="n"/>
      <c r="L103" s="80" t="n"/>
      <c r="M103" s="80" t="n"/>
      <c r="N103" s="80" t="n"/>
      <c r="O103" s="20" t="n"/>
      <c r="P103" s="4" t="n"/>
      <c r="Q103" s="4" t="n"/>
    </row>
    <row r="104" ht="15" customHeight="1" s="95">
      <c r="B104" s="4" t="n"/>
      <c r="C104" s="96" t="inlineStr">
        <is>
          <t>VECARENS006</t>
        </is>
      </c>
      <c r="D104" s="18" t="inlineStr">
        <is>
          <t>Ens Salmon Q.Cabra</t>
        </is>
      </c>
      <c r="E104" s="207">
        <f>IFERROR(
IF(
INDEX($K$272:$K$977,MATCH(C104,$B$272:$B$977,0))&lt;&gt;0,
INDEX($K$272:$K$977,MATCH(C104,$B$272:$B$977,0)),
INDEX($L$272:$L$977,MATCH(C104,$B$272:$B$977,0))
),
0)</f>
        <v/>
      </c>
      <c r="F104" s="1" t="inlineStr">
        <is>
          <t>Salmón ahumado en Caliente</t>
        </is>
      </c>
      <c r="G104" s="52" t="n">
        <v>0.12</v>
      </c>
      <c r="H104" s="81" t="inlineStr">
        <is>
          <t>Kg</t>
        </is>
      </c>
      <c r="I104" s="79" t="n"/>
      <c r="J104" s="78" t="n"/>
      <c r="K104" s="79" t="n"/>
      <c r="L104" s="80" t="n"/>
      <c r="M104" s="80" t="n"/>
      <c r="N104" s="80" t="n"/>
      <c r="O104" s="20" t="n"/>
      <c r="P104" s="4" t="n"/>
      <c r="Q104" s="4" t="n"/>
    </row>
    <row r="105" ht="15" customHeight="1" s="95">
      <c r="B105" s="4" t="n"/>
      <c r="C105" s="96" t="inlineStr">
        <is>
          <t>VECAREJT003</t>
        </is>
      </c>
      <c r="D105" s="18" t="inlineStr">
        <is>
          <t>Ens Salmon Q.Cabra JT</t>
        </is>
      </c>
      <c r="E105" s="207">
        <f>IFERROR(
IF(
INDEX($K$272:$K$977,MATCH(C105,$B$272:$B$977,0))&lt;&gt;0,
INDEX($K$272:$K$977,MATCH(C105,$B$272:$B$977,0)),
INDEX($L$272:$L$977,MATCH(C105,$B$272:$B$977,0))
),
0)</f>
        <v/>
      </c>
      <c r="F105" s="1" t="inlineStr">
        <is>
          <t>Salmón ahumado en Caliente</t>
        </is>
      </c>
      <c r="G105" s="52" t="n">
        <v>0.12</v>
      </c>
      <c r="H105" s="81" t="inlineStr">
        <is>
          <t>Kg</t>
        </is>
      </c>
      <c r="I105" s="79" t="n"/>
      <c r="J105" s="78" t="n"/>
      <c r="K105" s="79" t="n"/>
      <c r="L105" s="80" t="n"/>
      <c r="M105" s="80" t="n"/>
      <c r="N105" s="80" t="n"/>
      <c r="O105" s="20" t="n"/>
      <c r="P105" s="4" t="n"/>
      <c r="Q105" s="4" t="n"/>
    </row>
    <row r="106" ht="15" customHeight="1" s="95">
      <c r="B106" s="4" t="n"/>
      <c r="C106" s="96" t="inlineStr">
        <is>
          <t>VECAREUB003</t>
        </is>
      </c>
      <c r="D106" s="18" t="inlineStr">
        <is>
          <t>Ens Salmon Q.Cabra PY</t>
        </is>
      </c>
      <c r="E106" s="207">
        <f>IFERROR(
IF(
INDEX($K$272:$K$977,MATCH(C106,$B$272:$B$977,0))&lt;&gt;0,
INDEX($K$272:$K$977,MATCH(C106,$B$272:$B$977,0)),
INDEX($L$272:$L$977,MATCH(C106,$B$272:$B$977,0))
),
0)</f>
        <v/>
      </c>
      <c r="F106" s="1" t="inlineStr">
        <is>
          <t>Salmón ahumado en Caliente</t>
        </is>
      </c>
      <c r="G106" s="52" t="n">
        <v>0.12</v>
      </c>
      <c r="H106" s="81" t="inlineStr">
        <is>
          <t>Kg</t>
        </is>
      </c>
      <c r="I106" s="79" t="n"/>
      <c r="J106" s="78" t="n"/>
      <c r="K106" s="79" t="n"/>
      <c r="L106" s="80" t="n"/>
      <c r="M106" s="80" t="n"/>
      <c r="N106" s="80" t="n"/>
      <c r="O106" s="20" t="n"/>
      <c r="P106" s="4" t="n"/>
      <c r="Q106" s="4" t="n"/>
    </row>
    <row r="107" ht="15" customHeight="1" s="95">
      <c r="B107" s="4" t="n"/>
      <c r="C107" s="96" t="inlineStr">
        <is>
          <t>VECARENS009</t>
        </is>
      </c>
      <c r="D107" s="18" t="inlineStr">
        <is>
          <t>Ens Verduras Asadas</t>
        </is>
      </c>
      <c r="E107" s="207">
        <f>IFERROR(
IF(
INDEX($K$272:$K$977,MATCH(C107,$B$272:$B$977,0))&lt;&gt;0,
INDEX($K$272:$K$977,MATCH(C107,$B$272:$B$977,0)),
INDEX($L$272:$L$977,MATCH(C107,$B$272:$B$977,0))
),
0)</f>
        <v/>
      </c>
      <c r="F107" s="1" t="inlineStr">
        <is>
          <t>Granola Salada</t>
        </is>
      </c>
      <c r="G107" s="52" t="n">
        <v>0.025</v>
      </c>
      <c r="H107" s="81" t="inlineStr">
        <is>
          <t>Kg</t>
        </is>
      </c>
      <c r="I107" s="79" t="n"/>
      <c r="J107" s="78" t="n"/>
      <c r="K107" s="79" t="n"/>
      <c r="L107" s="80" t="n"/>
      <c r="M107" s="80" t="n"/>
      <c r="N107" s="80" t="n"/>
      <c r="O107" s="20" t="n"/>
      <c r="P107" s="4" t="n"/>
      <c r="Q107" s="4" t="n"/>
    </row>
    <row r="108" ht="15" customHeight="1" s="95">
      <c r="B108" s="4" t="n"/>
      <c r="C108" s="96" t="inlineStr">
        <is>
          <t>VECAREJT015</t>
        </is>
      </c>
      <c r="D108" s="18" t="inlineStr">
        <is>
          <t>Ens Verduras Asadas JT</t>
        </is>
      </c>
      <c r="E108" s="207">
        <f>IFERROR(
IF(
INDEX($K$272:$K$977,MATCH(C108,$B$272:$B$977,0))&lt;&gt;0,
INDEX($K$272:$K$977,MATCH(C108,$B$272:$B$977,0)),
INDEX($L$272:$L$977,MATCH(C108,$B$272:$B$977,0))
),
0)</f>
        <v/>
      </c>
      <c r="F108" s="1" t="inlineStr">
        <is>
          <t>Granola Salada</t>
        </is>
      </c>
      <c r="G108" s="52" t="n">
        <v>0.025</v>
      </c>
      <c r="H108" s="81" t="inlineStr">
        <is>
          <t>Kg</t>
        </is>
      </c>
      <c r="I108" s="79" t="n"/>
      <c r="J108" s="78" t="n"/>
      <c r="K108" s="79" t="n"/>
      <c r="L108" s="80" t="n"/>
      <c r="M108" s="80" t="n"/>
      <c r="N108" s="80" t="n"/>
      <c r="O108" s="20" t="n"/>
      <c r="P108" s="4" t="n"/>
      <c r="Q108" s="4" t="n"/>
    </row>
    <row r="109" ht="15" customHeight="1" s="95">
      <c r="B109" s="4" t="n"/>
      <c r="C109" s="96" t="inlineStr">
        <is>
          <t>VECAREUB015</t>
        </is>
      </c>
      <c r="D109" s="18" t="inlineStr">
        <is>
          <t>Ens Verdura Asada PY</t>
        </is>
      </c>
      <c r="E109" s="207">
        <f>IFERROR(
IF(
INDEX($K$272:$K$977,MATCH(C109,$B$272:$B$977,0))&lt;&gt;0,
INDEX($K$272:$K$977,MATCH(C109,$B$272:$B$977,0)),
INDEX($L$272:$L$977,MATCH(C109,$B$272:$B$977,0))
),
0)</f>
        <v/>
      </c>
      <c r="F109" s="1" t="inlineStr">
        <is>
          <t>Granola Salada</t>
        </is>
      </c>
      <c r="G109" s="52" t="n">
        <v>0.025</v>
      </c>
      <c r="H109" s="81" t="inlineStr">
        <is>
          <t>Kg</t>
        </is>
      </c>
      <c r="I109" s="79" t="n"/>
      <c r="J109" s="78" t="n"/>
      <c r="K109" s="79" t="n"/>
      <c r="L109" s="80" t="n"/>
      <c r="M109" s="80" t="n"/>
      <c r="N109" s="80" t="n"/>
      <c r="O109" s="20" t="n"/>
      <c r="P109" s="4" t="n"/>
      <c r="Q109" s="4" t="n"/>
    </row>
    <row r="110" ht="15" customHeight="1" s="95">
      <c r="B110" s="4" t="n"/>
      <c r="C110" s="96" t="inlineStr">
        <is>
          <t>VECAREUB004</t>
        </is>
      </c>
      <c r="D110" s="18" t="inlineStr">
        <is>
          <t>Ens.Caprese PY</t>
        </is>
      </c>
      <c r="E110" s="207">
        <f>IFERROR(
IF(
INDEX($K$272:$K$977,MATCH(C110,$B$272:$B$977,0))&lt;&gt;0,
INDEX($K$272:$K$977,MATCH(C110,$B$272:$B$977,0)),
INDEX($L$272:$L$977,MATCH(C110,$B$272:$B$977,0))
),
0)</f>
        <v/>
      </c>
      <c r="F110" s="1" t="inlineStr">
        <is>
          <t>Queso Mozzarella</t>
        </is>
      </c>
      <c r="G110" s="52" t="n">
        <v>1</v>
      </c>
      <c r="H110" s="81" t="inlineStr">
        <is>
          <t>Und</t>
        </is>
      </c>
      <c r="I110" s="79" t="n"/>
      <c r="J110" s="78" t="n"/>
      <c r="K110" s="79" t="n"/>
      <c r="L110" s="80" t="n"/>
      <c r="M110" s="80" t="n"/>
      <c r="N110" s="80" t="n"/>
      <c r="O110" s="20" t="n"/>
      <c r="P110" s="4" t="n"/>
      <c r="Q110" s="4" t="n"/>
    </row>
    <row r="111" ht="15" customHeight="1" s="95">
      <c r="B111" s="4" t="n"/>
      <c r="C111" s="96" t="inlineStr">
        <is>
          <t>VECARFUB024</t>
        </is>
      </c>
      <c r="D111" s="18" t="inlineStr">
        <is>
          <t>Fettuccini Salsa Jamón Py</t>
        </is>
      </c>
      <c r="E111" s="207">
        <f>IFERROR(
IF(
INDEX($K$272:$K$977,MATCH(C111,$B$272:$B$977,0))&lt;&gt;0,
INDEX($K$272:$K$977,MATCH(C111,$B$272:$B$977,0)),
INDEX($L$272:$L$977,MATCH(C111,$B$272:$B$977,0))
),
0)</f>
        <v/>
      </c>
      <c r="F111" s="1" t="inlineStr">
        <is>
          <t>Jamón de Pavo</t>
        </is>
      </c>
      <c r="G111" s="52" t="n">
        <v>0.07000000000000001</v>
      </c>
      <c r="H111" s="81" t="inlineStr">
        <is>
          <t>Kg</t>
        </is>
      </c>
      <c r="I111" s="79" t="n"/>
      <c r="J111" s="78" t="n"/>
      <c r="K111" s="79" t="n"/>
      <c r="L111" s="80" t="n"/>
      <c r="M111" s="80" t="n"/>
      <c r="N111" s="80" t="n"/>
      <c r="O111" s="20" t="n"/>
      <c r="P111" s="4" t="n"/>
      <c r="Q111" s="4" t="n"/>
    </row>
    <row r="112" ht="15" customHeight="1" s="95">
      <c r="B112" s="4" t="n"/>
      <c r="C112" s="96" t="inlineStr">
        <is>
          <t>VECARNIN002</t>
        </is>
      </c>
      <c r="D112" s="18" t="inlineStr">
        <is>
          <t>Fetuccini Salsa Jamón</t>
        </is>
      </c>
      <c r="E112" s="207">
        <f>IFERROR(
IF(
INDEX($K$272:$K$977,MATCH(C112,$B$272:$B$977,0))&lt;&gt;0,
INDEX($K$272:$K$977,MATCH(C112,$B$272:$B$977,0)),
INDEX($L$272:$L$977,MATCH(C112,$B$272:$B$977,0))
),
0)</f>
        <v/>
      </c>
      <c r="F112" s="1" t="inlineStr">
        <is>
          <t>Jamón de Pavo</t>
        </is>
      </c>
      <c r="G112" s="52" t="n">
        <v>0.07000000000000001</v>
      </c>
      <c r="H112" s="81" t="inlineStr">
        <is>
          <t>Kg</t>
        </is>
      </c>
      <c r="I112" s="79" t="n"/>
      <c r="J112" s="78" t="n"/>
      <c r="K112" s="79" t="n"/>
      <c r="L112" s="80" t="n"/>
      <c r="M112" s="80" t="n"/>
      <c r="N112" s="80" t="n"/>
      <c r="O112" s="20" t="n"/>
      <c r="P112" s="4" t="n"/>
      <c r="Q112" s="4" t="n"/>
    </row>
    <row r="113" ht="15" customHeight="1" s="95">
      <c r="B113" s="4" t="n"/>
      <c r="C113" s="96" t="inlineStr">
        <is>
          <t>VECARFUB028</t>
        </is>
      </c>
      <c r="D113" s="18" t="inlineStr">
        <is>
          <t>Filete Saltado con Arroz y Papas PY</t>
        </is>
      </c>
      <c r="E113" s="207">
        <f>IFERROR(
IF(
INDEX($K$272:$K$977,MATCH(C113,$B$272:$B$977,0))&lt;&gt;0,
INDEX($K$272:$K$977,MATCH(C113,$B$272:$B$977,0)),
INDEX($L$272:$L$977,MATCH(C113,$B$272:$B$977,0))
),
0)</f>
        <v/>
      </c>
      <c r="F113" s="1" t="inlineStr">
        <is>
          <t>Filete Salteado</t>
        </is>
      </c>
      <c r="G113" s="52" t="n">
        <v>0.16</v>
      </c>
      <c r="H113" s="81" t="inlineStr">
        <is>
          <t>Kg</t>
        </is>
      </c>
      <c r="I113" s="79" t="n"/>
      <c r="J113" s="78" t="n"/>
      <c r="K113" s="79" t="n"/>
      <c r="L113" s="80" t="n"/>
      <c r="M113" s="80" t="n"/>
      <c r="N113" s="80" t="n"/>
      <c r="O113" s="20" t="n"/>
      <c r="P113" s="4" t="n"/>
      <c r="Q113" s="4" t="n"/>
    </row>
    <row r="114" ht="15" customHeight="1" s="95">
      <c r="B114" s="4" t="n"/>
      <c r="C114" s="96" t="inlineStr">
        <is>
          <t>VECARFON010</t>
        </is>
      </c>
      <c r="D114" s="18" t="inlineStr">
        <is>
          <t>Filete Salteado Fritas</t>
        </is>
      </c>
      <c r="E114" s="207">
        <f>IFERROR(
IF(
INDEX($K$272:$K$977,MATCH(C114,$B$272:$B$977,0))&lt;&gt;0,
INDEX($K$272:$K$977,MATCH(C114,$B$272:$B$977,0)),
INDEX($L$272:$L$977,MATCH(C114,$B$272:$B$977,0))
),
0)</f>
        <v/>
      </c>
      <c r="F114" s="1" t="inlineStr">
        <is>
          <t>Filete Salteado</t>
        </is>
      </c>
      <c r="G114" s="52" t="n">
        <v>0.16</v>
      </c>
      <c r="H114" s="81" t="inlineStr">
        <is>
          <t>Kg</t>
        </is>
      </c>
      <c r="I114" s="79" t="n"/>
      <c r="J114" s="78" t="n"/>
      <c r="K114" s="79" t="n"/>
      <c r="L114" s="80" t="n"/>
      <c r="M114" s="80" t="n"/>
      <c r="N114" s="80" t="n"/>
      <c r="O114" s="20" t="n"/>
      <c r="P114" s="4" t="n"/>
      <c r="Q114" s="4" t="n"/>
    </row>
    <row r="115" ht="15" customHeight="1" s="95">
      <c r="B115" s="4" t="n"/>
      <c r="C115" s="96" t="inlineStr">
        <is>
          <t>VECARPUB002</t>
        </is>
      </c>
      <c r="D115" s="18" t="inlineStr">
        <is>
          <t>Flan Caluga  PY</t>
        </is>
      </c>
      <c r="E115" s="207">
        <f>IFERROR(
IF(
INDEX($K$272:$K$977,MATCH(C115,$B$272:$B$977,0))&lt;&gt;0,
INDEX($K$272:$K$977,MATCH(C115,$B$272:$B$977,0)),
INDEX($L$272:$L$977,MATCH(C115,$B$272:$B$977,0))
),
0)</f>
        <v/>
      </c>
      <c r="F115" s="1" t="inlineStr">
        <is>
          <t>Flan de Caluga</t>
        </is>
      </c>
      <c r="G115" s="52" t="n">
        <v>1</v>
      </c>
      <c r="H115" s="81" t="inlineStr">
        <is>
          <t>Kg</t>
        </is>
      </c>
      <c r="I115" s="79" t="n"/>
      <c r="J115" s="78" t="n"/>
      <c r="K115" s="79" t="n"/>
      <c r="L115" s="80" t="n"/>
      <c r="M115" s="80" t="n"/>
      <c r="N115" s="80" t="n"/>
      <c r="O115" s="20" t="n"/>
      <c r="P115" s="4" t="n"/>
      <c r="Q115" s="4" t="n"/>
    </row>
    <row r="116" ht="15" customHeight="1" s="95">
      <c r="B116" s="4" t="n"/>
      <c r="C116" s="96" t="inlineStr">
        <is>
          <t>VECARPJT002</t>
        </is>
      </c>
      <c r="D116" s="18" t="inlineStr">
        <is>
          <t>Flan Caluga JT</t>
        </is>
      </c>
      <c r="E116" s="207">
        <f>IFERROR(
IF(
INDEX($K$272:$K$977,MATCH(C116,$B$272:$B$977,0))&lt;&gt;0,
INDEX($K$272:$K$977,MATCH(C116,$B$272:$B$977,0)),
INDEX($L$272:$L$977,MATCH(C116,$B$272:$B$977,0))
),
0)</f>
        <v/>
      </c>
      <c r="F116" s="1" t="inlineStr">
        <is>
          <t>Flan de Caluga</t>
        </is>
      </c>
      <c r="G116" s="52" t="n">
        <v>1</v>
      </c>
      <c r="H116" s="81" t="inlineStr">
        <is>
          <t>Kg</t>
        </is>
      </c>
      <c r="I116" s="79" t="n"/>
      <c r="J116" s="78" t="n"/>
      <c r="K116" s="79" t="n"/>
      <c r="L116" s="80" t="n"/>
      <c r="M116" s="80" t="n"/>
      <c r="N116" s="80" t="n"/>
      <c r="O116" s="20" t="n"/>
      <c r="P116" s="4" t="n"/>
      <c r="Q116" s="4" t="n"/>
    </row>
    <row r="117" ht="15" customHeight="1" s="95">
      <c r="B117" s="4" t="n"/>
      <c r="C117" s="96" t="inlineStr">
        <is>
          <t>VECARPOS007</t>
        </is>
      </c>
      <c r="D117" s="18" t="inlineStr">
        <is>
          <t>Flan de Caluga</t>
        </is>
      </c>
      <c r="E117" s="207">
        <f>IFERROR(
IF(
INDEX($K$272:$K$977,MATCH(C117,$B$272:$B$977,0))&lt;&gt;0,
INDEX($K$272:$K$977,MATCH(C117,$B$272:$B$977,0)),
INDEX($L$272:$L$977,MATCH(C117,$B$272:$B$977,0))
),
0)</f>
        <v/>
      </c>
      <c r="F117" s="1" t="inlineStr">
        <is>
          <t>Flan de Caluga</t>
        </is>
      </c>
      <c r="G117" s="52" t="n">
        <v>1</v>
      </c>
      <c r="H117" s="81" t="inlineStr">
        <is>
          <t>Kg</t>
        </is>
      </c>
      <c r="I117" s="79" t="n"/>
      <c r="J117" s="78" t="n"/>
      <c r="K117" s="79" t="n"/>
      <c r="L117" s="80" t="n"/>
      <c r="M117" s="80" t="n"/>
      <c r="N117" s="80" t="n"/>
      <c r="O117" s="20" t="n"/>
      <c r="P117" s="4" t="n"/>
      <c r="Q117" s="4" t="n"/>
    </row>
    <row r="118" ht="15" customHeight="1" s="95">
      <c r="B118" s="4" t="n"/>
      <c r="C118" s="96" t="inlineStr">
        <is>
          <t>VECARNIN004</t>
        </is>
      </c>
      <c r="D118" s="18" t="inlineStr">
        <is>
          <t>Hamburguesa Niños</t>
        </is>
      </c>
      <c r="E118" s="207">
        <f>IFERROR(
IF(
INDEX($K$272:$K$977,MATCH(C118,$B$272:$B$977,0))&lt;&gt;0,
INDEX($K$272:$K$977,MATCH(C118,$B$272:$B$977,0)),
INDEX($L$272:$L$977,MATCH(C118,$B$272:$B$977,0))
),
0)</f>
        <v/>
      </c>
      <c r="F118" s="1" t="inlineStr">
        <is>
          <t>Hamburguesas</t>
        </is>
      </c>
      <c r="G118" s="52" t="n">
        <v>0.2</v>
      </c>
      <c r="H118" s="81" t="inlineStr">
        <is>
          <t>Kg</t>
        </is>
      </c>
      <c r="I118" s="79" t="n"/>
      <c r="J118" s="78" t="n"/>
      <c r="K118" s="79" t="n"/>
      <c r="L118" s="80" t="n"/>
      <c r="M118" s="80" t="n"/>
      <c r="N118" s="80" t="n"/>
      <c r="O118" s="20" t="n"/>
      <c r="P118" s="4" t="n"/>
      <c r="Q118" s="4" t="n"/>
    </row>
    <row r="119" ht="15" customHeight="1" s="95">
      <c r="B119" s="4" t="n"/>
      <c r="C119" s="96" t="inlineStr">
        <is>
          <t>VECARFON088</t>
        </is>
      </c>
      <c r="D119" s="18" t="inlineStr">
        <is>
          <t>Hojaldre de Carne Desmechada</t>
        </is>
      </c>
      <c r="E119" s="207">
        <f>IFERROR(
IF(
INDEX($K$272:$K$977,MATCH(C119,$B$272:$B$977,0))&lt;&gt;0,
INDEX($K$272:$K$977,MATCH(C119,$B$272:$B$977,0)),
INDEX($L$272:$L$977,MATCH(C119,$B$272:$B$977,0))
),
0)</f>
        <v/>
      </c>
      <c r="F119" s="1" t="inlineStr">
        <is>
          <t>Ganso</t>
        </is>
      </c>
      <c r="G119" s="52" t="n">
        <v>0.12</v>
      </c>
      <c r="H119" s="81" t="inlineStr">
        <is>
          <t>Kg</t>
        </is>
      </c>
      <c r="I119" s="79" t="n"/>
      <c r="J119" s="78" t="n"/>
      <c r="K119" s="79" t="n"/>
      <c r="L119" s="80" t="n"/>
      <c r="M119" s="80" t="n"/>
      <c r="N119" s="80" t="n"/>
      <c r="O119" s="20" t="n"/>
      <c r="P119" s="4" t="n"/>
      <c r="Q119" s="4" t="n"/>
    </row>
    <row r="120" ht="15" customHeight="1" s="95">
      <c r="B120" s="4" t="n"/>
      <c r="C120" s="96" t="inlineStr">
        <is>
          <t>VECARFON048</t>
        </is>
      </c>
      <c r="D120" s="18" t="inlineStr">
        <is>
          <t>Lasagna Ragout</t>
        </is>
      </c>
      <c r="E120" s="207">
        <f>IFERROR(
IF(
INDEX($K$272:$K$977,MATCH(C120,$B$272:$B$977,0))&lt;&gt;0,
INDEX($K$272:$K$977,MATCH(C120,$B$272:$B$977,0)),
INDEX($L$272:$L$977,MATCH(C120,$B$272:$B$977,0))
),
0)</f>
        <v/>
      </c>
      <c r="F120" s="1" t="inlineStr">
        <is>
          <t>Lasagna de Berenjenas</t>
        </is>
      </c>
      <c r="G120" s="52" t="n">
        <v>1</v>
      </c>
      <c r="H120" s="81" t="inlineStr">
        <is>
          <t>Porción</t>
        </is>
      </c>
      <c r="I120" s="79" t="n"/>
      <c r="J120" s="78" t="n"/>
      <c r="K120" s="79" t="n"/>
      <c r="L120" s="80" t="n"/>
      <c r="M120" s="80" t="n"/>
      <c r="N120" s="80" t="n"/>
      <c r="O120" s="20" t="n"/>
      <c r="P120" s="4" t="n"/>
      <c r="Q120" s="4" t="n"/>
    </row>
    <row r="121" ht="15" customHeight="1" s="95">
      <c r="B121" s="4" t="n"/>
      <c r="C121" s="96" t="inlineStr">
        <is>
          <t>VECARFON066</t>
        </is>
      </c>
      <c r="D121" s="18" t="inlineStr">
        <is>
          <t>Lomo Liso con Risotto Funghi</t>
        </is>
      </c>
      <c r="E121" s="207">
        <f>IFERROR(
IF(
INDEX($K$272:$K$977,MATCH(C121,$B$272:$B$977,0))&lt;&gt;0,
INDEX($K$272:$K$977,MATCH(C121,$B$272:$B$977,0)),
INDEX($L$272:$L$977,MATCH(C121,$B$272:$B$977,0))
),
0)</f>
        <v/>
      </c>
      <c r="F121" s="1" t="inlineStr">
        <is>
          <t>Lomo liso</t>
        </is>
      </c>
      <c r="G121" s="52" t="n">
        <v>0.18</v>
      </c>
      <c r="H121" s="81" t="inlineStr">
        <is>
          <t>Kg</t>
        </is>
      </c>
      <c r="I121" s="79" t="n"/>
      <c r="J121" s="78" t="n"/>
      <c r="K121" s="79" t="n"/>
      <c r="L121" s="80" t="n"/>
      <c r="M121" s="80" t="n"/>
      <c r="N121" s="80" t="n"/>
      <c r="O121" s="20" t="n"/>
      <c r="P121" s="4" t="n"/>
      <c r="Q121" s="4" t="n"/>
    </row>
    <row r="122" ht="15" customHeight="1" s="95">
      <c r="B122" s="4" t="n"/>
      <c r="C122" s="96" t="inlineStr">
        <is>
          <t>VECARFUB035</t>
        </is>
      </c>
      <c r="D122" s="18" t="inlineStr">
        <is>
          <t>Lomo Liso con Risotto Funghi PY</t>
        </is>
      </c>
      <c r="E122" s="207">
        <f>IFERROR(
IF(
INDEX($K$272:$K$977,MATCH(C122,$B$272:$B$977,0))&lt;&gt;0,
INDEX($K$272:$K$977,MATCH(C122,$B$272:$B$977,0)),
INDEX($L$272:$L$977,MATCH(C122,$B$272:$B$977,0))
),
0)</f>
        <v/>
      </c>
      <c r="F122" s="1" t="inlineStr">
        <is>
          <t>Lomo liso</t>
        </is>
      </c>
      <c r="G122" s="52" t="n">
        <v>0.18</v>
      </c>
      <c r="H122" s="81" t="inlineStr">
        <is>
          <t>Kg</t>
        </is>
      </c>
      <c r="I122" s="79" t="n"/>
      <c r="J122" s="78" t="n"/>
      <c r="K122" s="79" t="n"/>
      <c r="L122" s="80" t="n"/>
      <c r="M122" s="80" t="n"/>
      <c r="N122" s="80" t="n"/>
      <c r="O122" s="20" t="n"/>
      <c r="P122" s="4" t="n"/>
      <c r="Q122" s="4" t="n"/>
    </row>
    <row r="123" ht="15" customHeight="1" s="95">
      <c r="B123" s="4" t="n"/>
      <c r="C123" s="96" t="inlineStr">
        <is>
          <t>VECARFON012</t>
        </is>
      </c>
      <c r="D123" s="18" t="inlineStr">
        <is>
          <t>Merluza Austral</t>
        </is>
      </c>
      <c r="E123" s="207">
        <f>IFERROR(
IF(
INDEX($K$272:$K$977,MATCH(C123,$B$272:$B$977,0))&lt;&gt;0,
INDEX($K$272:$K$977,MATCH(C123,$B$272:$B$977,0)),
INDEX($L$272:$L$977,MATCH(C123,$B$272:$B$977,0))
),
0)</f>
        <v/>
      </c>
      <c r="F123" s="1" t="inlineStr">
        <is>
          <t>Merluza</t>
        </is>
      </c>
      <c r="G123" s="52" t="n">
        <v>0.18</v>
      </c>
      <c r="H123" s="81" t="inlineStr">
        <is>
          <t>Kg</t>
        </is>
      </c>
      <c r="I123" s="79" t="n"/>
      <c r="J123" s="78" t="n"/>
      <c r="K123" s="79" t="n"/>
      <c r="L123" s="80" t="n"/>
      <c r="M123" s="80" t="n"/>
      <c r="N123" s="80" t="n"/>
      <c r="O123" s="20" t="n"/>
      <c r="P123" s="4" t="n"/>
      <c r="Q123" s="4" t="n"/>
    </row>
    <row r="124" ht="15" customHeight="1" s="95">
      <c r="B124" s="4" t="n"/>
      <c r="C124" s="96" t="inlineStr">
        <is>
          <t>VECARFJT027</t>
        </is>
      </c>
      <c r="D124" s="18" t="inlineStr">
        <is>
          <t>Merluza Austral JT</t>
        </is>
      </c>
      <c r="E124" s="207">
        <f>IFERROR(
IF(
INDEX($K$272:$K$977,MATCH(C124,$B$272:$B$977,0))&lt;&gt;0,
INDEX($K$272:$K$977,MATCH(C124,$B$272:$B$977,0)),
INDEX($L$272:$L$977,MATCH(C124,$B$272:$B$977,0))
),
0)</f>
        <v/>
      </c>
      <c r="F124" s="1" t="inlineStr">
        <is>
          <t>Merluza</t>
        </is>
      </c>
      <c r="G124" s="52" t="n">
        <v>0.18</v>
      </c>
      <c r="H124" s="81" t="inlineStr">
        <is>
          <t>Kg</t>
        </is>
      </c>
      <c r="I124" s="79" t="n"/>
      <c r="J124" s="78" t="n"/>
      <c r="K124" s="79" t="n"/>
      <c r="L124" s="80" t="n"/>
      <c r="M124" s="80" t="n"/>
      <c r="N124" s="80" t="n"/>
      <c r="O124" s="20" t="n"/>
      <c r="P124" s="4" t="n"/>
      <c r="Q124" s="4" t="n"/>
    </row>
    <row r="125" ht="15" customHeight="1" s="95">
      <c r="B125" s="4" t="n"/>
      <c r="C125" s="96" t="inlineStr">
        <is>
          <t>VECARFUB027</t>
        </is>
      </c>
      <c r="D125" s="18" t="inlineStr">
        <is>
          <t>Merluza Austral PY</t>
        </is>
      </c>
      <c r="E125" s="207">
        <f>IFERROR(
IF(
INDEX($K$272:$K$977,MATCH(C125,$B$272:$B$977,0))&lt;&gt;0,
INDEX($K$272:$K$977,MATCH(C125,$B$272:$B$977,0)),
INDEX($L$272:$L$977,MATCH(C125,$B$272:$B$977,0))
),
0)</f>
        <v/>
      </c>
      <c r="F125" s="1" t="inlineStr">
        <is>
          <t>Merluza</t>
        </is>
      </c>
      <c r="G125" s="52" t="n">
        <v>0.18</v>
      </c>
      <c r="H125" s="81" t="inlineStr">
        <is>
          <t>Kg</t>
        </is>
      </c>
      <c r="I125" s="79" t="n"/>
      <c r="J125" s="78" t="n"/>
      <c r="K125" s="79" t="n"/>
      <c r="L125" s="80" t="n"/>
      <c r="M125" s="80" t="n"/>
      <c r="N125" s="80" t="n"/>
      <c r="O125" s="20" t="n"/>
      <c r="P125" s="4" t="n"/>
      <c r="Q125" s="4" t="n"/>
    </row>
    <row r="126" ht="15" customHeight="1" s="95">
      <c r="B126" s="4" t="n"/>
      <c r="C126" s="96" t="inlineStr">
        <is>
          <t>VECARENT042</t>
        </is>
      </c>
      <c r="D126" s="18" t="inlineStr">
        <is>
          <t>Ostiones con Cebolla</t>
        </is>
      </c>
      <c r="E126" s="207">
        <f>IFERROR(
IF(
INDEX($K$272:$K$977,MATCH(C126,$B$272:$B$977,0))&lt;&gt;0,
INDEX($K$272:$K$977,MATCH(C126,$B$272:$B$977,0)),
INDEX($L$272:$L$977,MATCH(C126,$B$272:$B$977,0))
),
0)</f>
        <v/>
      </c>
      <c r="F126" s="1" t="inlineStr">
        <is>
          <t>Ostiones</t>
        </is>
      </c>
      <c r="G126" s="52" t="n">
        <v>1</v>
      </c>
      <c r="H126" s="81" t="inlineStr">
        <is>
          <t>Kg</t>
        </is>
      </c>
      <c r="I126" s="79" t="n"/>
      <c r="J126" s="78" t="n"/>
      <c r="K126" s="79" t="n"/>
      <c r="L126" s="80" t="n"/>
      <c r="M126" s="80" t="n"/>
      <c r="N126" s="80" t="n"/>
      <c r="O126" s="20" t="n"/>
      <c r="P126" s="4" t="n"/>
      <c r="Q126" s="4" t="n"/>
    </row>
    <row r="127" ht="15" customHeight="1" s="95">
      <c r="B127" s="4" t="n"/>
      <c r="C127" s="96" t="inlineStr">
        <is>
          <t>VECARFON068</t>
        </is>
      </c>
      <c r="D127" s="18" t="inlineStr">
        <is>
          <t>Paila de Carne Mechada</t>
        </is>
      </c>
      <c r="E127" s="207">
        <f>IFERROR(
IF(
INDEX($K$272:$K$977,MATCH(C127,$B$272:$B$977,0))&lt;&gt;0,
INDEX($K$272:$K$977,MATCH(C127,$B$272:$B$977,0)),
INDEX($L$272:$L$977,MATCH(C127,$B$272:$B$977,0))
),
0)</f>
        <v/>
      </c>
      <c r="F127" s="18" t="inlineStr">
        <is>
          <t>Ganso</t>
        </is>
      </c>
      <c r="G127" s="52" t="n">
        <v>0.12</v>
      </c>
      <c r="H127" s="81" t="inlineStr">
        <is>
          <t>Kg</t>
        </is>
      </c>
      <c r="I127" s="79" t="n"/>
      <c r="J127" s="78" t="n"/>
      <c r="K127" s="79" t="n"/>
      <c r="L127" s="80" t="n"/>
      <c r="M127" s="80" t="n"/>
      <c r="N127" s="80" t="n"/>
      <c r="O127" s="20" t="n"/>
      <c r="P127" s="4" t="n"/>
      <c r="Q127" s="4" t="n"/>
    </row>
    <row r="128" ht="15" customHeight="1" s="95">
      <c r="B128" s="4" t="n"/>
      <c r="C128" s="96" t="inlineStr">
        <is>
          <t>VECARFUB011</t>
        </is>
      </c>
      <c r="D128" s="18" t="inlineStr">
        <is>
          <t>Plateada Pastel PY</t>
        </is>
      </c>
      <c r="E128" s="207">
        <f>IFERROR(
IF(
INDEX($K$272:$K$977,MATCH(C128,$B$272:$B$977,0))&lt;&gt;0,
INDEX($K$272:$K$977,MATCH(C128,$B$272:$B$977,0)),
INDEX($L$272:$L$977,MATCH(C128,$B$272:$B$977,0))
),
0)</f>
        <v/>
      </c>
      <c r="F128" s="1" t="inlineStr">
        <is>
          <t>Plateada</t>
        </is>
      </c>
      <c r="G128" s="52" t="n">
        <v>0.18</v>
      </c>
      <c r="H128" s="81" t="inlineStr">
        <is>
          <t>Kg</t>
        </is>
      </c>
      <c r="I128" s="79" t="n"/>
      <c r="J128" s="78" t="n"/>
      <c r="K128" s="79" t="n"/>
      <c r="L128" s="80" t="n"/>
      <c r="M128" s="80" t="n"/>
      <c r="N128" s="80" t="n"/>
      <c r="O128" s="20" t="n"/>
      <c r="P128" s="4" t="n"/>
      <c r="Q128" s="4" t="n"/>
    </row>
    <row r="129" ht="15" customHeight="1" s="95">
      <c r="B129" s="4" t="n"/>
      <c r="C129" s="96" t="inlineStr">
        <is>
          <t>VECARFJT011</t>
        </is>
      </c>
      <c r="D129" s="18" t="inlineStr">
        <is>
          <t>Plateada Pastele JT</t>
        </is>
      </c>
      <c r="E129" s="207">
        <f>IFERROR(
IF(
INDEX($K$272:$K$977,MATCH(C129,$B$272:$B$977,0))&lt;&gt;0,
INDEX($K$272:$K$977,MATCH(C129,$B$272:$B$977,0)),
INDEX($L$272:$L$977,MATCH(C129,$B$272:$B$977,0))
),
0)</f>
        <v/>
      </c>
      <c r="F129" s="1" t="inlineStr">
        <is>
          <t>Plateada</t>
        </is>
      </c>
      <c r="G129" s="52" t="n">
        <v>0.18</v>
      </c>
      <c r="H129" s="81" t="inlineStr">
        <is>
          <t>Kg</t>
        </is>
      </c>
      <c r="I129" s="79" t="n"/>
      <c r="J129" s="78" t="n"/>
      <c r="K129" s="79" t="n"/>
      <c r="L129" s="80" t="n"/>
      <c r="M129" s="80" t="n"/>
      <c r="N129" s="80" t="n"/>
      <c r="O129" s="20" t="n"/>
      <c r="P129" s="4" t="n"/>
      <c r="Q129" s="4" t="n"/>
    </row>
    <row r="130" ht="15" customHeight="1" s="95">
      <c r="B130" s="4" t="n"/>
      <c r="C130" s="96" t="inlineStr">
        <is>
          <t>VECARFON017</t>
        </is>
      </c>
      <c r="D130" s="18" t="inlineStr">
        <is>
          <t>Plateada Pastelera</t>
        </is>
      </c>
      <c r="E130" s="207">
        <f>IFERROR(
IF(
INDEX($K$272:$K$977,MATCH(C130,$B$272:$B$977,0))&lt;&gt;0,
INDEX($K$272:$K$977,MATCH(C130,$B$272:$B$977,0)),
INDEX($L$272:$L$977,MATCH(C130,$B$272:$B$977,0))
),
0)</f>
        <v/>
      </c>
      <c r="F130" s="1" t="inlineStr">
        <is>
          <t>Plateada</t>
        </is>
      </c>
      <c r="G130" s="52" t="n">
        <v>0.18</v>
      </c>
      <c r="H130" s="81" t="inlineStr">
        <is>
          <t>Kg</t>
        </is>
      </c>
      <c r="I130" s="79" t="n"/>
      <c r="J130" s="78" t="n"/>
      <c r="K130" s="79" t="n"/>
      <c r="L130" s="80" t="n"/>
      <c r="M130" s="80" t="n"/>
      <c r="N130" s="80" t="n"/>
      <c r="O130" s="20" t="n"/>
      <c r="P130" s="4" t="n"/>
      <c r="Q130" s="4" t="n"/>
    </row>
    <row r="131" ht="15" customHeight="1" s="95">
      <c r="B131" s="4" t="n"/>
      <c r="C131" s="96" t="inlineStr">
        <is>
          <t>VECARPRU089</t>
        </is>
      </c>
      <c r="D131" s="18" t="inlineStr">
        <is>
          <t>Promo Ens. Jamón Serrano + Beb. PY</t>
        </is>
      </c>
      <c r="E131" s="207">
        <f>IFERROR(
IF(
INDEX($K$272:$K$977,MATCH(C131,$B$272:$B$977,0))&lt;&gt;0,
INDEX($K$272:$K$977,MATCH(C131,$B$272:$B$977,0)),
INDEX($L$272:$L$977,MATCH(C131,$B$272:$B$977,0))
),
0)</f>
        <v/>
      </c>
      <c r="F131" s="1" t="inlineStr">
        <is>
          <t>Jamón serrano</t>
        </is>
      </c>
      <c r="G131" s="52" t="n">
        <v>0.04</v>
      </c>
      <c r="H131" s="81" t="inlineStr">
        <is>
          <t>Kg</t>
        </is>
      </c>
      <c r="I131" s="79" t="n"/>
      <c r="J131" s="78" t="n"/>
      <c r="K131" s="79" t="n"/>
      <c r="L131" s="80" t="n"/>
      <c r="M131" s="80" t="n"/>
      <c r="N131" s="80" t="n"/>
      <c r="O131" s="20" t="n"/>
      <c r="P131" s="4" t="n"/>
      <c r="Q131" s="4" t="n"/>
    </row>
    <row r="132" ht="15" customHeight="1" s="95">
      <c r="B132" s="4" t="n"/>
      <c r="C132" s="96" t="inlineStr">
        <is>
          <t>VECARFON054</t>
        </is>
      </c>
      <c r="D132" s="18" t="inlineStr">
        <is>
          <t>Pulpo Mote</t>
        </is>
      </c>
      <c r="E132" s="207">
        <f>IFERROR(
IF(
INDEX($K$272:$K$977,MATCH(C132,$B$272:$B$977,0))&lt;&gt;0,
INDEX($K$272:$K$977,MATCH(C132,$B$272:$B$977,0)),
INDEX($L$272:$L$977,MATCH(C132,$B$272:$B$977,0))
),
0)</f>
        <v/>
      </c>
      <c r="F132" s="18" t="inlineStr">
        <is>
          <t>Pulpo</t>
        </is>
      </c>
      <c r="G132" s="52" t="n">
        <v>0.145</v>
      </c>
      <c r="H132" s="81" t="inlineStr">
        <is>
          <t>Kg</t>
        </is>
      </c>
      <c r="I132" s="79" t="n"/>
      <c r="J132" s="78" t="n"/>
      <c r="K132" s="79" t="n"/>
      <c r="L132" s="80" t="n"/>
      <c r="M132" s="80" t="n"/>
      <c r="N132" s="80" t="n"/>
      <c r="O132" s="20" t="n"/>
      <c r="P132" s="4" t="n"/>
      <c r="Q132" s="4" t="n"/>
    </row>
    <row r="133" ht="15" customHeight="1" s="95">
      <c r="B133" s="4" t="n"/>
      <c r="C133" s="96" t="inlineStr">
        <is>
          <t>VECARFON085</t>
        </is>
      </c>
      <c r="D133" s="18" t="inlineStr">
        <is>
          <t>Rigatoni con Ragout de Filete</t>
        </is>
      </c>
      <c r="E133" s="207">
        <f>IFERROR(
IF(
INDEX($K$272:$K$977,MATCH(C133,$B$272:$B$977,0))&lt;&gt;0,
INDEX($K$272:$K$977,MATCH(C133,$B$272:$B$977,0)),
INDEX($L$272:$L$977,MATCH(C133,$B$272:$B$977,0))
),
0)</f>
        <v/>
      </c>
      <c r="F133" s="18" t="inlineStr">
        <is>
          <t>Ragout Rigatoni</t>
        </is>
      </c>
      <c r="G133" s="52" t="n">
        <v>0.15</v>
      </c>
      <c r="H133" s="81" t="inlineStr">
        <is>
          <t>Kg</t>
        </is>
      </c>
      <c r="I133" s="79" t="n"/>
      <c r="J133" s="78" t="n"/>
      <c r="K133" s="79" t="n"/>
      <c r="L133" s="80" t="n"/>
      <c r="M133" s="80" t="n"/>
      <c r="N133" s="80" t="n"/>
      <c r="O133" s="20" t="n"/>
      <c r="P133" s="4" t="n"/>
      <c r="Q133" s="4" t="n"/>
    </row>
    <row r="134" ht="15" customHeight="1" s="95">
      <c r="B134" s="4" t="n"/>
      <c r="C134" s="96" t="inlineStr">
        <is>
          <t>VECARSND012</t>
        </is>
      </c>
      <c r="D134" s="18" t="inlineStr">
        <is>
          <t>Sándwich de Filete Italiano</t>
        </is>
      </c>
      <c r="E134" s="207">
        <f>IFERROR(
IF(
INDEX($K$272:$K$977,MATCH(C134,$B$272:$B$977,0))&lt;&gt;0,
INDEX($K$272:$K$977,MATCH(C134,$B$272:$B$977,0)),
INDEX($L$272:$L$977,MATCH(C134,$B$272:$B$977,0))
),
0)</f>
        <v/>
      </c>
      <c r="F134" s="18" t="inlineStr">
        <is>
          <t>Filete para churrasco</t>
        </is>
      </c>
      <c r="G134" s="52" t="n">
        <v>0.12</v>
      </c>
      <c r="H134" s="81" t="inlineStr">
        <is>
          <t>Kg</t>
        </is>
      </c>
      <c r="I134" s="79" t="n"/>
      <c r="J134" s="78" t="n"/>
      <c r="K134" s="79" t="n"/>
      <c r="L134" s="80" t="n"/>
      <c r="M134" s="80" t="n"/>
      <c r="N134" s="80" t="n"/>
      <c r="O134" s="20" t="n"/>
      <c r="P134" s="4" t="n"/>
      <c r="Q134" s="4" t="n"/>
    </row>
    <row r="135" ht="15" customHeight="1" s="95">
      <c r="B135" s="4" t="n"/>
      <c r="C135" s="96" t="inlineStr">
        <is>
          <t>VECARFON020</t>
        </is>
      </c>
      <c r="D135" s="18" t="inlineStr">
        <is>
          <t>Salmon Cancato</t>
        </is>
      </c>
      <c r="E135" s="207">
        <f>IFERROR(
IF(
INDEX($K$272:$K$977,MATCH(C135,$B$272:$B$977,0))&lt;&gt;0,
INDEX($K$272:$K$977,MATCH(C135,$B$272:$B$977,0)),
INDEX($L$272:$L$977,MATCH(C135,$B$272:$B$977,0))
),
0)</f>
        <v/>
      </c>
      <c r="F135" s="1" t="inlineStr">
        <is>
          <t>Salmón cancato</t>
        </is>
      </c>
      <c r="G135" s="52" t="n">
        <v>0.16</v>
      </c>
      <c r="H135" s="81" t="inlineStr">
        <is>
          <t>Kg</t>
        </is>
      </c>
      <c r="I135" s="79" t="n"/>
      <c r="J135" s="78" t="n"/>
      <c r="K135" s="79" t="n"/>
      <c r="L135" s="80" t="n"/>
      <c r="M135" s="80" t="n"/>
      <c r="N135" s="80" t="n"/>
      <c r="O135" s="20" t="n"/>
      <c r="P135" s="4" t="n"/>
      <c r="Q135" s="4" t="n"/>
    </row>
    <row r="136" ht="15" customHeight="1" s="95">
      <c r="B136" s="4" t="n"/>
      <c r="C136" s="96" t="inlineStr">
        <is>
          <t>VECARFJT006</t>
        </is>
      </c>
      <c r="D136" s="18" t="inlineStr">
        <is>
          <t>Salmon Cancato JT</t>
        </is>
      </c>
      <c r="E136" s="207">
        <f>IFERROR(
IF(
INDEX($K$272:$K$977,MATCH(C136,$B$272:$B$977,0))&lt;&gt;0,
INDEX($K$272:$K$977,MATCH(C136,$B$272:$B$977,0)),
INDEX($L$272:$L$977,MATCH(C136,$B$272:$B$977,0))
),
0)</f>
        <v/>
      </c>
      <c r="F136" s="1" t="inlineStr">
        <is>
          <t>Salmón cancato</t>
        </is>
      </c>
      <c r="G136" s="52" t="n">
        <v>0.16</v>
      </c>
      <c r="H136" s="81" t="inlineStr">
        <is>
          <t>Kg</t>
        </is>
      </c>
      <c r="I136" s="79" t="n"/>
      <c r="J136" s="78" t="n"/>
      <c r="K136" s="79" t="n"/>
      <c r="L136" s="80" t="n"/>
      <c r="M136" s="80" t="n"/>
      <c r="N136" s="80" t="n"/>
      <c r="O136" s="20" t="n"/>
      <c r="P136" s="4" t="n"/>
      <c r="Q136" s="4" t="n"/>
    </row>
    <row r="137" ht="15" customHeight="1" s="95">
      <c r="B137" s="4" t="n"/>
      <c r="C137" s="96" t="inlineStr">
        <is>
          <t>VECARFUB006</t>
        </is>
      </c>
      <c r="D137" s="18" t="inlineStr">
        <is>
          <t>Salmon Cancato PY</t>
        </is>
      </c>
      <c r="E137" s="207">
        <f>IFERROR(
IF(
INDEX($K$272:$K$977,MATCH(C137,$B$272:$B$977,0))&lt;&gt;0,
INDEX($K$272:$K$977,MATCH(C137,$B$272:$B$977,0)),
INDEX($L$272:$L$977,MATCH(C137,$B$272:$B$977,0))
),
0)</f>
        <v/>
      </c>
      <c r="F137" s="1" t="inlineStr">
        <is>
          <t>Salmón cancato</t>
        </is>
      </c>
      <c r="G137" s="52" t="n">
        <v>0.16</v>
      </c>
      <c r="H137" s="81" t="inlineStr">
        <is>
          <t>Kg</t>
        </is>
      </c>
      <c r="I137" s="79" t="n"/>
      <c r="J137" s="78" t="n"/>
      <c r="K137" s="79" t="n"/>
      <c r="L137" s="80" t="n"/>
      <c r="M137" s="80" t="n"/>
      <c r="N137" s="80" t="n"/>
      <c r="O137" s="20" t="n"/>
      <c r="P137" s="4" t="n"/>
      <c r="Q137" s="4" t="n"/>
    </row>
    <row r="138" ht="15" customHeight="1" s="95">
      <c r="B138" s="4" t="n"/>
      <c r="C138" s="96" t="inlineStr">
        <is>
          <t>VECARFON021</t>
        </is>
      </c>
      <c r="D138" s="18" t="inlineStr">
        <is>
          <t>Sorrentino Mechada</t>
        </is>
      </c>
      <c r="E138" s="207">
        <f>IFERROR(
IF(
INDEX($K$272:$K$977,MATCH(C138,$B$272:$B$977,0))&lt;&gt;0,
INDEX($K$272:$K$977,MATCH(C138,$B$272:$B$977,0)),
INDEX($L$272:$L$977,MATCH(C138,$B$272:$B$977,0))
),
0)</f>
        <v/>
      </c>
      <c r="F138" s="1" t="inlineStr">
        <is>
          <t>Sorrentinos carne mechada</t>
        </is>
      </c>
      <c r="G138" s="52" t="n">
        <v>1</v>
      </c>
      <c r="H138" s="81" t="inlineStr">
        <is>
          <t>Und</t>
        </is>
      </c>
      <c r="I138" s="79" t="n"/>
      <c r="J138" s="78" t="n"/>
      <c r="K138" s="79" t="n"/>
      <c r="L138" s="80" t="n"/>
      <c r="M138" s="80" t="n"/>
      <c r="N138" s="80" t="n"/>
      <c r="O138" s="20" t="n"/>
      <c r="P138" s="4" t="n"/>
      <c r="Q138" s="4" t="n"/>
    </row>
    <row r="139" ht="15" customHeight="1" s="95">
      <c r="B139" s="4" t="n"/>
      <c r="C139" s="96" t="inlineStr">
        <is>
          <t>VECARFON022</t>
        </is>
      </c>
      <c r="D139" s="18" t="inlineStr">
        <is>
          <t>Sorrentino Zapallo</t>
        </is>
      </c>
      <c r="E139" s="207">
        <f>IFERROR(
IF(
INDEX($K$272:$K$977,MATCH(C139,$B$272:$B$977,0))&lt;&gt;0,
INDEX($K$272:$K$977,MATCH(C139,$B$272:$B$977,0)),
INDEX($L$272:$L$977,MATCH(C139,$B$272:$B$977,0))
),
0)</f>
        <v/>
      </c>
      <c r="F139" s="1" t="inlineStr">
        <is>
          <t>Sorrentinos zapallo</t>
        </is>
      </c>
      <c r="G139" s="52" t="n">
        <v>1</v>
      </c>
      <c r="H139" s="81" t="inlineStr">
        <is>
          <t>Und</t>
        </is>
      </c>
      <c r="I139" s="79" t="n"/>
      <c r="J139" s="78" t="n"/>
      <c r="K139" s="79" t="n"/>
      <c r="L139" s="80" t="n"/>
      <c r="M139" s="80" t="n"/>
      <c r="N139" s="80" t="n"/>
      <c r="O139" s="20" t="n"/>
      <c r="P139" s="4" t="n"/>
      <c r="Q139" s="4" t="n"/>
    </row>
    <row r="140" ht="15" customHeight="1" s="95">
      <c r="B140" s="4" t="n"/>
      <c r="C140" s="96" t="inlineStr">
        <is>
          <t>VECARFUB036</t>
        </is>
      </c>
      <c r="D140" s="18" t="inlineStr">
        <is>
          <t>Sorrentinos de Carne Mechada PY</t>
        </is>
      </c>
      <c r="E140" s="207">
        <f>IFERROR(
IF(
INDEX($K$272:$K$977,MATCH(C140,$B$272:$B$977,0))&lt;&gt;0,
INDEX($K$272:$K$977,MATCH(C140,$B$272:$B$977,0)),
INDEX($L$272:$L$977,MATCH(C140,$B$272:$B$977,0))
),
0)</f>
        <v/>
      </c>
      <c r="F140" s="1" t="inlineStr">
        <is>
          <t>Sorrentinos carne mechada</t>
        </is>
      </c>
      <c r="G140" s="52" t="n">
        <v>1</v>
      </c>
      <c r="H140" s="81" t="inlineStr">
        <is>
          <t>Und</t>
        </is>
      </c>
      <c r="I140" s="79" t="n"/>
      <c r="J140" s="78" t="n"/>
      <c r="K140" s="79" t="n"/>
      <c r="L140" s="80" t="n"/>
      <c r="M140" s="80" t="n"/>
      <c r="N140" s="80" t="n"/>
      <c r="O140" s="20" t="n"/>
      <c r="P140" s="4" t="n"/>
      <c r="Q140" s="4" t="n"/>
    </row>
    <row r="141" ht="15" customHeight="1" s="95">
      <c r="B141" s="4" t="n"/>
      <c r="C141" s="96" t="inlineStr">
        <is>
          <t>VECARFON062</t>
        </is>
      </c>
      <c r="D141" s="18" t="inlineStr">
        <is>
          <t>Sorrentinos de pulpo y salmón</t>
        </is>
      </c>
      <c r="E141" s="207">
        <f>IFERROR(
IF(
INDEX($K$272:$K$977,MATCH(C141,$B$272:$B$977,0))&lt;&gt;0,
INDEX($K$272:$K$977,MATCH(C141,$B$272:$B$977,0)),
INDEX($L$272:$L$977,MATCH(C141,$B$272:$B$977,0))
),
0)</f>
        <v/>
      </c>
      <c r="F141" s="1" t="inlineStr">
        <is>
          <t>Sorrentinos pulpo y salmón</t>
        </is>
      </c>
      <c r="G141" s="52" t="n">
        <v>1</v>
      </c>
      <c r="H141" s="81" t="inlineStr">
        <is>
          <t>Und</t>
        </is>
      </c>
      <c r="I141" s="79" t="n"/>
      <c r="J141" s="78" t="n"/>
      <c r="K141" s="79" t="n"/>
      <c r="L141" s="80" t="n"/>
      <c r="M141" s="80" t="n"/>
      <c r="N141" s="80" t="n"/>
      <c r="O141" s="20" t="n"/>
      <c r="P141" s="4" t="n"/>
      <c r="Q141" s="4" t="n"/>
    </row>
    <row r="142" ht="15" customHeight="1" s="95">
      <c r="B142" s="4" t="n"/>
      <c r="C142" s="96" t="inlineStr">
        <is>
          <t>VECARFUB007</t>
        </is>
      </c>
      <c r="D142" s="18" t="inlineStr">
        <is>
          <t>Strogonof Arroz PY</t>
        </is>
      </c>
      <c r="E142" s="207">
        <f>IFERROR(
IF(
INDEX($K$272:$K$977,MATCH(C142,$B$272:$B$977,0))&lt;&gt;0,
INDEX($K$272:$K$977,MATCH(C142,$B$272:$B$977,0)),
INDEX($L$272:$L$977,MATCH(C142,$B$272:$B$977,0))
),
0)</f>
        <v/>
      </c>
      <c r="F142" s="1" t="inlineStr">
        <is>
          <t>Filete Salteado</t>
        </is>
      </c>
      <c r="G142" s="52" t="n">
        <v>0.16</v>
      </c>
      <c r="H142" s="81" t="inlineStr">
        <is>
          <t>Kg</t>
        </is>
      </c>
      <c r="I142" s="79" t="n"/>
      <c r="J142" s="78" t="n"/>
      <c r="K142" s="79" t="n"/>
      <c r="L142" s="80" t="n"/>
      <c r="M142" s="80" t="n"/>
      <c r="N142" s="80" t="n"/>
      <c r="O142" s="20" t="n"/>
      <c r="P142" s="4" t="n"/>
      <c r="Q142" s="4" t="n"/>
    </row>
    <row r="143" ht="15" customHeight="1" s="95">
      <c r="B143" s="4" t="n"/>
      <c r="C143" s="96" t="inlineStr">
        <is>
          <t>VECARFJT007</t>
        </is>
      </c>
      <c r="D143" s="18" t="inlineStr">
        <is>
          <t>Strogonof Arroz JT</t>
        </is>
      </c>
      <c r="E143" s="207">
        <f>IFERROR(
IF(
INDEX($K$272:$K$977,MATCH(C143,$B$272:$B$977,0))&lt;&gt;0,
INDEX($K$272:$K$977,MATCH(C143,$B$272:$B$977,0)),
INDEX($L$272:$L$977,MATCH(C143,$B$272:$B$977,0))
),
0)</f>
        <v/>
      </c>
      <c r="F143" s="1" t="inlineStr">
        <is>
          <t>Filete Salteado</t>
        </is>
      </c>
      <c r="G143" s="52" t="n">
        <v>0.16</v>
      </c>
      <c r="H143" s="81" t="inlineStr">
        <is>
          <t>Kg</t>
        </is>
      </c>
      <c r="I143" s="79" t="n"/>
      <c r="J143" s="78" t="n"/>
      <c r="K143" s="79" t="n"/>
      <c r="L143" s="80" t="n"/>
      <c r="M143" s="80" t="n"/>
      <c r="N143" s="80" t="n"/>
      <c r="O143" s="20" t="n"/>
      <c r="P143" s="4" t="n"/>
      <c r="Q143" s="4" t="n"/>
    </row>
    <row r="144" ht="15" customHeight="1" s="95">
      <c r="B144" s="4" t="n"/>
      <c r="C144" s="96" t="inlineStr">
        <is>
          <t>VECARFON023</t>
        </is>
      </c>
      <c r="D144" s="18" t="inlineStr">
        <is>
          <t>Strogonoff Arroz</t>
        </is>
      </c>
      <c r="E144" s="207">
        <f>IFERROR(
IF(
INDEX($K$272:$K$977,MATCH(C144,$B$272:$B$977,0))&lt;&gt;0,
INDEX($K$272:$K$977,MATCH(C144,$B$272:$B$977,0)),
INDEX($L$272:$L$977,MATCH(C144,$B$272:$B$977,0))
),
0)</f>
        <v/>
      </c>
      <c r="F144" s="1" t="inlineStr">
        <is>
          <t>Filete Salteado</t>
        </is>
      </c>
      <c r="G144" s="52" t="n">
        <v>0.16</v>
      </c>
      <c r="H144" s="81" t="inlineStr">
        <is>
          <t>Kg</t>
        </is>
      </c>
      <c r="I144" s="79" t="n"/>
      <c r="J144" s="78" t="n"/>
      <c r="K144" s="79" t="n"/>
      <c r="L144" s="80" t="n"/>
      <c r="M144" s="80" t="n"/>
      <c r="N144" s="80" t="n"/>
      <c r="O144" s="20" t="n"/>
      <c r="P144" s="4" t="n"/>
      <c r="Q144" s="4" t="n"/>
    </row>
    <row r="145" ht="15" customHeight="1" s="95">
      <c r="B145" s="4" t="n"/>
      <c r="C145" s="96" t="inlineStr">
        <is>
          <t>VECARENT008</t>
        </is>
      </c>
      <c r="D145" s="18" t="inlineStr">
        <is>
          <t>Tartar Atún</t>
        </is>
      </c>
      <c r="E145" s="207">
        <f>IFERROR(
IF(
INDEX($K$272:$K$977,MATCH(C145,$B$272:$B$977,0))&lt;&gt;0,
INDEX($K$272:$K$977,MATCH(C145,$B$272:$B$977,0)),
INDEX($L$272:$L$977,MATCH(C145,$B$272:$B$977,0))
),
0)</f>
        <v/>
      </c>
      <c r="F145" s="1" t="inlineStr">
        <is>
          <t>Atún Trozos</t>
        </is>
      </c>
      <c r="G145" s="52" t="n">
        <v>0.18</v>
      </c>
      <c r="H145" s="81" t="inlineStr">
        <is>
          <t>Kg</t>
        </is>
      </c>
      <c r="I145" s="79" t="n"/>
      <c r="J145" s="78" t="n"/>
      <c r="K145" s="79" t="n"/>
      <c r="L145" s="80" t="n"/>
      <c r="M145" s="80" t="n"/>
      <c r="N145" s="80" t="n"/>
      <c r="O145" s="20" t="n"/>
      <c r="P145" s="4" t="n"/>
      <c r="Q145" s="4" t="n"/>
    </row>
    <row r="146" ht="15" customHeight="1" s="95">
      <c r="B146" s="4" t="n"/>
      <c r="C146" s="96" t="inlineStr">
        <is>
          <t>VECARAJT002</t>
        </is>
      </c>
      <c r="D146" s="18" t="inlineStr">
        <is>
          <t>Tartar Atún JT</t>
        </is>
      </c>
      <c r="E146" s="207">
        <f>IFERROR(
IF(
INDEX($K$272:$K$977,MATCH(C146,$B$272:$B$977,0))&lt;&gt;0,
INDEX($K$272:$K$977,MATCH(C146,$B$272:$B$977,0)),
INDEX($L$272:$L$977,MATCH(C146,$B$272:$B$977,0))
),
0)</f>
        <v/>
      </c>
      <c r="F146" s="1" t="inlineStr">
        <is>
          <t>Atún Trozos</t>
        </is>
      </c>
      <c r="G146" s="52" t="n">
        <v>0.18</v>
      </c>
      <c r="H146" s="81" t="inlineStr">
        <is>
          <t>Kg</t>
        </is>
      </c>
      <c r="I146" s="79" t="n"/>
      <c r="J146" s="78" t="n"/>
      <c r="K146" s="79" t="n"/>
      <c r="L146" s="80" t="n"/>
      <c r="M146" s="80" t="n"/>
      <c r="N146" s="80" t="n"/>
      <c r="O146" s="20" t="n"/>
      <c r="P146" s="4" t="n"/>
      <c r="Q146" s="4" t="n"/>
    </row>
    <row r="147" ht="15" customHeight="1" s="95">
      <c r="B147" s="4" t="n"/>
      <c r="C147" s="96" t="inlineStr">
        <is>
          <t>VECARAUB002</t>
        </is>
      </c>
      <c r="D147" s="18" t="inlineStr">
        <is>
          <t>Tartar Atún Palta  PY</t>
        </is>
      </c>
      <c r="E147" s="207">
        <f>IFERROR(
IF(
INDEX($K$272:$K$977,MATCH(C147,$B$272:$B$977,0))&lt;&gt;0,
INDEX($K$272:$K$977,MATCH(C147,$B$272:$B$977,0)),
INDEX($L$272:$L$977,MATCH(C147,$B$272:$B$977,0))
),
0)</f>
        <v/>
      </c>
      <c r="F147" s="1" t="inlineStr">
        <is>
          <t>Atún Trozos</t>
        </is>
      </c>
      <c r="G147" s="52" t="n">
        <v>0.18</v>
      </c>
      <c r="H147" s="81" t="inlineStr">
        <is>
          <t>Kg</t>
        </is>
      </c>
      <c r="I147" s="79" t="n"/>
      <c r="J147" s="78" t="n"/>
      <c r="K147" s="79" t="n"/>
      <c r="L147" s="80" t="n"/>
      <c r="M147" s="80" t="n"/>
      <c r="N147" s="80" t="n"/>
      <c r="O147" s="20" t="n"/>
      <c r="P147" s="4" t="n"/>
      <c r="Q147" s="4" t="n"/>
    </row>
    <row r="148" ht="15" customHeight="1" s="95">
      <c r="B148" s="4" t="n"/>
      <c r="C148" s="96" t="inlineStr">
        <is>
          <t>VECARAUB012</t>
        </is>
      </c>
      <c r="D148" s="18" t="inlineStr">
        <is>
          <t>Tártaro Filete PY</t>
        </is>
      </c>
      <c r="E148" s="207">
        <f>IFERROR(
IF(
INDEX($K$272:$K$977,MATCH(C148,$B$272:$B$977,0))&lt;&gt;0,
INDEX($K$272:$K$977,MATCH(C148,$B$272:$B$977,0)),
INDEX($L$272:$L$977,MATCH(C148,$B$272:$B$977,0))
),
0)</f>
        <v/>
      </c>
      <c r="F148" s="18" t="inlineStr">
        <is>
          <t>Filete para crudo</t>
        </is>
      </c>
      <c r="G148" s="52" t="n">
        <v>0.17</v>
      </c>
      <c r="H148" s="81" t="inlineStr">
        <is>
          <t>Kg</t>
        </is>
      </c>
      <c r="I148" s="79" t="n"/>
      <c r="J148" s="78" t="n"/>
      <c r="K148" s="79" t="n"/>
      <c r="L148" s="80" t="n"/>
      <c r="M148" s="80" t="n"/>
      <c r="N148" s="80" t="n"/>
      <c r="O148" s="20" t="n"/>
      <c r="P148" s="4" t="n"/>
      <c r="Q148" s="4" t="n"/>
    </row>
    <row r="149" ht="15" customHeight="1" s="95">
      <c r="B149" s="4" t="n"/>
      <c r="C149" s="96" t="inlineStr">
        <is>
          <t>VECARAJT012</t>
        </is>
      </c>
      <c r="D149" s="18" t="inlineStr">
        <is>
          <t>Tartaro Filete JT</t>
        </is>
      </c>
      <c r="E149" s="207">
        <f>IFERROR(
IF(
INDEX($K$272:$K$977,MATCH(C149,$B$272:$B$977,0))&lt;&gt;0,
INDEX($K$272:$K$977,MATCH(C149,$B$272:$B$977,0)),
INDEX($L$272:$L$977,MATCH(C149,$B$272:$B$977,0))
),
0)</f>
        <v/>
      </c>
      <c r="F149" s="18" t="inlineStr">
        <is>
          <t>Filete para crudo</t>
        </is>
      </c>
      <c r="G149" s="52" t="n">
        <v>0.17</v>
      </c>
      <c r="H149" s="81" t="inlineStr">
        <is>
          <t>Kg</t>
        </is>
      </c>
      <c r="I149" s="79" t="n"/>
      <c r="J149" s="78" t="n"/>
      <c r="K149" s="79" t="n"/>
      <c r="L149" s="80" t="n"/>
      <c r="M149" s="80" t="n"/>
      <c r="N149" s="80" t="n"/>
      <c r="O149" s="20" t="n"/>
      <c r="P149" s="4" t="n"/>
      <c r="Q149" s="4" t="n"/>
    </row>
    <row r="150" ht="15" customHeight="1" s="95">
      <c r="B150" s="4" t="n"/>
      <c r="C150" s="96" t="inlineStr">
        <is>
          <t>VECARENT027</t>
        </is>
      </c>
      <c r="D150" s="18" t="inlineStr">
        <is>
          <t>Tártaro Res</t>
        </is>
      </c>
      <c r="E150" s="207">
        <f>IFERROR(
IF(
INDEX($K$272:$K$977,MATCH(C150,$B$272:$B$977,0))&lt;&gt;0,
INDEX($K$272:$K$977,MATCH(C150,$B$272:$B$977,0)),
INDEX($L$272:$L$977,MATCH(C150,$B$272:$B$977,0))
),
0)</f>
        <v/>
      </c>
      <c r="F150" s="18" t="inlineStr">
        <is>
          <t>Filete para crudo</t>
        </is>
      </c>
      <c r="G150" s="52" t="n">
        <v>0.17</v>
      </c>
      <c r="H150" s="81" t="inlineStr">
        <is>
          <t>Kg</t>
        </is>
      </c>
      <c r="I150" s="79" t="n"/>
      <c r="J150" s="78" t="n"/>
      <c r="K150" s="79" t="n"/>
      <c r="L150" s="80" t="n"/>
      <c r="M150" s="80" t="n"/>
      <c r="N150" s="80" t="n"/>
      <c r="O150" s="20" t="n"/>
      <c r="P150" s="4" t="n"/>
      <c r="Q150" s="4" t="n"/>
    </row>
    <row r="151" ht="15" customHeight="1" s="95">
      <c r="B151" s="4" t="n"/>
      <c r="C151" s="96" t="inlineStr">
        <is>
          <t>VECARENT041</t>
        </is>
      </c>
      <c r="D151" s="18" t="inlineStr">
        <is>
          <t>Tiradito de Locos</t>
        </is>
      </c>
      <c r="E151" s="207">
        <f>IFERROR(
IF(
INDEX($K$272:$K$977,MATCH(C151,$B$272:$B$977,0))&lt;&gt;0,
INDEX($K$272:$K$977,MATCH(C151,$B$272:$B$977,0)),
INDEX($L$272:$L$977,MATCH(C151,$B$272:$B$977,0))
),
0)</f>
        <v/>
      </c>
      <c r="F151" s="18" t="inlineStr">
        <is>
          <t>Locos</t>
        </is>
      </c>
      <c r="G151" s="52" t="n">
        <v>0.09</v>
      </c>
      <c r="H151" s="81" t="inlineStr">
        <is>
          <t>Kg</t>
        </is>
      </c>
      <c r="I151" s="79" t="n"/>
      <c r="J151" s="78" t="n"/>
      <c r="K151" s="79" t="n"/>
      <c r="L151" s="80" t="n"/>
      <c r="M151" s="80" t="n"/>
      <c r="N151" s="80" t="n"/>
      <c r="O151" s="20" t="n"/>
      <c r="P151" s="4" t="n"/>
      <c r="Q151" s="4" t="n"/>
    </row>
    <row r="152" ht="15" customHeight="1" s="95">
      <c r="B152" s="4" t="n"/>
      <c r="C152" s="97" t="inlineStr">
        <is>
          <t>VECARENT036</t>
        </is>
      </c>
      <c r="D152" s="18" t="inlineStr">
        <is>
          <t>Tiradito Salmón</t>
        </is>
      </c>
      <c r="E152" s="207">
        <f>IFERROR(
IF(
INDEX($K$272:$K$977,MATCH(C152,$B$272:$B$977,0))&lt;&gt;0,
INDEX($K$272:$K$977,MATCH(C152,$B$272:$B$977,0)),
INDEX($L$272:$L$977,MATCH(C152,$B$272:$B$977,0))
),
0)</f>
        <v/>
      </c>
      <c r="F152" s="1" t="inlineStr">
        <is>
          <t>Salmón fresco premium</t>
        </is>
      </c>
      <c r="G152" s="52" t="n">
        <v>0.09</v>
      </c>
      <c r="H152" s="81" t="inlineStr">
        <is>
          <t>Kg</t>
        </is>
      </c>
      <c r="I152" s="79" t="n"/>
      <c r="J152" s="78" t="n"/>
      <c r="K152" s="79" t="n"/>
      <c r="L152" s="80" t="n"/>
      <c r="M152" s="80" t="n"/>
      <c r="N152" s="80" t="n"/>
      <c r="O152" s="20" t="n"/>
      <c r="P152" s="4" t="n"/>
      <c r="Q152" s="4" t="n"/>
    </row>
    <row r="153" ht="15" customHeight="1" s="95" thickBot="1">
      <c r="B153" s="4" t="n"/>
      <c r="C153" s="82" t="inlineStr">
        <is>
          <t>VECARPOS011</t>
        </is>
      </c>
      <c r="D153" s="83" t="inlineStr">
        <is>
          <t>Volcán de Chocolate</t>
        </is>
      </c>
      <c r="E153" s="208">
        <f>IFERROR(
IF(
INDEX($K$272:$K$977,MATCH(C153,$B$272:$B$977,0))&lt;&gt;0,
INDEX($K$272:$K$977,MATCH(C153,$B$272:$B$977,0)),
INDEX($L$272:$L$977,MATCH(C153,$B$272:$B$977,0))
),
0)</f>
        <v/>
      </c>
      <c r="F153" s="31" t="inlineStr">
        <is>
          <t>Volcán de Chocolate</t>
        </is>
      </c>
      <c r="G153" s="84" t="n">
        <v>1</v>
      </c>
      <c r="H153" s="85" t="inlineStr">
        <is>
          <t>Kg</t>
        </is>
      </c>
      <c r="I153" s="79" t="n"/>
      <c r="J153" s="78" t="n"/>
      <c r="K153" s="79" t="n"/>
      <c r="L153" s="80" t="n"/>
      <c r="M153" s="80" t="n"/>
      <c r="N153" s="80" t="n"/>
      <c r="O153" s="20" t="n"/>
      <c r="P153" s="4" t="n"/>
      <c r="Q153" s="4" t="n"/>
    </row>
    <row r="154" ht="15.75" customHeight="1" s="95"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20" t="n"/>
      <c r="M154" s="20" t="n"/>
      <c r="N154" s="20" t="n"/>
      <c r="O154" s="20" t="n"/>
      <c r="P154" s="4" t="n"/>
      <c r="Q154" s="4" t="n"/>
    </row>
    <row r="155"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5" t="n"/>
      <c r="M155" s="5" t="n"/>
      <c r="N155" s="5" t="n"/>
      <c r="O155" s="5" t="n"/>
      <c r="P155" s="5" t="n"/>
      <c r="Q155" s="5" t="n"/>
      <c r="R155" s="209" t="n"/>
    </row>
    <row r="156" ht="13.5" customHeight="1" s="95" thickBot="1"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209" t="n"/>
    </row>
    <row r="157" ht="15.75" customHeight="1" s="95">
      <c r="B157" s="134" t="inlineStr">
        <is>
          <t>GRAMAJE</t>
        </is>
      </c>
      <c r="C157" s="309" t="inlineStr">
        <is>
          <t>MEDIDA</t>
        </is>
      </c>
      <c r="D157" s="309" t="inlineStr">
        <is>
          <t>PRODUCTOS</t>
        </is>
      </c>
      <c r="E157" s="144" t="inlineStr">
        <is>
          <t>STOCK INFORMADO</t>
        </is>
      </c>
      <c r="F157" s="310" t="inlineStr">
        <is>
          <t>* MERMAS EN KILOGRAMOS</t>
        </is>
      </c>
      <c r="G157" s="308" t="n"/>
      <c r="H157" s="308" t="n"/>
      <c r="I157" s="308" t="n"/>
      <c r="J157" s="311" t="n"/>
      <c r="K157" s="28" t="n"/>
      <c r="L157" s="65" t="n"/>
      <c r="M157" s="148" t="n"/>
      <c r="R157" s="209" t="n"/>
    </row>
    <row r="158" ht="26.25" customHeight="1" s="95" thickBot="1">
      <c r="B158" s="312" t="n"/>
      <c r="C158" s="313" t="n"/>
      <c r="D158" s="313" t="n"/>
      <c r="E158" s="314" t="n"/>
      <c r="F158" s="185" t="inlineStr">
        <is>
          <t>PRODUCCIÓN</t>
        </is>
      </c>
      <c r="G158" s="185" t="inlineStr">
        <is>
          <t>DEFECTUOSOS</t>
        </is>
      </c>
      <c r="H158" s="185" t="inlineStr">
        <is>
          <t>CLIENTES</t>
        </is>
      </c>
      <c r="I158" s="185" t="inlineStr">
        <is>
          <t>CORTESÍA</t>
        </is>
      </c>
      <c r="J158" s="76" t="inlineStr">
        <is>
          <t>REUTILIZAR</t>
        </is>
      </c>
      <c r="K158" s="28" t="n"/>
      <c r="L158" s="65" t="n"/>
      <c r="M158" s="148" t="n"/>
      <c r="N158" s="148" t="n"/>
      <c r="O158" s="148" t="n"/>
      <c r="P158" s="148" t="n"/>
      <c r="R158" s="209" t="n"/>
    </row>
    <row r="159" ht="13.5" customHeight="1" s="95" thickBot="1">
      <c r="B159" s="187" t="n">
        <v>0.18</v>
      </c>
      <c r="C159" s="188" t="inlineStr">
        <is>
          <t>Kg</t>
        </is>
      </c>
      <c r="D159" s="189" t="inlineStr">
        <is>
          <t>Atún apanado</t>
        </is>
      </c>
      <c r="E159" s="190" t="n"/>
      <c r="F159" s="190" t="n"/>
      <c r="G159" s="190" t="n"/>
      <c r="H159" s="190" t="n"/>
      <c r="I159" s="191" t="n"/>
      <c r="J159" s="246" t="n"/>
      <c r="K159" s="28" t="n"/>
      <c r="L159" s="65" t="n"/>
      <c r="M159" s="210" t="n"/>
      <c r="N159" s="6" t="n"/>
      <c r="O159" s="6" t="n"/>
      <c r="P159" s="210" t="n"/>
      <c r="R159" s="209" t="n"/>
    </row>
    <row r="160">
      <c r="B160" s="68" t="n">
        <v>0.25</v>
      </c>
      <c r="C160" s="23" t="inlineStr">
        <is>
          <t>Kg</t>
        </is>
      </c>
      <c r="D160" s="25" t="inlineStr">
        <is>
          <t>Atún Trozos</t>
        </is>
      </c>
      <c r="E160" s="26" t="n"/>
      <c r="F160" s="26" t="n"/>
      <c r="G160" s="26" t="n"/>
      <c r="H160" s="26" t="n"/>
      <c r="I160" s="67" t="n"/>
      <c r="J160" s="210" t="n"/>
      <c r="K160" s="28" t="n"/>
      <c r="L160" s="65" t="n"/>
      <c r="M160" s="210" t="n"/>
      <c r="N160" s="210" t="n"/>
      <c r="O160" s="210" t="n"/>
      <c r="P160" s="210" t="n"/>
      <c r="R160" s="209" t="n"/>
    </row>
    <row r="161">
      <c r="B161" s="68" t="n">
        <v>1</v>
      </c>
      <c r="C161" s="23" t="inlineStr">
        <is>
          <t>Kg</t>
        </is>
      </c>
      <c r="D161" s="25" t="inlineStr">
        <is>
          <t>Almejas Julianas</t>
        </is>
      </c>
      <c r="E161" s="26" t="n"/>
      <c r="F161" s="26" t="n"/>
      <c r="G161" s="26" t="n"/>
      <c r="H161" s="26" t="n"/>
      <c r="I161" s="67" t="n"/>
      <c r="J161" s="210" t="n"/>
      <c r="K161" s="28" t="n"/>
      <c r="L161" s="65" t="n"/>
      <c r="M161" s="210" t="n"/>
      <c r="N161" s="210" t="n"/>
      <c r="O161" s="210" t="n"/>
      <c r="P161" s="210" t="n"/>
      <c r="Q161" s="210" t="n"/>
      <c r="R161" s="209" t="n"/>
    </row>
    <row r="162">
      <c r="B162" s="68" t="n">
        <v>0.12</v>
      </c>
      <c r="C162" s="23" t="inlineStr">
        <is>
          <t>Kg</t>
        </is>
      </c>
      <c r="D162" s="25" t="inlineStr">
        <is>
          <t>Carpaccio de res</t>
        </is>
      </c>
      <c r="E162" s="26" t="n"/>
      <c r="F162" s="26" t="n"/>
      <c r="G162" s="26" t="n"/>
      <c r="H162" s="26" t="n"/>
      <c r="I162" s="67" t="n"/>
      <c r="J162" s="210" t="n"/>
      <c r="K162" s="28" t="n"/>
      <c r="L162" s="65" t="n"/>
      <c r="M162" s="43" t="n"/>
      <c r="N162" s="43" t="n"/>
      <c r="O162" s="43" t="n"/>
      <c r="P162" s="43" t="n"/>
      <c r="Q162" s="43" t="n"/>
      <c r="R162" s="209" t="n"/>
    </row>
    <row r="163">
      <c r="B163" s="68" t="n">
        <v>0.1</v>
      </c>
      <c r="C163" s="23" t="inlineStr">
        <is>
          <t>Kg</t>
        </is>
      </c>
      <c r="D163" s="27" t="inlineStr">
        <is>
          <t>Ceviche de Reineta</t>
        </is>
      </c>
      <c r="E163" s="26" t="n"/>
      <c r="F163" s="26" t="n"/>
      <c r="G163" s="26" t="n"/>
      <c r="H163" s="26" t="n"/>
      <c r="I163" s="67" t="n"/>
      <c r="J163" s="210" t="n"/>
      <c r="K163" s="28" t="n"/>
      <c r="L163" s="65" t="n"/>
      <c r="M163" s="65" t="n"/>
      <c r="N163" s="65" t="n"/>
      <c r="O163" s="65" t="n"/>
      <c r="P163" s="65" t="n"/>
      <c r="Q163" s="65" t="n"/>
      <c r="R163" s="209" t="n"/>
    </row>
    <row r="164">
      <c r="B164" s="68" t="n">
        <v>0.15</v>
      </c>
      <c r="C164" s="23" t="inlineStr">
        <is>
          <t>Kg</t>
        </is>
      </c>
      <c r="D164" s="27" t="inlineStr">
        <is>
          <t>Congrio</t>
        </is>
      </c>
      <c r="E164" s="26" t="n"/>
      <c r="F164" s="26" t="n"/>
      <c r="G164" s="26" t="n"/>
      <c r="H164" s="26" t="n"/>
      <c r="I164" s="67" t="n"/>
      <c r="J164" s="210" t="n"/>
      <c r="K164" s="28" t="n"/>
      <c r="L164" s="65" t="n"/>
      <c r="M164" s="65" t="n"/>
      <c r="N164" s="65" t="n"/>
      <c r="O164" s="65" t="n"/>
      <c r="P164" s="65" t="n"/>
      <c r="Q164" s="65" t="n"/>
      <c r="R164" s="209" t="n"/>
    </row>
    <row r="165">
      <c r="B165" s="68" t="n">
        <v>1</v>
      </c>
      <c r="C165" s="23" t="inlineStr">
        <is>
          <t>Porción</t>
        </is>
      </c>
      <c r="D165" s="27" t="inlineStr">
        <is>
          <t>Chupe de Salmón</t>
        </is>
      </c>
      <c r="E165" s="26" t="n"/>
      <c r="F165" s="26" t="n"/>
      <c r="G165" s="26" t="n"/>
      <c r="H165" s="26" t="n"/>
      <c r="I165" s="67" t="n"/>
      <c r="J165" s="210" t="n"/>
      <c r="K165" s="28" t="n"/>
      <c r="L165" s="28" t="n"/>
      <c r="M165" s="28" t="n"/>
      <c r="N165" s="28" t="n"/>
      <c r="O165" s="28" t="n"/>
      <c r="P165" s="28" t="n"/>
      <c r="Q165" s="28" t="n"/>
    </row>
    <row r="166">
      <c r="B166" s="68" t="n">
        <v>1</v>
      </c>
      <c r="C166" s="23" t="inlineStr">
        <is>
          <t>Kg</t>
        </is>
      </c>
      <c r="D166" s="27" t="inlineStr">
        <is>
          <t>Despunte de pulpo</t>
        </is>
      </c>
      <c r="E166" s="26" t="n"/>
      <c r="F166" s="26" t="n"/>
      <c r="G166" s="26" t="n"/>
      <c r="H166" s="26" t="n"/>
      <c r="I166" s="67" t="n"/>
      <c r="J166" s="210" t="n"/>
      <c r="K166" s="28" t="n"/>
      <c r="L166" s="28" t="n"/>
      <c r="M166" s="28" t="n"/>
      <c r="N166" s="28" t="n"/>
      <c r="O166" s="28" t="n"/>
      <c r="P166" s="28" t="n"/>
      <c r="Q166" s="28" t="n"/>
    </row>
    <row r="167">
      <c r="B167" s="68" t="n">
        <v>1</v>
      </c>
      <c r="C167" s="23" t="inlineStr">
        <is>
          <t>Kg</t>
        </is>
      </c>
      <c r="D167" s="27" t="inlineStr">
        <is>
          <t>Filete despunte</t>
        </is>
      </c>
      <c r="E167" s="26" t="n"/>
      <c r="F167" s="26" t="n"/>
      <c r="G167" s="26" t="n"/>
      <c r="H167" s="26" t="n"/>
      <c r="I167" s="67" t="n"/>
      <c r="J167" s="210" t="n"/>
      <c r="K167" s="28" t="n"/>
      <c r="L167" s="28" t="n"/>
      <c r="M167" s="28" t="n"/>
      <c r="N167" s="28" t="n"/>
      <c r="O167" s="28" t="n"/>
      <c r="P167" s="28" t="n"/>
      <c r="Q167" s="28" t="n"/>
    </row>
    <row r="168">
      <c r="B168" s="68" t="n">
        <v>0.12</v>
      </c>
      <c r="C168" s="23" t="inlineStr">
        <is>
          <t>Kg</t>
        </is>
      </c>
      <c r="D168" s="27" t="inlineStr">
        <is>
          <t>Filete para churrasco</t>
        </is>
      </c>
      <c r="E168" s="26" t="n"/>
      <c r="F168" s="26" t="n"/>
      <c r="G168" s="26" t="n"/>
      <c r="H168" s="26" t="n"/>
      <c r="I168" s="67" t="n"/>
      <c r="J168" s="210" t="n"/>
      <c r="K168" s="28" t="n"/>
      <c r="L168" s="28" t="n"/>
      <c r="M168" s="28" t="n"/>
      <c r="N168" s="28" t="n"/>
      <c r="O168" s="28" t="n"/>
      <c r="P168" s="28" t="n"/>
      <c r="Q168" s="28" t="n"/>
    </row>
    <row r="169">
      <c r="B169" s="68" t="n">
        <v>0.48</v>
      </c>
      <c r="C169" s="23" t="inlineStr">
        <is>
          <t>Kg</t>
        </is>
      </c>
      <c r="D169" s="70" t="inlineStr">
        <is>
          <t>Filete para crudo</t>
        </is>
      </c>
      <c r="E169" s="26" t="n"/>
      <c r="F169" s="26" t="n"/>
      <c r="G169" s="26" t="n"/>
      <c r="H169" s="26" t="n"/>
      <c r="I169" s="67" t="n"/>
      <c r="J169" s="210" t="n"/>
      <c r="K169" s="28" t="n"/>
      <c r="L169" s="28" t="n"/>
      <c r="M169" s="28" t="n"/>
      <c r="N169" s="28" t="n"/>
      <c r="O169" s="28" t="n"/>
      <c r="P169" s="28" t="n"/>
      <c r="Q169" s="28" t="n"/>
    </row>
    <row r="170">
      <c r="B170" s="68" t="n">
        <v>0.16</v>
      </c>
      <c r="C170" s="23" t="inlineStr">
        <is>
          <t>Kg</t>
        </is>
      </c>
      <c r="D170" s="25" t="inlineStr">
        <is>
          <t>Filete salteado</t>
        </is>
      </c>
      <c r="E170" s="26" t="n"/>
      <c r="F170" s="26" t="n"/>
      <c r="G170" s="26" t="n"/>
      <c r="H170" s="26" t="n"/>
      <c r="I170" s="67" t="n"/>
      <c r="J170" s="210" t="n"/>
      <c r="K170" s="28" t="n"/>
      <c r="L170" s="28" t="n"/>
      <c r="M170" s="28" t="n"/>
      <c r="N170" s="28" t="n"/>
      <c r="O170" s="28" t="n"/>
      <c r="P170" s="28" t="n"/>
      <c r="Q170" s="28" t="n"/>
    </row>
    <row r="171">
      <c r="B171" s="68" t="n">
        <v>0.12</v>
      </c>
      <c r="C171" s="23" t="inlineStr">
        <is>
          <t>Kg</t>
        </is>
      </c>
      <c r="D171" s="25" t="inlineStr">
        <is>
          <t>Ganso</t>
        </is>
      </c>
      <c r="E171" s="26" t="n"/>
      <c r="F171" s="26" t="n"/>
      <c r="G171" s="26" t="n"/>
      <c r="H171" s="26" t="n"/>
      <c r="I171" s="67" t="n"/>
      <c r="J171" s="210" t="n"/>
      <c r="K171" s="28" t="n"/>
      <c r="L171" s="28" t="n"/>
      <c r="M171" s="28" t="n"/>
      <c r="N171" s="28" t="n"/>
      <c r="O171" s="28" t="n"/>
      <c r="P171" s="28" t="n"/>
      <c r="Q171" s="28" t="n"/>
    </row>
    <row r="172">
      <c r="B172" s="68" t="n">
        <v>0.2</v>
      </c>
      <c r="C172" s="23" t="inlineStr">
        <is>
          <t>Kg</t>
        </is>
      </c>
      <c r="D172" s="25" t="inlineStr">
        <is>
          <t>Hamburguesas</t>
        </is>
      </c>
      <c r="E172" s="26" t="n"/>
      <c r="F172" s="26" t="n"/>
      <c r="G172" s="26" t="n"/>
      <c r="H172" s="26" t="n"/>
      <c r="I172" s="67" t="n"/>
      <c r="J172" s="210" t="n"/>
      <c r="K172" s="28" t="n"/>
      <c r="L172" s="28" t="n"/>
      <c r="M172" s="28" t="n"/>
      <c r="N172" s="28" t="n"/>
      <c r="O172" s="28" t="n"/>
      <c r="P172" s="28" t="n"/>
      <c r="Q172" s="28" t="n"/>
    </row>
    <row r="173">
      <c r="B173" s="68" t="n">
        <v>1</v>
      </c>
      <c r="C173" s="23" t="inlineStr">
        <is>
          <t>Kg</t>
        </is>
      </c>
      <c r="D173" s="70" t="inlineStr">
        <is>
          <t>Langostinos</t>
        </is>
      </c>
      <c r="E173" s="26" t="n"/>
      <c r="F173" s="26" t="n"/>
      <c r="G173" s="26" t="n"/>
      <c r="H173" s="26" t="n"/>
      <c r="I173" s="67" t="n"/>
      <c r="J173" s="210" t="n"/>
      <c r="K173" s="28" t="n"/>
      <c r="L173" s="28" t="n"/>
      <c r="M173" s="28" t="n"/>
      <c r="N173" s="28" t="n"/>
      <c r="O173" s="28" t="n"/>
      <c r="P173" s="28" t="n"/>
      <c r="Q173" s="28" t="n"/>
    </row>
    <row r="174">
      <c r="B174" s="68" t="n">
        <v>1</v>
      </c>
      <c r="C174" s="23" t="inlineStr">
        <is>
          <t>Kg</t>
        </is>
      </c>
      <c r="D174" s="25" t="inlineStr">
        <is>
          <t>Jamón serrano</t>
        </is>
      </c>
      <c r="E174" s="26" t="n"/>
      <c r="F174" s="26" t="n"/>
      <c r="G174" s="26" t="n"/>
      <c r="H174" s="26" t="n"/>
      <c r="I174" s="67" t="n"/>
      <c r="J174" s="210" t="n"/>
      <c r="K174" s="28" t="n"/>
      <c r="L174" s="28" t="n"/>
      <c r="M174" s="4" t="n"/>
      <c r="N174" s="4" t="n"/>
      <c r="O174" s="28" t="n"/>
      <c r="P174" s="28" t="n"/>
      <c r="Q174" s="28" t="n"/>
    </row>
    <row r="175">
      <c r="B175" s="68" t="n">
        <v>1</v>
      </c>
      <c r="C175" s="23" t="inlineStr">
        <is>
          <t>Porción</t>
        </is>
      </c>
      <c r="D175" s="25" t="inlineStr">
        <is>
          <t>Lasagna Berenjenas</t>
        </is>
      </c>
      <c r="E175" s="186" t="n"/>
      <c r="F175" s="26" t="n"/>
      <c r="G175" s="26" t="n"/>
      <c r="H175" s="26" t="n"/>
      <c r="I175" s="67" t="n"/>
      <c r="J175" s="210" t="n"/>
      <c r="K175" s="28" t="n"/>
      <c r="L175" s="28" t="n"/>
      <c r="M175" s="28" t="n"/>
      <c r="N175" s="28" t="n"/>
      <c r="O175" s="28" t="n"/>
      <c r="P175" s="28" t="n"/>
      <c r="Q175" s="28" t="n"/>
    </row>
    <row r="176">
      <c r="B176" s="68" t="n">
        <v>0.18</v>
      </c>
      <c r="C176" s="23" t="inlineStr">
        <is>
          <t>Kg</t>
        </is>
      </c>
      <c r="D176" s="25" t="inlineStr">
        <is>
          <t>Lomo liso</t>
        </is>
      </c>
      <c r="E176" s="26" t="n"/>
      <c r="F176" s="26" t="n"/>
      <c r="G176" s="26" t="n"/>
      <c r="H176" s="26" t="n"/>
      <c r="I176" s="67" t="n"/>
      <c r="J176" s="210" t="n"/>
      <c r="K176" s="28" t="n"/>
      <c r="L176" s="28" t="n"/>
      <c r="M176" s="28" t="n"/>
      <c r="N176" s="28" t="n"/>
      <c r="O176" s="28" t="n"/>
      <c r="P176" s="28" t="n"/>
      <c r="Q176" s="28" t="n"/>
    </row>
    <row r="177">
      <c r="B177" s="68" t="n">
        <v>0.09</v>
      </c>
      <c r="C177" s="23" t="inlineStr">
        <is>
          <t>Kg</t>
        </is>
      </c>
      <c r="D177" s="25" t="inlineStr">
        <is>
          <t>Locos</t>
        </is>
      </c>
      <c r="E177" s="26" t="n"/>
      <c r="F177" s="26" t="n"/>
      <c r="G177" s="26" t="n"/>
      <c r="H177" s="26" t="n"/>
      <c r="I177" s="67" t="n"/>
      <c r="J177" s="210" t="n"/>
      <c r="K177" s="28" t="n"/>
      <c r="L177" s="28" t="n"/>
      <c r="M177" s="28" t="n"/>
      <c r="N177" s="28" t="n"/>
      <c r="O177" s="28" t="n"/>
      <c r="P177" s="28" t="n"/>
      <c r="Q177" s="28" t="n"/>
    </row>
    <row r="178">
      <c r="B178" s="68" t="n">
        <v>1</v>
      </c>
      <c r="C178" s="23" t="inlineStr">
        <is>
          <t>Kg</t>
        </is>
      </c>
      <c r="D178" s="25" t="inlineStr">
        <is>
          <t>Mejillones</t>
        </is>
      </c>
      <c r="E178" s="26" t="n"/>
      <c r="F178" s="26" t="n"/>
      <c r="G178" s="26" t="n"/>
      <c r="H178" s="26" t="n"/>
      <c r="I178" s="67" t="n"/>
      <c r="J178" s="210" t="n"/>
      <c r="K178" s="28" t="n"/>
      <c r="L178" s="28" t="n"/>
      <c r="M178" s="28" t="n"/>
      <c r="N178" s="28" t="n"/>
      <c r="O178" s="28" t="n"/>
      <c r="P178" s="28" t="n"/>
      <c r="Q178" s="28" t="n"/>
    </row>
    <row r="179">
      <c r="B179" s="68" t="n">
        <v>0.18</v>
      </c>
      <c r="C179" s="23" t="inlineStr">
        <is>
          <t>Kg</t>
        </is>
      </c>
      <c r="D179" s="25" t="inlineStr">
        <is>
          <t>Merluza</t>
        </is>
      </c>
      <c r="E179" s="26" t="n"/>
      <c r="F179" s="26" t="n"/>
      <c r="G179" s="26" t="n"/>
      <c r="H179" s="26" t="n"/>
      <c r="I179" s="67" t="n"/>
      <c r="J179" s="210" t="n"/>
      <c r="K179" s="28" t="n"/>
      <c r="L179" s="28" t="n"/>
      <c r="M179" s="28" t="n"/>
      <c r="N179" s="28" t="n"/>
      <c r="O179" s="28" t="n"/>
      <c r="P179" s="28" t="n"/>
      <c r="Q179" s="28" t="n"/>
    </row>
    <row r="180">
      <c r="B180" s="68" t="n">
        <v>0.12</v>
      </c>
      <c r="C180" s="23" t="inlineStr">
        <is>
          <t>Kg</t>
        </is>
      </c>
      <c r="D180" s="25" t="inlineStr">
        <is>
          <t>Paila de Carne</t>
        </is>
      </c>
      <c r="E180" s="26" t="n"/>
      <c r="F180" s="26" t="n"/>
      <c r="G180" s="26" t="n"/>
      <c r="H180" s="26" t="n"/>
      <c r="I180" s="67" t="n"/>
      <c r="J180" s="210" t="n"/>
      <c r="K180" s="28" t="n"/>
      <c r="L180" s="28" t="n"/>
      <c r="M180" s="28" t="n"/>
      <c r="N180" s="28" t="n"/>
      <c r="O180" s="28" t="n"/>
      <c r="P180" s="28" t="n"/>
      <c r="Q180" s="28" t="n"/>
    </row>
    <row r="181">
      <c r="B181" s="68" t="n">
        <v>0.18</v>
      </c>
      <c r="C181" s="23" t="inlineStr">
        <is>
          <t>Kg</t>
        </is>
      </c>
      <c r="D181" s="25" t="inlineStr">
        <is>
          <t>Plateada</t>
        </is>
      </c>
      <c r="E181" s="26" t="n"/>
      <c r="F181" s="26" t="n"/>
      <c r="G181" s="26" t="n"/>
      <c r="H181" s="26" t="n"/>
      <c r="I181" s="67" t="n"/>
      <c r="J181" s="210" t="n"/>
      <c r="K181" s="28" t="n"/>
      <c r="L181" s="28" t="n"/>
      <c r="M181" s="28" t="n"/>
      <c r="N181" s="28" t="n"/>
      <c r="O181" s="28" t="n"/>
      <c r="P181" s="28" t="n"/>
      <c r="Q181" s="28" t="n"/>
    </row>
    <row r="182">
      <c r="B182" s="68" t="n">
        <v>0.145</v>
      </c>
      <c r="C182" s="23" t="inlineStr">
        <is>
          <t>kg</t>
        </is>
      </c>
      <c r="D182" s="25" t="inlineStr">
        <is>
          <t>Pulpo</t>
        </is>
      </c>
      <c r="E182" s="26" t="n"/>
      <c r="F182" s="26" t="n"/>
      <c r="G182" s="26" t="n"/>
      <c r="H182" s="26" t="n"/>
      <c r="I182" s="67" t="n"/>
      <c r="J182" s="210" t="n"/>
      <c r="K182" s="28" t="n"/>
      <c r="L182" s="28" t="n"/>
      <c r="M182" s="4" t="n"/>
      <c r="N182" s="4" t="n"/>
      <c r="O182" s="28" t="n"/>
      <c r="P182" s="28" t="n"/>
      <c r="Q182" s="28" t="n"/>
    </row>
    <row r="183">
      <c r="B183" s="168" t="n">
        <v>0.411</v>
      </c>
      <c r="C183" s="23" t="inlineStr">
        <is>
          <t>Kg</t>
        </is>
      </c>
      <c r="D183" s="25" t="inlineStr">
        <is>
          <t>Ragout Lasagna</t>
        </is>
      </c>
      <c r="E183" s="26" t="n"/>
      <c r="F183" s="26" t="n"/>
      <c r="G183" s="26" t="n"/>
      <c r="H183" s="26" t="n"/>
      <c r="I183" s="67" t="n"/>
      <c r="J183" s="210" t="n"/>
      <c r="K183" s="28" t="n"/>
      <c r="L183" s="28" t="n"/>
      <c r="M183" s="4" t="n"/>
      <c r="N183" s="4" t="n"/>
      <c r="O183" s="28" t="n"/>
      <c r="P183" s="28" t="n"/>
      <c r="Q183" s="28" t="n"/>
    </row>
    <row r="184">
      <c r="B184" s="168" t="n">
        <v>0.36</v>
      </c>
      <c r="C184" s="23" t="inlineStr">
        <is>
          <t>Kg</t>
        </is>
      </c>
      <c r="D184" s="25" t="inlineStr">
        <is>
          <t>Ragout Rigatoni</t>
        </is>
      </c>
      <c r="E184" s="26" t="n"/>
      <c r="F184" s="26" t="n"/>
      <c r="G184" s="26" t="n"/>
      <c r="H184" s="26" t="n"/>
      <c r="I184" s="67" t="n"/>
      <c r="J184" s="210" t="n"/>
      <c r="K184" s="28" t="n"/>
      <c r="L184" s="28" t="n"/>
      <c r="M184" s="4" t="n"/>
      <c r="N184" s="4" t="n"/>
      <c r="O184" s="28" t="n"/>
      <c r="P184" s="28" t="n"/>
      <c r="Q184" s="28" t="n"/>
    </row>
    <row r="185">
      <c r="B185" s="68" t="n">
        <v>1</v>
      </c>
      <c r="C185" s="23" t="inlineStr">
        <is>
          <t>Kg</t>
        </is>
      </c>
      <c r="D185" s="25" t="inlineStr">
        <is>
          <t>Salmon ahumado en frío</t>
        </is>
      </c>
      <c r="E185" s="26" t="n"/>
      <c r="F185" s="26" t="n"/>
      <c r="G185" s="26" t="n"/>
      <c r="H185" s="26" t="n"/>
      <c r="I185" s="67" t="n"/>
      <c r="J185" s="210" t="n"/>
      <c r="K185" s="28" t="n"/>
      <c r="L185" s="28" t="n"/>
      <c r="M185" s="4" t="n"/>
      <c r="N185" s="4" t="n"/>
      <c r="O185" s="28" t="n"/>
      <c r="P185" s="28" t="n"/>
      <c r="Q185" s="28" t="n"/>
    </row>
    <row r="186">
      <c r="B186" s="68" t="n">
        <v>0.12</v>
      </c>
      <c r="C186" s="23" t="inlineStr">
        <is>
          <t>Kg</t>
        </is>
      </c>
      <c r="D186" s="25" t="inlineStr">
        <is>
          <t>Salmón ahumado en caliente</t>
        </is>
      </c>
      <c r="E186" s="26" t="n"/>
      <c r="F186" s="26" t="n"/>
      <c r="G186" s="26" t="n"/>
      <c r="H186" s="26" t="n"/>
      <c r="I186" s="67" t="n"/>
      <c r="J186" s="210" t="n"/>
      <c r="K186" s="28" t="n"/>
      <c r="L186" s="28" t="n"/>
      <c r="M186" s="28" t="n"/>
      <c r="N186" s="28" t="n"/>
      <c r="O186" s="28" t="n"/>
      <c r="P186" s="28" t="n"/>
      <c r="Q186" s="28" t="n"/>
    </row>
    <row r="187">
      <c r="B187" s="68" t="n">
        <v>0.16</v>
      </c>
      <c r="C187" s="23" t="inlineStr">
        <is>
          <t>Kg</t>
        </is>
      </c>
      <c r="D187" s="25" t="inlineStr">
        <is>
          <t>Salmón cancato</t>
        </is>
      </c>
      <c r="E187" s="26" t="n"/>
      <c r="F187" s="26" t="n"/>
      <c r="G187" s="26" t="n"/>
      <c r="H187" s="26" t="n"/>
      <c r="I187" s="67" t="n"/>
      <c r="J187" s="210" t="n"/>
      <c r="K187" s="28" t="n"/>
      <c r="L187" s="28" t="n"/>
      <c r="M187" s="28" t="n"/>
      <c r="N187" s="28" t="n"/>
      <c r="O187" s="28" t="n"/>
      <c r="P187" s="28" t="n"/>
      <c r="Q187" s="28" t="n"/>
    </row>
    <row r="188">
      <c r="B188" s="68" t="n">
        <v>0.09</v>
      </c>
      <c r="C188" s="23" t="inlineStr">
        <is>
          <t>Kg</t>
        </is>
      </c>
      <c r="D188" s="25" t="inlineStr">
        <is>
          <t>Salmón fresco premium</t>
        </is>
      </c>
      <c r="E188" s="26" t="n"/>
      <c r="F188" s="26" t="n"/>
      <c r="G188" s="26" t="n"/>
      <c r="H188" s="26" t="n"/>
      <c r="I188" s="67" t="n"/>
      <c r="J188" s="210" t="n"/>
      <c r="K188" s="28" t="n"/>
      <c r="L188" s="28" t="n"/>
      <c r="M188" s="28" t="n"/>
      <c r="N188" s="28" t="n"/>
      <c r="O188" s="28" t="n"/>
      <c r="P188" s="28" t="n"/>
      <c r="Q188" s="28" t="n"/>
    </row>
    <row r="189">
      <c r="B189" s="68" t="n">
        <v>0.17</v>
      </c>
      <c r="C189" s="23" t="inlineStr">
        <is>
          <t>Kg</t>
        </is>
      </c>
      <c r="D189" s="25" t="inlineStr">
        <is>
          <t>Tartar de res</t>
        </is>
      </c>
      <c r="E189" s="26" t="n"/>
      <c r="F189" s="26" t="n"/>
      <c r="G189" s="26" t="n"/>
      <c r="H189" s="26" t="n"/>
      <c r="I189" s="67" t="n"/>
      <c r="J189" s="210" t="n"/>
      <c r="K189" s="28" t="n"/>
      <c r="L189" s="28" t="n"/>
      <c r="M189" s="28" t="n"/>
      <c r="N189" s="28" t="n"/>
      <c r="O189" s="28" t="n"/>
      <c r="P189" s="28" t="n"/>
      <c r="Q189" s="28" t="n"/>
    </row>
    <row r="190" ht="13.5" customHeight="1" s="95" thickBot="1">
      <c r="B190" s="71" t="n">
        <v>0.18</v>
      </c>
      <c r="C190" s="75" t="inlineStr">
        <is>
          <t>Kg</t>
        </is>
      </c>
      <c r="D190" s="174" t="inlineStr">
        <is>
          <t xml:space="preserve">Tártaro de atún </t>
        </is>
      </c>
      <c r="E190" s="72" t="n"/>
      <c r="F190" s="72" t="n"/>
      <c r="G190" s="72" t="n"/>
      <c r="H190" s="72" t="n"/>
      <c r="I190" s="73" t="n"/>
      <c r="J190" s="210" t="n"/>
      <c r="K190" s="28" t="n"/>
      <c r="L190" s="28" t="n"/>
      <c r="M190" s="28" t="n"/>
      <c r="N190" s="28" t="n"/>
      <c r="O190" s="28" t="n"/>
      <c r="P190" s="28" t="n"/>
      <c r="Q190" s="28" t="n"/>
    </row>
    <row r="191" ht="13.5" customHeight="1" s="95" thickBot="1">
      <c r="B191" s="210" t="n"/>
      <c r="C191" s="28" t="n"/>
      <c r="D191" s="65" t="n"/>
      <c r="E191" s="210" t="n"/>
      <c r="F191" s="210" t="n"/>
      <c r="G191" s="210" t="n"/>
      <c r="H191" s="210" t="n"/>
      <c r="I191" s="210" t="n"/>
      <c r="J191" s="210" t="n"/>
      <c r="K191" s="28" t="n"/>
      <c r="L191" s="28" t="n"/>
      <c r="M191" s="28" t="n"/>
      <c r="N191" s="28" t="n"/>
      <c r="O191" s="28" t="n"/>
      <c r="P191" s="28" t="n"/>
      <c r="Q191" s="28" t="n"/>
    </row>
    <row r="192" ht="15.75" customHeight="1" s="95">
      <c r="B192" s="169" t="inlineStr">
        <is>
          <t>UNIDADES</t>
        </is>
      </c>
      <c r="C192" s="170" t="inlineStr">
        <is>
          <t>MEDIDA</t>
        </is>
      </c>
      <c r="D192" s="170" t="inlineStr">
        <is>
          <t>PRODUCTOS</t>
        </is>
      </c>
      <c r="E192" s="171" t="n"/>
      <c r="F192" s="172" t="n"/>
      <c r="G192" s="308" t="n"/>
      <c r="H192" s="308" t="n"/>
      <c r="I192" s="300" t="n"/>
      <c r="J192" s="136" t="n"/>
      <c r="K192" s="28" t="n"/>
      <c r="L192" s="28" t="n"/>
      <c r="M192" s="28" t="n"/>
      <c r="N192" s="28" t="n"/>
      <c r="O192" s="28" t="n"/>
      <c r="P192" s="28" t="n"/>
      <c r="Q192" s="28" t="n"/>
    </row>
    <row r="193" ht="26.25" customHeight="1" s="95" thickBot="1">
      <c r="B193" s="315" t="n"/>
      <c r="C193" s="316" t="n"/>
      <c r="D193" s="316" t="n"/>
      <c r="E193" s="316" t="n"/>
      <c r="F193" s="180" t="n"/>
      <c r="G193" s="180" t="n"/>
      <c r="H193" s="180" t="n"/>
      <c r="I193" s="181" t="n"/>
      <c r="K193" s="28" t="n"/>
      <c r="L193" s="28" t="n"/>
      <c r="M193" s="28" t="n"/>
      <c r="N193" s="28" t="n"/>
      <c r="O193" s="28" t="n"/>
      <c r="P193" s="28" t="n"/>
      <c r="Q193" s="28" t="n"/>
    </row>
    <row r="194">
      <c r="B194" s="66" t="n">
        <v>1</v>
      </c>
      <c r="C194" s="74" t="inlineStr">
        <is>
          <t>Und</t>
        </is>
      </c>
      <c r="D194" s="24" t="inlineStr">
        <is>
          <t>Brownie Nutella</t>
        </is>
      </c>
      <c r="E194" s="175" t="n"/>
      <c r="F194" s="175" t="n"/>
      <c r="G194" s="175" t="n"/>
      <c r="H194" s="175" t="n"/>
      <c r="I194" s="176" t="n"/>
      <c r="J194" s="210" t="n"/>
      <c r="K194" s="28" t="n"/>
      <c r="L194" s="28" t="n"/>
      <c r="M194" s="28" t="n"/>
      <c r="N194" s="28" t="n"/>
      <c r="O194" s="28" t="n"/>
      <c r="P194" s="28" t="n"/>
      <c r="Q194" s="28" t="n"/>
    </row>
    <row r="195">
      <c r="B195" s="68" t="n">
        <v>4</v>
      </c>
      <c r="C195" s="23" t="inlineStr">
        <is>
          <t>Und</t>
        </is>
      </c>
      <c r="D195" s="25" t="inlineStr">
        <is>
          <t>Brownie Vegano</t>
        </is>
      </c>
      <c r="E195" s="26" t="n"/>
      <c r="F195" s="26" t="n"/>
      <c r="G195" s="26" t="n"/>
      <c r="H195" s="26" t="n"/>
      <c r="I195" s="67" t="n"/>
      <c r="J195" s="210" t="n"/>
      <c r="K195" s="28" t="n"/>
      <c r="L195" s="28" t="n"/>
      <c r="M195" s="28" t="n"/>
      <c r="N195" s="28" t="n"/>
      <c r="O195" s="28" t="n"/>
      <c r="P195" s="28" t="n"/>
      <c r="Q195" s="28" t="n"/>
    </row>
    <row r="196">
      <c r="B196" s="68" t="n">
        <v>1</v>
      </c>
      <c r="C196" s="23" t="inlineStr">
        <is>
          <t>Und</t>
        </is>
      </c>
      <c r="D196" s="25" t="inlineStr">
        <is>
          <t>Cheesecake de Berries</t>
        </is>
      </c>
      <c r="E196" s="26" t="n"/>
      <c r="F196" s="26" t="n"/>
      <c r="G196" s="26" t="n"/>
      <c r="H196" s="26" t="n"/>
      <c r="I196" s="67" t="n"/>
      <c r="J196" s="210" t="n"/>
      <c r="K196" s="28" t="n"/>
      <c r="L196" s="28" t="n"/>
      <c r="M196" s="28" t="n"/>
      <c r="N196" s="28" t="n"/>
      <c r="O196" s="28" t="n"/>
      <c r="P196" s="28" t="n"/>
      <c r="Q196" s="28" t="n"/>
    </row>
    <row r="197">
      <c r="B197" s="68" t="n">
        <v>1</v>
      </c>
      <c r="C197" s="23" t="inlineStr">
        <is>
          <t>Und</t>
        </is>
      </c>
      <c r="D197" s="25" t="inlineStr">
        <is>
          <t>Cheesecake de limón</t>
        </is>
      </c>
      <c r="E197" s="26" t="n"/>
      <c r="F197" s="26" t="n"/>
      <c r="G197" s="26" t="n"/>
      <c r="H197" s="26" t="n"/>
      <c r="I197" s="67" t="n"/>
      <c r="J197" s="210" t="n"/>
      <c r="K197" s="28" t="n"/>
      <c r="L197" s="28" t="n"/>
      <c r="M197" s="28" t="n"/>
      <c r="N197" s="28" t="n"/>
      <c r="O197" s="28" t="n"/>
      <c r="P197" s="28" t="n"/>
      <c r="Q197" s="28" t="n"/>
    </row>
    <row r="198">
      <c r="B198" s="68" t="n">
        <v>1</v>
      </c>
      <c r="C198" s="23" t="inlineStr">
        <is>
          <t>Kg</t>
        </is>
      </c>
      <c r="D198" s="25" t="inlineStr">
        <is>
          <t>Chocolate Blanco</t>
        </is>
      </c>
      <c r="E198" s="26" t="n"/>
      <c r="F198" s="26" t="n"/>
      <c r="G198" s="26" t="n"/>
      <c r="H198" s="26" t="n"/>
      <c r="I198" s="67" t="n"/>
      <c r="J198" s="210" t="n"/>
      <c r="K198" s="28" t="n"/>
      <c r="L198" s="28" t="n"/>
      <c r="M198" s="28" t="n"/>
      <c r="N198" s="28" t="n"/>
      <c r="O198" s="28" t="n"/>
      <c r="P198" s="28" t="n"/>
      <c r="Q198" s="28" t="n"/>
    </row>
    <row r="199">
      <c r="B199" s="68" t="n">
        <v>1</v>
      </c>
      <c r="C199" s="23" t="inlineStr">
        <is>
          <t>Kg</t>
        </is>
      </c>
      <c r="D199" s="25" t="inlineStr">
        <is>
          <t>Chocolate Leche</t>
        </is>
      </c>
      <c r="E199" s="26" t="n"/>
      <c r="F199" s="26" t="n"/>
      <c r="G199" s="26" t="n"/>
      <c r="H199" s="26" t="n"/>
      <c r="I199" s="67" t="n"/>
      <c r="J199" s="210" t="n"/>
      <c r="K199" s="28" t="n"/>
      <c r="L199" s="28" t="n"/>
      <c r="M199" s="28" t="n"/>
      <c r="N199" s="28" t="n"/>
      <c r="O199" s="28" t="n"/>
      <c r="P199" s="28" t="n"/>
      <c r="Q199" s="28" t="n"/>
    </row>
    <row r="200">
      <c r="B200" s="68" t="n">
        <v>1</v>
      </c>
      <c r="C200" s="23" t="inlineStr">
        <is>
          <t>Kg</t>
        </is>
      </c>
      <c r="D200" s="25" t="inlineStr">
        <is>
          <t>Chocolate Negro</t>
        </is>
      </c>
      <c r="E200" s="26" t="n"/>
      <c r="F200" s="26" t="n"/>
      <c r="G200" s="26" t="n"/>
      <c r="H200" s="26" t="n"/>
      <c r="I200" s="67" t="n"/>
      <c r="J200" s="210" t="n"/>
      <c r="K200" s="28" t="n"/>
      <c r="L200" s="28" t="n"/>
      <c r="M200" s="28" t="n"/>
      <c r="N200" s="28" t="n"/>
      <c r="O200" s="28" t="n"/>
      <c r="P200" s="28" t="n"/>
      <c r="Q200" s="28" t="n"/>
    </row>
    <row r="201">
      <c r="B201" s="68" t="n">
        <v>1</v>
      </c>
      <c r="C201" s="23" t="inlineStr">
        <is>
          <t>Kg</t>
        </is>
      </c>
      <c r="D201" s="25" t="inlineStr">
        <is>
          <t>Chocolate Neucober Cobertura</t>
        </is>
      </c>
      <c r="E201" s="26" t="n"/>
      <c r="F201" s="26" t="n"/>
      <c r="G201" s="26" t="n"/>
      <c r="H201" s="26" t="n"/>
      <c r="I201" s="67" t="n"/>
      <c r="J201" s="210" t="n"/>
      <c r="K201" s="28" t="n"/>
      <c r="L201" s="28" t="n"/>
      <c r="M201" s="28" t="n"/>
      <c r="N201" s="28" t="n"/>
      <c r="O201" s="28" t="n"/>
      <c r="P201" s="28" t="n"/>
      <c r="Q201" s="28" t="n"/>
    </row>
    <row r="202">
      <c r="B202" s="68" t="n">
        <v>1</v>
      </c>
      <c r="C202" s="23" t="inlineStr">
        <is>
          <t>Kg</t>
        </is>
      </c>
      <c r="D202" s="25" t="inlineStr">
        <is>
          <t>Chocolate Sicao Cobertura</t>
        </is>
      </c>
      <c r="E202" s="26" t="n"/>
      <c r="F202" s="26" t="n"/>
      <c r="G202" s="26" t="n"/>
      <c r="H202" s="26" t="n"/>
      <c r="I202" s="67" t="n"/>
      <c r="J202" s="210" t="n"/>
      <c r="K202" s="28" t="n"/>
      <c r="L202" s="28" t="n"/>
      <c r="M202" s="28" t="n"/>
      <c r="N202" s="28" t="n"/>
      <c r="O202" s="28" t="n"/>
      <c r="P202" s="28" t="n"/>
      <c r="Q202" s="28" t="n"/>
    </row>
    <row r="203">
      <c r="B203" s="68" t="n">
        <v>1</v>
      </c>
      <c r="C203" s="23" t="inlineStr">
        <is>
          <t>Und</t>
        </is>
      </c>
      <c r="D203" s="25" t="inlineStr">
        <is>
          <t>Discos de Chocolate</t>
        </is>
      </c>
      <c r="E203" s="26" t="n"/>
      <c r="F203" s="26" t="n"/>
      <c r="G203" s="26" t="n"/>
      <c r="H203" s="26" t="n"/>
      <c r="I203" s="67" t="n"/>
      <c r="J203" s="210" t="n"/>
      <c r="K203" s="28" t="n"/>
      <c r="L203" s="28" t="n"/>
      <c r="M203" s="28" t="n"/>
      <c r="N203" s="28" t="n"/>
      <c r="O203" s="28" t="n"/>
      <c r="P203" s="28" t="n"/>
      <c r="Q203" s="28" t="n"/>
    </row>
    <row r="204">
      <c r="B204" s="68" t="n">
        <v>4</v>
      </c>
      <c r="C204" s="23" t="inlineStr">
        <is>
          <t>Pax</t>
        </is>
      </c>
      <c r="D204" s="25" t="inlineStr">
        <is>
          <t>Empanada mechada</t>
        </is>
      </c>
      <c r="E204" s="26" t="n"/>
      <c r="F204" s="26" t="n"/>
      <c r="G204" s="26" t="n"/>
      <c r="H204" s="26" t="n"/>
      <c r="I204" s="67" t="n"/>
      <c r="J204" s="210" t="n"/>
      <c r="K204" s="28" t="n"/>
      <c r="L204" s="28" t="n"/>
      <c r="M204" s="28" t="n"/>
      <c r="N204" s="28" t="n"/>
      <c r="O204" s="28" t="n"/>
      <c r="P204" s="28" t="n"/>
      <c r="Q204" s="28" t="n"/>
    </row>
    <row r="205">
      <c r="B205" s="68" t="n">
        <v>1</v>
      </c>
      <c r="C205" s="23" t="inlineStr">
        <is>
          <t>Und</t>
        </is>
      </c>
      <c r="D205" s="25" t="inlineStr">
        <is>
          <t>Empanada mechada sueltas</t>
        </is>
      </c>
      <c r="E205" s="26" t="n"/>
      <c r="F205" s="26" t="n"/>
      <c r="G205" s="26" t="n"/>
      <c r="H205" s="26" t="n"/>
      <c r="I205" s="67" t="n"/>
      <c r="J205" s="210" t="n"/>
      <c r="K205" s="28" t="n"/>
      <c r="L205" s="28" t="n"/>
      <c r="M205" s="28" t="n"/>
      <c r="N205" s="28" t="n"/>
      <c r="O205" s="28" t="n"/>
      <c r="P205" s="28" t="n"/>
      <c r="Q205" s="28" t="n"/>
    </row>
    <row r="206">
      <c r="B206" s="68" t="n">
        <v>4</v>
      </c>
      <c r="C206" s="23" t="inlineStr">
        <is>
          <t>Pax</t>
        </is>
      </c>
      <c r="D206" s="25" t="inlineStr">
        <is>
          <t>Empanada pulpo</t>
        </is>
      </c>
      <c r="E206" s="26" t="n"/>
      <c r="F206" s="26" t="n"/>
      <c r="G206" s="26" t="n"/>
      <c r="H206" s="26" t="n"/>
      <c r="I206" s="67" t="n"/>
      <c r="J206" s="210" t="n"/>
      <c r="K206" s="28" t="n"/>
      <c r="L206" s="28" t="n"/>
      <c r="M206" s="28" t="n"/>
      <c r="N206" s="28" t="n"/>
      <c r="O206" s="28" t="n"/>
      <c r="P206" s="28" t="n"/>
      <c r="Q206" s="28" t="n"/>
    </row>
    <row r="207">
      <c r="B207" s="68" t="n">
        <v>1</v>
      </c>
      <c r="C207" s="23" t="inlineStr">
        <is>
          <t>Und</t>
        </is>
      </c>
      <c r="D207" s="25" t="inlineStr">
        <is>
          <t>Empanada pulpo sueltas</t>
        </is>
      </c>
      <c r="E207" s="26" t="n"/>
      <c r="F207" s="26" t="n"/>
      <c r="G207" s="26" t="n"/>
      <c r="H207" s="26" t="n"/>
      <c r="I207" s="67" t="n"/>
      <c r="J207" s="210" t="n"/>
      <c r="K207" s="28" t="n"/>
      <c r="L207" s="28" t="n"/>
      <c r="M207" s="28" t="n"/>
      <c r="N207" s="28" t="n"/>
      <c r="O207" s="28" t="n"/>
      <c r="P207" s="28" t="n"/>
      <c r="Q207" s="28" t="n"/>
    </row>
    <row r="208">
      <c r="B208" s="68" t="n">
        <v>1</v>
      </c>
      <c r="C208" s="23" t="inlineStr">
        <is>
          <t>Und</t>
        </is>
      </c>
      <c r="D208" s="27" t="inlineStr">
        <is>
          <t>Flan de caluga</t>
        </is>
      </c>
      <c r="E208" s="26" t="n"/>
      <c r="F208" s="26" t="n"/>
      <c r="G208" s="26" t="n"/>
      <c r="H208" s="26" t="n"/>
      <c r="I208" s="67" t="n"/>
      <c r="J208" s="210" t="n"/>
      <c r="K208" s="28" t="n"/>
      <c r="L208" s="28" t="n"/>
      <c r="M208" s="28" t="n"/>
      <c r="N208" s="28" t="n"/>
      <c r="O208" s="28" t="n"/>
      <c r="P208" s="28" t="n"/>
      <c r="Q208" s="28" t="n"/>
    </row>
    <row r="209">
      <c r="B209" s="68" t="n">
        <v>1</v>
      </c>
      <c r="C209" s="23" t="inlineStr">
        <is>
          <t>Und</t>
        </is>
      </c>
      <c r="D209" s="27" t="inlineStr">
        <is>
          <t>Granola salada</t>
        </is>
      </c>
      <c r="E209" s="26" t="n"/>
      <c r="F209" s="26" t="n"/>
      <c r="G209" s="26" t="n"/>
      <c r="H209" s="26" t="n"/>
      <c r="I209" s="67" t="n"/>
      <c r="J209" s="210" t="n"/>
      <c r="K209" s="28" t="n"/>
      <c r="L209" s="28" t="n"/>
      <c r="M209" s="28" t="n"/>
      <c r="N209" s="28" t="n"/>
      <c r="O209" s="28" t="n"/>
      <c r="P209" s="28" t="n"/>
      <c r="Q209" s="28" t="n"/>
    </row>
    <row r="210">
      <c r="B210" s="68" t="n">
        <v>1</v>
      </c>
      <c r="C210" s="23" t="inlineStr">
        <is>
          <t>Und</t>
        </is>
      </c>
      <c r="D210" s="25" t="inlineStr">
        <is>
          <t>Mix Conchas</t>
        </is>
      </c>
      <c r="E210" s="26" t="n"/>
      <c r="F210" s="26" t="n"/>
      <c r="G210" s="26" t="n"/>
      <c r="H210" s="26" t="n"/>
      <c r="I210" s="67" t="n"/>
      <c r="J210" s="210" t="n"/>
      <c r="K210" s="28" t="n"/>
      <c r="L210" s="28" t="n"/>
      <c r="M210" s="28" t="n"/>
      <c r="N210" s="28" t="n"/>
      <c r="O210" s="28" t="n"/>
      <c r="P210" s="28" t="n"/>
      <c r="Q210" s="28" t="n"/>
    </row>
    <row r="211">
      <c r="B211" s="68" t="n">
        <v>1</v>
      </c>
      <c r="C211" s="23" t="inlineStr">
        <is>
          <t>Kg</t>
        </is>
      </c>
      <c r="D211" s="25" t="inlineStr">
        <is>
          <t>Nutella</t>
        </is>
      </c>
      <c r="E211" s="26" t="n"/>
      <c r="F211" s="26" t="n"/>
      <c r="G211" s="26" t="n"/>
      <c r="H211" s="26" t="n"/>
      <c r="I211" s="67" t="n"/>
      <c r="J211" s="210" t="n"/>
      <c r="K211" s="28" t="n"/>
      <c r="L211" s="28" t="n"/>
      <c r="M211" s="28" t="n"/>
      <c r="N211" s="28" t="n"/>
      <c r="O211" s="28" t="n"/>
      <c r="P211" s="28" t="n"/>
      <c r="Q211" s="28" t="n"/>
    </row>
    <row r="212">
      <c r="B212" s="68" t="n">
        <v>1</v>
      </c>
      <c r="C212" s="23" t="inlineStr">
        <is>
          <t>Und</t>
        </is>
      </c>
      <c r="D212" s="25" t="inlineStr">
        <is>
          <t>Queso Mozzarella</t>
        </is>
      </c>
      <c r="E212" s="26" t="n"/>
      <c r="F212" s="26" t="n"/>
      <c r="G212" s="26" t="n"/>
      <c r="H212" s="26" t="n"/>
      <c r="I212" s="67" t="n"/>
      <c r="J212" s="210" t="n"/>
      <c r="K212" s="28" t="n"/>
      <c r="L212" s="28" t="n"/>
      <c r="M212" s="28" t="n"/>
      <c r="N212" s="28" t="n"/>
      <c r="O212" s="28" t="n"/>
      <c r="P212" s="28" t="n"/>
      <c r="Q212" s="28" t="n"/>
    </row>
    <row r="213">
      <c r="B213" s="68" t="n">
        <v>8</v>
      </c>
      <c r="C213" s="23" t="inlineStr">
        <is>
          <t>Porción</t>
        </is>
      </c>
      <c r="D213" s="70" t="inlineStr">
        <is>
          <t>Sorrentinos carne mechada</t>
        </is>
      </c>
      <c r="E213" s="26" t="n"/>
      <c r="F213" s="26" t="n"/>
      <c r="G213" s="26" t="n"/>
      <c r="H213" s="26" t="n"/>
      <c r="I213" s="67" t="n"/>
      <c r="J213" s="210" t="n"/>
      <c r="K213" s="4" t="n"/>
      <c r="L213" s="4" t="n"/>
      <c r="M213" s="4" t="n"/>
      <c r="N213" s="4" t="n"/>
      <c r="O213" s="4" t="n"/>
      <c r="P213" s="4" t="n"/>
      <c r="Q213" s="4" t="n"/>
    </row>
    <row r="214">
      <c r="B214" s="68" t="n">
        <v>7</v>
      </c>
      <c r="C214" s="23" t="inlineStr">
        <is>
          <t>Porción</t>
        </is>
      </c>
      <c r="D214" s="70" t="inlineStr">
        <is>
          <t>Sorrentinos pulpo y salmón</t>
        </is>
      </c>
      <c r="E214" s="26" t="n"/>
      <c r="F214" s="26" t="n"/>
      <c r="G214" s="26" t="n"/>
      <c r="H214" s="26" t="n"/>
      <c r="I214" s="67" t="n"/>
      <c r="J214" s="210" t="n"/>
      <c r="K214" s="4" t="n"/>
      <c r="L214" s="4" t="n"/>
      <c r="M214" s="4" t="n"/>
      <c r="N214" s="4" t="n"/>
      <c r="O214" s="4" t="n"/>
      <c r="P214" s="4" t="n"/>
      <c r="Q214" s="4" t="n"/>
    </row>
    <row r="215">
      <c r="B215" s="68" t="n">
        <v>8</v>
      </c>
      <c r="C215" s="23" t="inlineStr">
        <is>
          <t>Porción</t>
        </is>
      </c>
      <c r="D215" s="25" t="inlineStr">
        <is>
          <t>Sorrentinos zapallo</t>
        </is>
      </c>
      <c r="E215" s="26" t="n"/>
      <c r="F215" s="26" t="n"/>
      <c r="G215" s="26" t="n"/>
      <c r="H215" s="26" t="n"/>
      <c r="I215" s="67" t="n"/>
      <c r="J215" s="210" t="n"/>
      <c r="K215" s="4" t="n"/>
      <c r="L215" s="4" t="n"/>
      <c r="M215" s="4" t="n"/>
      <c r="N215" s="4" t="n"/>
      <c r="O215" s="4" t="n"/>
      <c r="P215" s="4" t="n"/>
      <c r="Q215" s="4" t="n"/>
    </row>
    <row r="216" ht="13.5" customHeight="1" s="95" thickBot="1">
      <c r="B216" s="71" t="n">
        <v>1</v>
      </c>
      <c r="C216" s="75" t="inlineStr">
        <is>
          <t>Und</t>
        </is>
      </c>
      <c r="D216" s="174" t="inlineStr">
        <is>
          <t>Volcán de chocolate</t>
        </is>
      </c>
      <c r="E216" s="72" t="n"/>
      <c r="F216" s="72" t="n"/>
      <c r="G216" s="72" t="n"/>
      <c r="H216" s="72" t="n"/>
      <c r="I216" s="73" t="n"/>
      <c r="J216" s="210" t="n"/>
      <c r="K216" s="4" t="n"/>
      <c r="L216" s="4" t="n"/>
      <c r="M216" s="4" t="n"/>
      <c r="N216" s="4" t="n"/>
      <c r="O216" s="4" t="n"/>
      <c r="P216" s="4" t="n"/>
      <c r="Q216" s="4" t="n"/>
    </row>
    <row r="217">
      <c r="B217" s="4" t="n"/>
      <c r="C217" s="4" t="n"/>
      <c r="D217" s="4" t="n"/>
      <c r="E217" s="4" t="n"/>
      <c r="F217" s="4" t="n"/>
      <c r="G217" s="4" t="n"/>
      <c r="H217" s="4" t="n"/>
      <c r="I217" s="4" t="n"/>
      <c r="J217" s="5" t="n"/>
      <c r="K217" s="4" t="n"/>
      <c r="L217" s="4" t="n"/>
      <c r="M217" s="4" t="n"/>
      <c r="N217" s="4" t="n"/>
      <c r="O217" s="4" t="n"/>
      <c r="P217" s="4" t="n"/>
      <c r="Q217" s="4" t="n"/>
    </row>
    <row r="218" ht="13.5" customHeight="1" s="95" thickBot="1"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</row>
    <row r="219" ht="13.5" customHeight="1" s="95" thickBot="1">
      <c r="B219" s="4" t="n"/>
      <c r="C219" s="4" t="n"/>
      <c r="D219" s="317" t="inlineStr">
        <is>
          <t>ENTREGAS A COCINA/SALIDA DE BODEGA</t>
        </is>
      </c>
      <c r="E219" s="318" t="n"/>
      <c r="F219" s="319" t="n"/>
      <c r="G219" s="209" t="n"/>
      <c r="H219" s="209" t="n"/>
      <c r="I219" s="209" t="n"/>
      <c r="J219" s="4" t="n"/>
      <c r="K219" s="4" t="n"/>
      <c r="L219" s="4" t="n"/>
      <c r="M219" s="4" t="n"/>
      <c r="N219" s="4" t="n"/>
      <c r="O219" s="4" t="n"/>
      <c r="P219" s="4" t="n"/>
      <c r="Q219" s="4" t="n"/>
    </row>
    <row r="220" ht="13.5" customHeight="1" s="95" thickTop="1">
      <c r="B220" s="4" t="n"/>
      <c r="C220" s="4" t="n"/>
      <c r="D220" s="57" t="inlineStr">
        <is>
          <t>Ítem</t>
        </is>
      </c>
      <c r="E220" s="29" t="inlineStr">
        <is>
          <t>Cant.</t>
        </is>
      </c>
      <c r="F220" s="58" t="inlineStr">
        <is>
          <t>Medida</t>
        </is>
      </c>
      <c r="G220" s="209" t="inlineStr">
        <is>
          <t> </t>
        </is>
      </c>
      <c r="I220" s="209" t="n"/>
      <c r="J220" s="4" t="n"/>
      <c r="K220" s="4" t="n"/>
      <c r="L220" s="4" t="n"/>
      <c r="M220" s="4" t="n"/>
      <c r="N220" s="4" t="n"/>
      <c r="O220" s="4" t="n"/>
      <c r="P220" s="4" t="n"/>
      <c r="Q220" s="4" t="n"/>
    </row>
    <row r="221">
      <c r="B221" s="4" t="n"/>
      <c r="C221" s="4" t="n"/>
      <c r="D221" s="35" t="inlineStr">
        <is>
          <t>Atún Steak</t>
        </is>
      </c>
      <c r="E221" s="320" t="n"/>
      <c r="F221" s="59" t="inlineStr">
        <is>
          <t>Kg</t>
        </is>
      </c>
      <c r="G221" s="209" t="n"/>
      <c r="H221" s="209" t="n"/>
      <c r="I221" s="209" t="n"/>
      <c r="J221" s="209" t="n"/>
      <c r="K221" s="4" t="n"/>
      <c r="L221" s="4" t="n"/>
      <c r="M221" s="4" t="n"/>
      <c r="N221" s="4" t="n"/>
      <c r="O221" s="4" t="n"/>
      <c r="P221" s="4" t="n"/>
      <c r="Q221" s="4" t="n"/>
    </row>
    <row r="222">
      <c r="B222" s="4" t="n"/>
      <c r="C222" s="4" t="n"/>
      <c r="D222" s="35" t="inlineStr">
        <is>
          <t>Atún trozos</t>
        </is>
      </c>
      <c r="E222" s="320" t="n"/>
      <c r="F222" s="59" t="inlineStr">
        <is>
          <t>Kg</t>
        </is>
      </c>
      <c r="G222" s="209" t="n"/>
      <c r="H222" s="209" t="n"/>
      <c r="I222" s="209" t="n"/>
      <c r="J222" s="4" t="n"/>
      <c r="K222" s="4" t="n"/>
      <c r="L222" s="4" t="n"/>
      <c r="M222" s="4" t="n"/>
      <c r="N222" s="4" t="n"/>
      <c r="O222" s="4" t="n"/>
      <c r="P222" s="4" t="n"/>
      <c r="Q222" s="4" t="n"/>
    </row>
    <row r="223">
      <c r="B223" s="4" t="n"/>
      <c r="C223" s="4" t="n"/>
      <c r="D223" s="35" t="inlineStr">
        <is>
          <t>Carpaccio de res</t>
        </is>
      </c>
      <c r="E223" s="320" t="n"/>
      <c r="F223" s="59" t="inlineStr">
        <is>
          <t>Kg</t>
        </is>
      </c>
      <c r="G223" s="209" t="n"/>
      <c r="H223" s="209" t="n"/>
      <c r="I223" s="209" t="n"/>
      <c r="J223" s="4" t="n"/>
      <c r="K223" s="4" t="n"/>
      <c r="L223" s="4" t="n"/>
      <c r="M223" s="4" t="n"/>
      <c r="N223" s="4" t="n"/>
      <c r="O223" s="4" t="n"/>
      <c r="P223" s="4" t="n"/>
      <c r="Q223" s="4" t="n"/>
    </row>
    <row r="224">
      <c r="B224" s="4" t="n"/>
      <c r="C224" s="4" t="n"/>
      <c r="D224" s="35" t="inlineStr">
        <is>
          <t>Ceviche de reineta</t>
        </is>
      </c>
      <c r="E224" s="320" t="n"/>
      <c r="F224" s="59" t="inlineStr">
        <is>
          <t>Kg</t>
        </is>
      </c>
      <c r="G224" s="209" t="n"/>
      <c r="H224" s="209" t="n"/>
      <c r="I224" s="209" t="n"/>
      <c r="J224" s="4" t="n"/>
      <c r="K224" s="4" t="n"/>
      <c r="L224" s="4" t="n"/>
      <c r="M224" s="4" t="n"/>
      <c r="N224" s="4" t="n"/>
      <c r="O224" s="4" t="n"/>
      <c r="P224" s="4" t="n"/>
      <c r="Q224" s="4" t="n"/>
    </row>
    <row r="225">
      <c r="B225" s="4" t="n"/>
      <c r="C225" s="4" t="n"/>
      <c r="D225" s="35" t="inlineStr">
        <is>
          <t>Empanada Mechada</t>
        </is>
      </c>
      <c r="E225" s="320" t="n"/>
      <c r="F225" s="59" t="inlineStr">
        <is>
          <t>Und</t>
        </is>
      </c>
      <c r="G225" s="209" t="n"/>
      <c r="H225" s="209" t="n"/>
      <c r="I225" s="209" t="n"/>
      <c r="J225" s="4" t="n"/>
      <c r="K225" s="4" t="n"/>
      <c r="L225" s="4" t="n"/>
      <c r="M225" s="4" t="n"/>
      <c r="N225" s="4" t="n"/>
      <c r="O225" s="4" t="n"/>
      <c r="P225" s="4" t="n"/>
      <c r="Q225" s="4" t="n"/>
    </row>
    <row r="226">
      <c r="B226" s="4" t="n"/>
      <c r="C226" s="4" t="n"/>
      <c r="D226" s="151" t="inlineStr">
        <is>
          <t>Filete para churrasco</t>
        </is>
      </c>
      <c r="E226" s="320" t="n"/>
      <c r="F226" s="59" t="inlineStr">
        <is>
          <t>Kg</t>
        </is>
      </c>
      <c r="G226" s="209" t="n"/>
      <c r="H226" s="209" t="n"/>
      <c r="I226" s="209" t="n"/>
      <c r="J226" s="4" t="n"/>
      <c r="K226" s="4" t="n"/>
      <c r="L226" s="4" t="n"/>
      <c r="M226" s="4" t="n"/>
      <c r="N226" s="4" t="n"/>
      <c r="O226" s="4" t="n"/>
      <c r="P226" s="4" t="n"/>
      <c r="Q226" s="4" t="n"/>
    </row>
    <row r="227">
      <c r="B227" s="4" t="n"/>
      <c r="C227" s="4" t="n"/>
      <c r="D227" s="151" t="inlineStr">
        <is>
          <t>Filete para crudo</t>
        </is>
      </c>
      <c r="E227" s="320" t="n"/>
      <c r="F227" s="59" t="inlineStr">
        <is>
          <t>Kg</t>
        </is>
      </c>
      <c r="G227" s="209" t="n"/>
      <c r="H227" s="209" t="n"/>
      <c r="I227" s="209" t="n"/>
      <c r="J227" s="4" t="n"/>
      <c r="K227" s="4" t="n"/>
      <c r="L227" s="4" t="n"/>
      <c r="M227" s="4" t="n"/>
      <c r="N227" s="4" t="n"/>
      <c r="O227" s="4" t="n"/>
      <c r="P227" s="4" t="n"/>
      <c r="Q227" s="4" t="n"/>
    </row>
    <row r="228">
      <c r="B228" s="4" t="n"/>
      <c r="C228" s="4" t="n"/>
      <c r="D228" s="35" t="inlineStr">
        <is>
          <t>Filete salteado</t>
        </is>
      </c>
      <c r="E228" s="320" t="n"/>
      <c r="F228" s="59" t="inlineStr">
        <is>
          <t>Kg</t>
        </is>
      </c>
      <c r="G228" s="209" t="n"/>
      <c r="H228" s="209" t="n"/>
      <c r="I228" s="209" t="n"/>
      <c r="J228" s="4" t="n"/>
      <c r="K228" s="4" t="n"/>
      <c r="L228" s="4" t="n"/>
      <c r="M228" s="4" t="n"/>
      <c r="N228" s="4" t="n"/>
      <c r="O228" s="4" t="n"/>
      <c r="P228" s="4" t="n"/>
      <c r="Q228" s="4" t="n"/>
    </row>
    <row r="229">
      <c r="B229" s="4" t="n"/>
      <c r="C229" s="4" t="n"/>
      <c r="D229" s="97" t="inlineStr">
        <is>
          <t>Ganso</t>
        </is>
      </c>
      <c r="E229" s="320" t="n"/>
      <c r="F229" s="59" t="inlineStr">
        <is>
          <t>Kg</t>
        </is>
      </c>
      <c r="G229" s="209" t="n"/>
      <c r="H229" s="209" t="n"/>
      <c r="I229" s="209" t="n"/>
      <c r="J229" s="4" t="n"/>
      <c r="K229" s="4" t="n"/>
      <c r="L229" s="4" t="n"/>
      <c r="M229" s="4" t="n"/>
      <c r="N229" s="4" t="n"/>
      <c r="O229" s="4" t="n"/>
      <c r="P229" s="4" t="n"/>
      <c r="Q229" s="4" t="n"/>
    </row>
    <row r="230">
      <c r="B230" s="4" t="n"/>
      <c r="C230" s="4" t="n"/>
      <c r="D230" s="35" t="inlineStr">
        <is>
          <t>Granola Salada</t>
        </is>
      </c>
      <c r="E230" s="320" t="n"/>
      <c r="F230" s="59" t="inlineStr">
        <is>
          <t>Und</t>
        </is>
      </c>
      <c r="G230" s="209" t="n"/>
      <c r="H230" s="209" t="n"/>
      <c r="I230" s="209" t="n"/>
      <c r="J230" s="4" t="n"/>
      <c r="K230" s="4" t="n"/>
      <c r="L230" s="4" t="n"/>
      <c r="M230" s="4" t="n"/>
      <c r="N230" s="4" t="n"/>
      <c r="O230" s="4" t="n"/>
      <c r="P230" s="4" t="n"/>
      <c r="Q230" s="4" t="n"/>
    </row>
    <row r="231">
      <c r="B231" s="4" t="n"/>
      <c r="C231" s="4" t="n"/>
      <c r="D231" s="35" t="inlineStr">
        <is>
          <t>Hamburguesas</t>
        </is>
      </c>
      <c r="E231" s="320" t="n"/>
      <c r="F231" s="59" t="inlineStr">
        <is>
          <t>Kg</t>
        </is>
      </c>
      <c r="G231" s="209" t="n"/>
      <c r="H231" s="209" t="n"/>
      <c r="I231" s="209" t="n"/>
      <c r="J231" s="4" t="n"/>
      <c r="K231" s="4" t="n"/>
      <c r="L231" s="4" t="n"/>
      <c r="M231" s="4" t="n"/>
      <c r="N231" s="4" t="n"/>
      <c r="O231" s="4" t="n"/>
      <c r="P231" s="4" t="n"/>
      <c r="Q231" s="4" t="n"/>
    </row>
    <row r="232">
      <c r="B232" s="4" t="n"/>
      <c r="C232" s="4" t="n"/>
      <c r="D232" s="35" t="inlineStr">
        <is>
          <t>Jamón Serrano</t>
        </is>
      </c>
      <c r="E232" s="320" t="n"/>
      <c r="F232" s="59" t="inlineStr">
        <is>
          <t>Kg</t>
        </is>
      </c>
      <c r="G232" s="209" t="n"/>
      <c r="H232" s="209" t="n"/>
      <c r="I232" s="209" t="n"/>
      <c r="J232" s="4" t="n"/>
      <c r="K232" s="4" t="n"/>
      <c r="L232" s="4" t="n"/>
      <c r="M232" s="4" t="n"/>
      <c r="N232" s="4" t="n"/>
      <c r="O232" s="4" t="n"/>
      <c r="P232" s="4" t="n"/>
      <c r="Q232" s="4" t="n"/>
    </row>
    <row r="233">
      <c r="B233" s="4" t="n"/>
      <c r="C233" s="4" t="n"/>
      <c r="D233" s="35" t="inlineStr">
        <is>
          <t>Lomo liso</t>
        </is>
      </c>
      <c r="E233" s="320" t="n"/>
      <c r="F233" s="59" t="inlineStr">
        <is>
          <t>Kg</t>
        </is>
      </c>
      <c r="G233" s="209" t="n"/>
      <c r="H233" s="209" t="n"/>
      <c r="I233" s="209" t="n"/>
      <c r="J233" s="4" t="n"/>
      <c r="K233" s="4" t="n"/>
      <c r="L233" s="4" t="n"/>
      <c r="M233" s="4" t="n"/>
      <c r="N233" s="4" t="n"/>
      <c r="O233" s="4" t="n"/>
      <c r="P233" s="4" t="n"/>
      <c r="Q233" s="4" t="n"/>
    </row>
    <row r="234">
      <c r="B234" s="4" t="n"/>
      <c r="C234" s="4" t="n"/>
      <c r="D234" s="35" t="inlineStr">
        <is>
          <t>Plateada</t>
        </is>
      </c>
      <c r="E234" s="320" t="n"/>
      <c r="F234" s="59" t="inlineStr">
        <is>
          <t>Kg</t>
        </is>
      </c>
      <c r="G234" s="209" t="n"/>
      <c r="H234" s="209" t="n"/>
      <c r="I234" s="209" t="n"/>
      <c r="J234" s="4" t="n"/>
      <c r="K234" s="4" t="n"/>
      <c r="L234" s="4" t="n"/>
      <c r="M234" s="4" t="n"/>
      <c r="N234" s="4" t="n"/>
      <c r="O234" s="4" t="n"/>
      <c r="P234" s="4" t="n"/>
      <c r="Q234" s="4" t="n"/>
    </row>
    <row r="235">
      <c r="B235" s="4" t="n"/>
      <c r="C235" s="4" t="n"/>
      <c r="D235" s="35" t="inlineStr">
        <is>
          <t>Pulpo</t>
        </is>
      </c>
      <c r="E235" s="320" t="n"/>
      <c r="F235" s="59" t="inlineStr">
        <is>
          <t>Kg</t>
        </is>
      </c>
      <c r="G235" s="209" t="n"/>
      <c r="H235" s="209" t="n"/>
      <c r="I235" s="209" t="n"/>
      <c r="J235" s="4" t="n"/>
      <c r="K235" s="4" t="n"/>
      <c r="L235" s="4" t="n"/>
      <c r="M235" s="4" t="n"/>
      <c r="N235" s="4" t="n"/>
      <c r="O235" s="4" t="n"/>
      <c r="P235" s="4" t="n"/>
      <c r="Q235" s="4" t="n"/>
    </row>
    <row r="236">
      <c r="B236" s="4" t="n"/>
      <c r="C236" s="4" t="n"/>
      <c r="D236" s="35" t="inlineStr">
        <is>
          <t>Queso Mozzarella</t>
        </is>
      </c>
      <c r="E236" s="320" t="n"/>
      <c r="F236" s="59" t="inlineStr">
        <is>
          <t>Und</t>
        </is>
      </c>
      <c r="G236" s="209" t="n"/>
      <c r="H236" s="209" t="n"/>
      <c r="I236" s="209" t="n"/>
      <c r="J236" s="4" t="n"/>
      <c r="K236" s="4" t="n"/>
      <c r="L236" s="4" t="n"/>
      <c r="M236" s="4" t="n"/>
      <c r="N236" s="4" t="n"/>
      <c r="O236" s="4" t="n"/>
      <c r="P236" s="4" t="n"/>
      <c r="Q236" s="4" t="n"/>
    </row>
    <row r="237">
      <c r="B237" s="4" t="n"/>
      <c r="C237" s="4" t="n"/>
      <c r="D237" s="35" t="inlineStr">
        <is>
          <t>Salmón Ahumado en Caliente</t>
        </is>
      </c>
      <c r="E237" s="320" t="n"/>
      <c r="F237" s="59" t="inlineStr">
        <is>
          <t>Kg</t>
        </is>
      </c>
      <c r="G237" s="209" t="n"/>
      <c r="H237" s="209" t="n"/>
      <c r="I237" s="209" t="n"/>
      <c r="J237" s="4" t="n"/>
      <c r="K237" s="4" t="n"/>
      <c r="L237" s="4" t="n"/>
      <c r="M237" s="4" t="n"/>
      <c r="N237" s="4" t="n"/>
      <c r="O237" s="4" t="n"/>
      <c r="P237" s="4" t="n"/>
      <c r="Q237" s="4" t="n"/>
    </row>
    <row r="238">
      <c r="B238" s="4" t="n"/>
      <c r="C238" s="4" t="n"/>
      <c r="D238" s="60" t="inlineStr">
        <is>
          <t>Salmón cancato</t>
        </is>
      </c>
      <c r="E238" s="321" t="n"/>
      <c r="F238" s="61" t="inlineStr">
        <is>
          <t>Kg</t>
        </is>
      </c>
      <c r="G238" s="209" t="n"/>
      <c r="H238" s="209" t="n"/>
      <c r="I238" s="209" t="n"/>
      <c r="J238" s="4" t="n"/>
      <c r="K238" s="4" t="n"/>
      <c r="L238" s="4" t="n"/>
      <c r="M238" s="4" t="n"/>
      <c r="N238" s="4" t="n"/>
      <c r="O238" s="4" t="n"/>
      <c r="P238" s="4" t="n"/>
      <c r="Q238" s="4" t="n"/>
    </row>
    <row r="239">
      <c r="B239" s="4" t="n"/>
      <c r="C239" s="4" t="n"/>
      <c r="D239" s="60" t="inlineStr">
        <is>
          <t>Salmón fresco premium</t>
        </is>
      </c>
      <c r="E239" s="321" t="n"/>
      <c r="F239" s="61" t="inlineStr">
        <is>
          <t>Kg</t>
        </is>
      </c>
      <c r="G239" s="209" t="n"/>
      <c r="H239" s="209" t="n"/>
      <c r="I239" s="209" t="n"/>
      <c r="J239" s="4" t="n"/>
      <c r="K239" s="4" t="n"/>
      <c r="L239" s="4" t="n"/>
      <c r="M239" s="4" t="n"/>
      <c r="N239" s="4" t="n"/>
      <c r="O239" s="4" t="n"/>
      <c r="P239" s="4" t="n"/>
      <c r="Q239" s="4" t="n"/>
    </row>
    <row r="240">
      <c r="B240" s="4" t="n"/>
      <c r="C240" s="4" t="n"/>
      <c r="D240" s="35" t="inlineStr">
        <is>
          <t>Sorrentinos carne mechada</t>
        </is>
      </c>
      <c r="E240" s="321" t="n"/>
      <c r="F240" s="61" t="inlineStr">
        <is>
          <t>Porción</t>
        </is>
      </c>
      <c r="G240" s="209" t="n"/>
      <c r="H240" s="209" t="n"/>
      <c r="I240" s="209" t="n"/>
      <c r="J240" s="4" t="n"/>
      <c r="K240" s="4" t="n"/>
      <c r="L240" s="4" t="n"/>
      <c r="M240" s="4" t="n"/>
      <c r="N240" s="4" t="n"/>
      <c r="O240" s="4" t="n"/>
      <c r="P240" s="4" t="n"/>
      <c r="Q240" s="4" t="n"/>
    </row>
    <row r="241">
      <c r="B241" s="4" t="n"/>
      <c r="C241" s="4" t="n"/>
      <c r="D241" s="35" t="inlineStr">
        <is>
          <t>Sorrentinos pulpo y salmón</t>
        </is>
      </c>
      <c r="E241" s="321" t="n"/>
      <c r="F241" s="61" t="inlineStr">
        <is>
          <t>Porción</t>
        </is>
      </c>
      <c r="G241" s="209" t="n"/>
      <c r="H241" s="209" t="n"/>
      <c r="I241" s="209" t="n"/>
      <c r="J241" s="4" t="n"/>
      <c r="K241" s="4" t="n"/>
      <c r="L241" s="4" t="n"/>
      <c r="M241" s="4" t="n"/>
      <c r="N241" s="4" t="n"/>
      <c r="O241" s="4" t="n"/>
      <c r="P241" s="4" t="n"/>
      <c r="Q241" s="4" t="n"/>
    </row>
    <row r="242" ht="13.5" customHeight="1" s="95" thickBot="1">
      <c r="B242" s="4" t="n"/>
      <c r="C242" s="4" t="n"/>
      <c r="D242" s="62" t="inlineStr">
        <is>
          <t>Sorrentinos zapallo</t>
        </is>
      </c>
      <c r="E242" s="322" t="n"/>
      <c r="F242" s="64" t="inlineStr">
        <is>
          <t>Porción</t>
        </is>
      </c>
      <c r="G242" s="209" t="n"/>
      <c r="H242" s="209" t="n"/>
      <c r="I242" s="209" t="n"/>
      <c r="J242" s="4" t="n"/>
      <c r="K242" s="4" t="n"/>
      <c r="L242" s="4" t="n"/>
      <c r="M242" s="4" t="n"/>
      <c r="N242" s="4" t="n"/>
      <c r="O242" s="4" t="n"/>
      <c r="P242" s="4" t="n"/>
      <c r="Q242" s="4" t="n"/>
    </row>
    <row r="243">
      <c r="G243" s="209" t="n"/>
      <c r="H243" s="209" t="n"/>
      <c r="I243" s="209" t="n"/>
    </row>
    <row r="244" ht="13.5" customHeight="1" s="95" thickBot="1"/>
    <row r="245" ht="14.25" customHeight="1" s="95" thickBot="1" thickTop="1">
      <c r="D245" s="323" t="inlineStr">
        <is>
          <t xml:space="preserve">ENTREGAS DE PROTEINAS PARA PRODUCCIONES DE COCINA </t>
        </is>
      </c>
      <c r="E245" s="324" t="n"/>
      <c r="F245" s="324" t="n"/>
      <c r="G245" s="325" t="n"/>
    </row>
    <row r="246" ht="13.5" customHeight="1" s="95" thickBot="1">
      <c r="B246" s="211" t="n"/>
      <c r="C246" s="212" t="inlineStr">
        <is>
          <t>Medida</t>
        </is>
      </c>
      <c r="D246" s="101" t="inlineStr">
        <is>
          <t>Producto</t>
        </is>
      </c>
      <c r="E246" s="101" t="inlineStr">
        <is>
          <t>Cantidad</t>
        </is>
      </c>
      <c r="F246" s="101" t="inlineStr">
        <is>
          <t>Producto Final</t>
        </is>
      </c>
      <c r="G246" s="101" t="inlineStr">
        <is>
          <t>Medida</t>
        </is>
      </c>
      <c r="H246" s="142" t="inlineStr">
        <is>
          <t>Cantidad Producida</t>
        </is>
      </c>
      <c r="I246" s="326" t="n"/>
      <c r="J246" s="101" t="inlineStr">
        <is>
          <t>Mermas (Kg)</t>
        </is>
      </c>
      <c r="K246" s="102" t="inlineStr">
        <is>
          <t>Cant. Utilizada</t>
        </is>
      </c>
      <c r="L246" s="56" t="n"/>
    </row>
    <row r="247">
      <c r="B247" s="213" t="n"/>
      <c r="C247" s="214" t="inlineStr">
        <is>
          <t>Kg</t>
        </is>
      </c>
      <c r="D247" s="100" t="inlineStr">
        <is>
          <t>Despunte de pulpo</t>
        </is>
      </c>
      <c r="E247" s="99" t="n"/>
      <c r="F247" s="215" t="inlineStr">
        <is>
          <t>Empanadas de pulpo</t>
        </is>
      </c>
      <c r="G247" s="100" t="inlineStr">
        <is>
          <t>Pax</t>
        </is>
      </c>
      <c r="H247" s="327" t="n"/>
      <c r="I247" s="328" t="n"/>
      <c r="J247" s="263" t="n"/>
      <c r="K247" s="264" t="n"/>
      <c r="L247" s="213" t="n"/>
    </row>
    <row r="248">
      <c r="B248" s="213" t="n"/>
      <c r="C248" s="216" t="inlineStr">
        <is>
          <t>Kg</t>
        </is>
      </c>
      <c r="D248" s="220" t="inlineStr">
        <is>
          <t>Langostinos</t>
        </is>
      </c>
      <c r="E248" s="255" t="n"/>
      <c r="F248" s="218" t="inlineStr">
        <is>
          <t>Brocheta de Langostinos</t>
        </is>
      </c>
      <c r="G248" s="122" t="inlineStr">
        <is>
          <t>Pax</t>
        </is>
      </c>
      <c r="H248" s="255" t="n"/>
      <c r="I248" s="329" t="n"/>
      <c r="J248" s="265" t="n"/>
      <c r="K248" s="266" t="n"/>
      <c r="L248" s="209" t="n"/>
    </row>
    <row r="249">
      <c r="B249" s="213" t="n"/>
      <c r="C249" s="238" t="inlineStr">
        <is>
          <t>Und</t>
        </is>
      </c>
      <c r="D249" s="1" t="inlineStr">
        <is>
          <t>Locos</t>
        </is>
      </c>
      <c r="E249" s="330" t="n"/>
      <c r="F249" s="218" t="inlineStr">
        <is>
          <t>Loco tiradito</t>
        </is>
      </c>
      <c r="G249" s="220" t="inlineStr">
        <is>
          <t>Kg</t>
        </is>
      </c>
      <c r="H249" s="331" t="n"/>
      <c r="I249" s="329" t="n"/>
      <c r="J249" s="265" t="n"/>
      <c r="K249" s="266" t="n"/>
      <c r="L249" s="209" t="n"/>
    </row>
    <row r="250">
      <c r="B250" s="213" t="n"/>
      <c r="C250" s="216" t="inlineStr">
        <is>
          <t>Kg</t>
        </is>
      </c>
      <c r="D250" s="54" t="inlineStr">
        <is>
          <t>Merluza</t>
        </is>
      </c>
      <c r="E250" s="255" t="n"/>
      <c r="F250" s="122" t="inlineStr">
        <is>
          <t>Merluza Porcionada</t>
        </is>
      </c>
      <c r="G250" s="220" t="inlineStr">
        <is>
          <t>Kg</t>
        </is>
      </c>
      <c r="H250" s="332" t="n"/>
      <c r="I250" s="333" t="n"/>
      <c r="J250" s="265" t="n"/>
      <c r="K250" s="266" t="n"/>
      <c r="L250" s="209" t="n"/>
    </row>
    <row r="251">
      <c r="B251" s="213" t="n"/>
      <c r="C251" s="216" t="inlineStr">
        <is>
          <t>Kg</t>
        </is>
      </c>
      <c r="D251" s="1" t="inlineStr">
        <is>
          <t>Reineta</t>
        </is>
      </c>
      <c r="E251" s="255" t="n"/>
      <c r="F251" s="218" t="inlineStr">
        <is>
          <t>Ceviche de Reineta</t>
        </is>
      </c>
      <c r="G251" s="122" t="inlineStr">
        <is>
          <t>Kg</t>
        </is>
      </c>
      <c r="H251" s="255" t="n"/>
      <c r="I251" s="329" t="n"/>
      <c r="J251" s="265" t="n"/>
      <c r="K251" s="266" t="n"/>
      <c r="L251" s="209" t="n"/>
    </row>
    <row r="252">
      <c r="B252" s="213" t="n"/>
      <c r="C252" s="216" t="inlineStr">
        <is>
          <t>Kg</t>
        </is>
      </c>
      <c r="D252" s="1" t="inlineStr">
        <is>
          <t>Congrio</t>
        </is>
      </c>
      <c r="E252" s="255" t="n"/>
      <c r="F252" s="218" t="inlineStr">
        <is>
          <t>Congrio Porcionado</t>
        </is>
      </c>
      <c r="G252" s="122" t="inlineStr">
        <is>
          <t>Kg</t>
        </is>
      </c>
      <c r="H252" s="255" t="n"/>
      <c r="I252" s="329" t="n"/>
      <c r="J252" s="265" t="n"/>
      <c r="K252" s="266" t="n"/>
      <c r="L252" s="209" t="n"/>
    </row>
    <row r="253">
      <c r="B253" s="213" t="n"/>
      <c r="C253" s="216" t="inlineStr">
        <is>
          <t>Kg</t>
        </is>
      </c>
      <c r="D253" s="1" t="inlineStr">
        <is>
          <t>Mejillones</t>
        </is>
      </c>
      <c r="E253" s="255" t="n"/>
      <c r="F253" s="220" t="inlineStr">
        <is>
          <t>Mix Conchas</t>
        </is>
      </c>
      <c r="G253" s="122" t="inlineStr">
        <is>
          <t>Pax</t>
        </is>
      </c>
      <c r="H253" s="255" t="n"/>
      <c r="I253" s="334" t="n"/>
      <c r="J253" s="267" t="n"/>
      <c r="K253" s="268" t="n"/>
      <c r="L253" s="209" t="n"/>
    </row>
    <row r="254">
      <c r="B254" s="213" t="n"/>
      <c r="C254" s="216" t="inlineStr">
        <is>
          <t>Kg</t>
        </is>
      </c>
      <c r="D254" s="1" t="inlineStr">
        <is>
          <t>Almejas Julianas</t>
        </is>
      </c>
      <c r="E254" s="255" t="n"/>
      <c r="F254" s="316" t="n"/>
      <c r="G254" s="316" t="n"/>
      <c r="H254" s="335" t="n"/>
      <c r="I254" s="336" t="n"/>
      <c r="J254" s="267" t="n"/>
      <c r="K254" s="268" t="n"/>
      <c r="L254" s="209" t="n"/>
    </row>
    <row r="255">
      <c r="B255" s="213" t="n"/>
      <c r="C255" s="337" t="inlineStr">
        <is>
          <t>Kg</t>
        </is>
      </c>
      <c r="D255" s="338" t="inlineStr">
        <is>
          <t>Filete Despunte</t>
        </is>
      </c>
      <c r="E255" s="255" t="n"/>
      <c r="F255" s="222" t="inlineStr">
        <is>
          <t>Ragout Lasagna</t>
        </is>
      </c>
      <c r="G255" s="112" t="inlineStr">
        <is>
          <t>Kg</t>
        </is>
      </c>
      <c r="H255" s="255" t="n"/>
      <c r="I255" s="329" t="n"/>
      <c r="J255" s="269" t="n"/>
      <c r="K255" s="270" t="n"/>
      <c r="L255" s="209" t="n"/>
    </row>
    <row r="256">
      <c r="B256" s="213" t="n"/>
      <c r="C256" s="315" t="n"/>
      <c r="D256" s="316" t="n"/>
      <c r="E256" s="339" t="n"/>
      <c r="F256" s="222" t="inlineStr">
        <is>
          <t>Ragout Rigatoni</t>
        </is>
      </c>
      <c r="G256" s="112" t="inlineStr">
        <is>
          <t>Kg</t>
        </is>
      </c>
      <c r="H256" s="255" t="n"/>
      <c r="I256" s="329" t="n"/>
      <c r="J256" s="269" t="n"/>
      <c r="K256" s="270" t="n"/>
      <c r="L256" s="209" t="n"/>
    </row>
    <row r="257">
      <c r="B257" s="213" t="n"/>
      <c r="C257" s="224" t="inlineStr">
        <is>
          <t>Kg</t>
        </is>
      </c>
      <c r="D257" s="120" t="inlineStr">
        <is>
          <t>Ragout Lasagna</t>
        </is>
      </c>
      <c r="E257" s="251" t="n"/>
      <c r="F257" s="222" t="inlineStr">
        <is>
          <t>Lasagna Berenjenas</t>
        </is>
      </c>
      <c r="G257" s="112" t="inlineStr">
        <is>
          <t>Porcion</t>
        </is>
      </c>
      <c r="H257" s="255" t="n"/>
      <c r="I257" s="329" t="n"/>
      <c r="J257" s="269" t="n"/>
      <c r="K257" s="270" t="n"/>
      <c r="L257" s="209" t="n"/>
    </row>
    <row r="258" ht="13.5" customHeight="1" s="95" thickBot="1">
      <c r="B258" s="213" t="n"/>
      <c r="C258" s="225" t="inlineStr">
        <is>
          <t>Kg</t>
        </is>
      </c>
      <c r="D258" s="31" t="inlineStr">
        <is>
          <t>Salmón Ahumado en frío</t>
        </is>
      </c>
      <c r="E258" s="252" t="n"/>
      <c r="F258" s="226" t="inlineStr">
        <is>
          <t>Chupe</t>
        </is>
      </c>
      <c r="G258" s="32" t="inlineStr">
        <is>
          <t>Porcion</t>
        </is>
      </c>
      <c r="H258" s="261" t="n"/>
      <c r="I258" s="340" t="n"/>
      <c r="J258" s="271" t="n"/>
      <c r="K258" s="272" t="n"/>
      <c r="L258" s="209" t="n"/>
    </row>
    <row r="259" ht="13.5" customHeight="1" s="95" thickBot="1">
      <c r="C259" s="228" t="n"/>
    </row>
    <row r="260" ht="13.5" customHeight="1" s="95" thickBot="1">
      <c r="C260" s="228" t="n"/>
      <c r="D260" s="341" t="inlineStr">
        <is>
          <t>REGISTRO PRODUCCIONES PASTELERIA</t>
        </is>
      </c>
      <c r="E260" s="342" t="n"/>
      <c r="F260" s="48" t="n"/>
      <c r="H260" s="343" t="inlineStr">
        <is>
          <t>REGISTRO DE CHOCOLATES</t>
        </is>
      </c>
      <c r="I260" s="318" t="n"/>
      <c r="J260" s="318" t="n"/>
      <c r="K260" s="319" t="n"/>
    </row>
    <row r="261">
      <c r="B261" s="232" t="n"/>
      <c r="C261" s="233" t="inlineStr">
        <is>
          <t>Medida</t>
        </is>
      </c>
      <c r="D261" s="195" t="inlineStr">
        <is>
          <t>Producto</t>
        </is>
      </c>
      <c r="E261" s="234" t="inlineStr">
        <is>
          <t>Cantidad</t>
        </is>
      </c>
      <c r="F261" s="235" t="n"/>
      <c r="G261" s="233" t="inlineStr">
        <is>
          <t>Producto</t>
        </is>
      </c>
      <c r="H261" s="237" t="inlineStr">
        <is>
          <t>Cantidad Entregada</t>
        </is>
      </c>
      <c r="I261" s="300" t="n"/>
      <c r="J261" s="237" t="inlineStr">
        <is>
          <t>Cant. Utilizada</t>
        </is>
      </c>
      <c r="K261" s="234" t="inlineStr">
        <is>
          <t>Medida</t>
        </is>
      </c>
    </row>
    <row r="262">
      <c r="B262" s="235" t="n"/>
      <c r="C262" s="238" t="inlineStr">
        <is>
          <t>Und</t>
        </is>
      </c>
      <c r="D262" s="1" t="inlineStr">
        <is>
          <t>Cheesecake de Berries</t>
        </is>
      </c>
      <c r="E262" s="277" t="n"/>
      <c r="F262" s="235" t="n"/>
      <c r="G262" s="238" t="inlineStr">
        <is>
          <t>Choc. Blanco</t>
        </is>
      </c>
      <c r="H262" s="273" t="n"/>
      <c r="I262" s="329" t="n"/>
      <c r="J262" s="274" t="n"/>
      <c r="K262" s="239" t="n"/>
    </row>
    <row r="263">
      <c r="B263" s="235" t="n"/>
      <c r="C263" s="238" t="inlineStr">
        <is>
          <t>Und</t>
        </is>
      </c>
      <c r="D263" s="1" t="inlineStr">
        <is>
          <t>Cheesecake de Limón</t>
        </is>
      </c>
      <c r="E263" s="277" t="n"/>
      <c r="F263" s="235" t="n"/>
      <c r="G263" s="238" t="inlineStr">
        <is>
          <t>Choc. Leche</t>
        </is>
      </c>
      <c r="H263" s="273" t="n"/>
      <c r="I263" s="329" t="n"/>
      <c r="J263" s="274" t="n"/>
      <c r="K263" s="239" t="n"/>
    </row>
    <row r="264">
      <c r="B264" s="235" t="n"/>
      <c r="C264" s="238" t="inlineStr">
        <is>
          <t>Und</t>
        </is>
      </c>
      <c r="D264" s="18" t="inlineStr">
        <is>
          <t>Brownie Nutella</t>
        </is>
      </c>
      <c r="E264" s="277" t="n"/>
      <c r="F264" s="235" t="n"/>
      <c r="G264" s="238" t="inlineStr">
        <is>
          <t>Choc. Negro</t>
        </is>
      </c>
      <c r="H264" s="273" t="n"/>
      <c r="I264" s="329" t="n"/>
      <c r="J264" s="274" t="n"/>
      <c r="K264" s="239" t="n"/>
    </row>
    <row r="265">
      <c r="B265" s="235" t="n"/>
      <c r="C265" s="238" t="inlineStr">
        <is>
          <t>Und</t>
        </is>
      </c>
      <c r="D265" s="18" t="inlineStr">
        <is>
          <t>Brownie Vegano</t>
        </is>
      </c>
      <c r="E265" s="277" t="n"/>
      <c r="F265" s="235" t="n"/>
      <c r="G265" s="238" t="inlineStr">
        <is>
          <t>Neucober Cob.</t>
        </is>
      </c>
      <c r="H265" s="273" t="n"/>
      <c r="I265" s="329" t="n"/>
      <c r="J265" s="274" t="n"/>
      <c r="K265" s="239" t="n"/>
    </row>
    <row r="266">
      <c r="B266" s="235" t="n"/>
      <c r="C266" s="238" t="inlineStr">
        <is>
          <t>Und</t>
        </is>
      </c>
      <c r="D266" s="1" t="inlineStr">
        <is>
          <t>Flan de Caluga</t>
        </is>
      </c>
      <c r="E266" s="277" t="n"/>
      <c r="F266" s="235" t="n"/>
      <c r="G266" s="238" t="inlineStr">
        <is>
          <t>Sicao Cob.</t>
        </is>
      </c>
      <c r="H266" s="273" t="n"/>
      <c r="I266" s="329" t="n"/>
      <c r="J266" s="274" t="n"/>
      <c r="K266" s="239" t="n"/>
    </row>
    <row r="267" ht="13.5" customHeight="1" s="95" thickBot="1">
      <c r="B267" s="235" t="n"/>
      <c r="C267" s="238" t="inlineStr">
        <is>
          <t>Und</t>
        </is>
      </c>
      <c r="D267" s="1" t="inlineStr">
        <is>
          <t>Volcán de Chocolate</t>
        </is>
      </c>
      <c r="E267" s="277" t="n"/>
      <c r="F267" s="235" t="n"/>
      <c r="G267" s="242" t="inlineStr">
        <is>
          <t>Nutella</t>
        </is>
      </c>
      <c r="H267" s="275" t="n"/>
      <c r="I267" s="344" t="n"/>
      <c r="J267" s="276" t="n"/>
      <c r="K267" s="241" t="n"/>
    </row>
    <row r="268" ht="13.5" customHeight="1" s="95" thickBot="1">
      <c r="B268" s="235" t="n"/>
      <c r="C268" s="242" t="inlineStr">
        <is>
          <t>Und</t>
        </is>
      </c>
      <c r="D268" s="31" t="inlineStr">
        <is>
          <t>Discos de Chocolate</t>
        </is>
      </c>
      <c r="E268" s="278" t="n"/>
      <c r="F268" s="235" t="n"/>
    </row>
    <row r="271" ht="15" customHeight="1" s="95">
      <c r="B271" s="232" t="inlineStr">
        <is>
          <t>Código</t>
        </is>
      </c>
      <c r="C271" s="232" t="inlineStr">
        <is>
          <t>Descripción</t>
        </is>
      </c>
      <c r="I271" s="232" t="inlineStr">
        <is>
          <t>Imp. Bruto</t>
        </is>
      </c>
      <c r="J271" s="232" t="inlineStr">
        <is>
          <t>Imp. Neto</t>
        </is>
      </c>
      <c r="L271" s="232" t="inlineStr">
        <is>
          <t>Cantidad Vendida</t>
        </is>
      </c>
      <c r="Q271" s="232" t="inlineStr">
        <is>
          <t>Precio Medio</t>
        </is>
      </c>
      <c r="T271" s="232" t="inlineStr">
        <is>
          <t>Imp. Descontado</t>
        </is>
      </c>
      <c r="V271" s="232" t="inlineStr">
        <is>
          <t>Descuento Medio</t>
        </is>
      </c>
      <c r="AA271" s="232" t="inlineStr">
        <is>
          <t>Importe de Referencia</t>
        </is>
      </c>
      <c r="AD271" s="232" t="inlineStr">
        <is>
          <t>Ref %</t>
        </is>
      </c>
      <c r="AE271" s="232" t="inlineStr">
        <is>
          <t>Tot%</t>
        </is>
      </c>
    </row>
    <row r="272">
      <c r="B272" s="279" t="n"/>
      <c r="C272" s="280" t="n"/>
      <c r="D272" s="295" t="n"/>
      <c r="E272" s="295" t="n"/>
      <c r="F272" s="295" t="n"/>
      <c r="G272" s="282" t="n"/>
      <c r="H272" s="295" t="n"/>
      <c r="I272" s="295" t="n"/>
      <c r="J272" s="282" t="n"/>
      <c r="K272" s="345" t="n"/>
      <c r="L272" s="295" t="n"/>
      <c r="M272" s="346" t="n"/>
      <c r="N272" s="295" t="n"/>
      <c r="O272" s="285" t="n"/>
      <c r="P272" s="295" t="n"/>
      <c r="Q272" s="295" t="n"/>
      <c r="R272" s="282" t="n"/>
      <c r="S272" s="295" t="n"/>
      <c r="T272" s="295" t="n"/>
      <c r="U272" s="285" t="n"/>
      <c r="V272" s="295" t="n"/>
      <c r="W272" s="282" t="n"/>
      <c r="X272" s="295" t="n"/>
      <c r="Y272" s="295" t="n"/>
      <c r="Z272" s="295" t="n"/>
      <c r="AA272" s="295" t="n"/>
      <c r="AB272" s="285" t="n"/>
      <c r="AC272" s="295" t="n"/>
      <c r="AD272" s="295" t="n"/>
      <c r="AE272" s="286" t="n"/>
    </row>
    <row r="273">
      <c r="B273" s="287" t="n"/>
      <c r="C273" s="288" t="n"/>
      <c r="D273" s="295" t="n"/>
      <c r="E273" s="295" t="n"/>
      <c r="F273" s="295" t="n"/>
      <c r="G273" s="290" t="n"/>
      <c r="H273" s="295" t="n"/>
      <c r="I273" s="295" t="n"/>
      <c r="J273" s="290" t="n"/>
      <c r="K273" s="347" t="n"/>
      <c r="L273" s="295" t="n"/>
      <c r="M273" s="348" t="n"/>
      <c r="N273" s="295" t="n"/>
      <c r="O273" s="293" t="n"/>
      <c r="P273" s="295" t="n"/>
      <c r="Q273" s="295" t="n"/>
      <c r="R273" s="290" t="n"/>
      <c r="S273" s="295" t="n"/>
      <c r="T273" s="295" t="n"/>
      <c r="U273" s="293" t="n"/>
      <c r="V273" s="295" t="n"/>
      <c r="W273" s="290" t="n"/>
      <c r="X273" s="295" t="n"/>
      <c r="Y273" s="295" t="n"/>
      <c r="Z273" s="295" t="n"/>
      <c r="AA273" s="295" t="n"/>
      <c r="AB273" s="293" t="n"/>
      <c r="AC273" s="295" t="n"/>
      <c r="AD273" s="295" t="n"/>
      <c r="AE273" s="294" t="n"/>
    </row>
    <row r="274">
      <c r="B274" s="279" t="n"/>
      <c r="C274" s="280" t="n"/>
      <c r="D274" s="295" t="n"/>
      <c r="E274" s="295" t="n"/>
      <c r="F274" s="295" t="n"/>
      <c r="G274" s="282" t="n"/>
      <c r="H274" s="295" t="n"/>
      <c r="I274" s="295" t="n"/>
      <c r="J274" s="282" t="n"/>
      <c r="K274" s="345" t="n"/>
      <c r="L274" s="295" t="n"/>
      <c r="M274" s="346" t="n"/>
      <c r="N274" s="295" t="n"/>
      <c r="O274" s="285" t="n"/>
      <c r="P274" s="295" t="n"/>
      <c r="Q274" s="295" t="n"/>
      <c r="R274" s="282" t="n"/>
      <c r="S274" s="295" t="n"/>
      <c r="T274" s="295" t="n"/>
      <c r="U274" s="285" t="n"/>
      <c r="V274" s="295" t="n"/>
      <c r="W274" s="282" t="n"/>
      <c r="X274" s="295" t="n"/>
      <c r="Y274" s="295" t="n"/>
      <c r="Z274" s="295" t="n"/>
      <c r="AA274" s="295" t="n"/>
      <c r="AB274" s="285" t="n"/>
      <c r="AC274" s="295" t="n"/>
      <c r="AD274" s="295" t="n"/>
      <c r="AE274" s="286" t="n"/>
    </row>
    <row r="275">
      <c r="B275" s="287" t="n"/>
      <c r="C275" s="288" t="n"/>
      <c r="D275" s="295" t="n"/>
      <c r="E275" s="295" t="n"/>
      <c r="F275" s="295" t="n"/>
      <c r="G275" s="290" t="n"/>
      <c r="H275" s="295" t="n"/>
      <c r="I275" s="295" t="n"/>
      <c r="J275" s="290" t="n"/>
      <c r="K275" s="347" t="n"/>
      <c r="L275" s="295" t="n"/>
      <c r="M275" s="348" t="n"/>
      <c r="N275" s="295" t="n"/>
      <c r="O275" s="293" t="n"/>
      <c r="P275" s="295" t="n"/>
      <c r="Q275" s="295" t="n"/>
      <c r="R275" s="290" t="n"/>
      <c r="S275" s="295" t="n"/>
      <c r="T275" s="295" t="n"/>
      <c r="U275" s="293" t="n"/>
      <c r="V275" s="295" t="n"/>
      <c r="W275" s="290" t="n"/>
      <c r="X275" s="295" t="n"/>
      <c r="Y275" s="295" t="n"/>
      <c r="Z275" s="295" t="n"/>
      <c r="AA275" s="295" t="n"/>
      <c r="AB275" s="293" t="n"/>
      <c r="AC275" s="295" t="n"/>
      <c r="AD275" s="295" t="n"/>
      <c r="AE275" s="294" t="n"/>
    </row>
    <row r="276">
      <c r="B276" s="279" t="n"/>
      <c r="C276" s="280" t="n"/>
      <c r="D276" s="295" t="n"/>
      <c r="E276" s="295" t="n"/>
      <c r="F276" s="295" t="n"/>
      <c r="G276" s="282" t="n"/>
      <c r="H276" s="295" t="n"/>
      <c r="I276" s="295" t="n"/>
      <c r="J276" s="282" t="n"/>
      <c r="K276" s="345" t="n"/>
      <c r="L276" s="295" t="n"/>
      <c r="M276" s="346" t="n"/>
      <c r="N276" s="295" t="n"/>
      <c r="O276" s="285" t="n"/>
      <c r="P276" s="295" t="n"/>
      <c r="Q276" s="295" t="n"/>
      <c r="R276" s="282" t="n"/>
      <c r="S276" s="295" t="n"/>
      <c r="T276" s="295" t="n"/>
      <c r="U276" s="285" t="n"/>
      <c r="V276" s="295" t="n"/>
      <c r="W276" s="282" t="n"/>
      <c r="X276" s="295" t="n"/>
      <c r="Y276" s="295" t="n"/>
      <c r="Z276" s="295" t="n"/>
      <c r="AA276" s="295" t="n"/>
      <c r="AB276" s="285" t="n"/>
      <c r="AC276" s="295" t="n"/>
      <c r="AD276" s="295" t="n"/>
      <c r="AE276" s="286" t="n"/>
    </row>
    <row r="277">
      <c r="B277" s="287" t="n"/>
      <c r="C277" s="288" t="n"/>
      <c r="D277" s="295" t="n"/>
      <c r="E277" s="295" t="n"/>
      <c r="F277" s="295" t="n"/>
      <c r="G277" s="290" t="n"/>
      <c r="H277" s="295" t="n"/>
      <c r="I277" s="295" t="n"/>
      <c r="J277" s="290" t="n"/>
      <c r="K277" s="347" t="n"/>
      <c r="L277" s="295" t="n"/>
      <c r="M277" s="348" t="n"/>
      <c r="N277" s="295" t="n"/>
      <c r="O277" s="293" t="n"/>
      <c r="P277" s="295" t="n"/>
      <c r="Q277" s="295" t="n"/>
      <c r="R277" s="290" t="n"/>
      <c r="S277" s="295" t="n"/>
      <c r="T277" s="295" t="n"/>
      <c r="U277" s="293" t="n"/>
      <c r="V277" s="295" t="n"/>
      <c r="W277" s="290" t="n"/>
      <c r="X277" s="295" t="n"/>
      <c r="Y277" s="295" t="n"/>
      <c r="Z277" s="295" t="n"/>
      <c r="AA277" s="295" t="n"/>
      <c r="AB277" s="293" t="n"/>
      <c r="AC277" s="295" t="n"/>
      <c r="AD277" s="295" t="n"/>
      <c r="AE277" s="294" t="n"/>
    </row>
    <row r="278">
      <c r="B278" s="279" t="n"/>
      <c r="C278" s="280" t="n"/>
      <c r="D278" s="295" t="n"/>
      <c r="E278" s="295" t="n"/>
      <c r="F278" s="295" t="n"/>
      <c r="G278" s="282" t="n"/>
      <c r="H278" s="295" t="n"/>
      <c r="I278" s="295" t="n"/>
      <c r="J278" s="282" t="n"/>
      <c r="K278" s="345" t="n"/>
      <c r="L278" s="295" t="n"/>
      <c r="M278" s="346" t="n"/>
      <c r="N278" s="295" t="n"/>
      <c r="O278" s="285" t="n"/>
      <c r="P278" s="295" t="n"/>
      <c r="Q278" s="295" t="n"/>
      <c r="R278" s="282" t="n"/>
      <c r="S278" s="295" t="n"/>
      <c r="T278" s="295" t="n"/>
      <c r="U278" s="285" t="n"/>
      <c r="V278" s="295" t="n"/>
      <c r="W278" s="282" t="n"/>
      <c r="X278" s="295" t="n"/>
      <c r="Y278" s="295" t="n"/>
      <c r="Z278" s="295" t="n"/>
      <c r="AA278" s="295" t="n"/>
      <c r="AB278" s="285" t="n"/>
      <c r="AC278" s="295" t="n"/>
      <c r="AD278" s="295" t="n"/>
      <c r="AE278" s="286" t="n"/>
    </row>
    <row r="279">
      <c r="B279" s="287" t="n"/>
      <c r="C279" s="288" t="n"/>
      <c r="D279" s="295" t="n"/>
      <c r="E279" s="295" t="n"/>
      <c r="F279" s="295" t="n"/>
      <c r="G279" s="290" t="n"/>
      <c r="H279" s="295" t="n"/>
      <c r="I279" s="295" t="n"/>
      <c r="J279" s="290" t="n"/>
      <c r="K279" s="347" t="n"/>
      <c r="L279" s="295" t="n"/>
      <c r="M279" s="348" t="n"/>
      <c r="N279" s="295" t="n"/>
      <c r="O279" s="293" t="n"/>
      <c r="P279" s="295" t="n"/>
      <c r="Q279" s="295" t="n"/>
      <c r="R279" s="290" t="n"/>
      <c r="S279" s="295" t="n"/>
      <c r="T279" s="295" t="n"/>
      <c r="U279" s="293" t="n"/>
      <c r="V279" s="295" t="n"/>
      <c r="W279" s="290" t="n"/>
      <c r="X279" s="295" t="n"/>
      <c r="Y279" s="295" t="n"/>
      <c r="Z279" s="295" t="n"/>
      <c r="AA279" s="295" t="n"/>
      <c r="AB279" s="293" t="n"/>
      <c r="AC279" s="295" t="n"/>
      <c r="AD279" s="295" t="n"/>
      <c r="AE279" s="294" t="n"/>
    </row>
    <row r="280">
      <c r="B280" s="279" t="n"/>
      <c r="C280" s="280" t="n"/>
      <c r="D280" s="295" t="n"/>
      <c r="E280" s="295" t="n"/>
      <c r="F280" s="295" t="n"/>
      <c r="G280" s="282" t="n"/>
      <c r="H280" s="295" t="n"/>
      <c r="I280" s="295" t="n"/>
      <c r="J280" s="282" t="n"/>
      <c r="K280" s="345" t="n"/>
      <c r="L280" s="295" t="n"/>
      <c r="M280" s="346" t="n"/>
      <c r="N280" s="295" t="n"/>
      <c r="O280" s="285" t="n"/>
      <c r="P280" s="295" t="n"/>
      <c r="Q280" s="295" t="n"/>
      <c r="R280" s="282" t="n"/>
      <c r="S280" s="295" t="n"/>
      <c r="T280" s="295" t="n"/>
      <c r="U280" s="285" t="n"/>
      <c r="V280" s="295" t="n"/>
      <c r="W280" s="282" t="n"/>
      <c r="X280" s="295" t="n"/>
      <c r="Y280" s="295" t="n"/>
      <c r="Z280" s="295" t="n"/>
      <c r="AA280" s="295" t="n"/>
      <c r="AB280" s="285" t="n"/>
      <c r="AC280" s="295" t="n"/>
      <c r="AD280" s="295" t="n"/>
      <c r="AE280" s="286" t="n"/>
    </row>
    <row r="281">
      <c r="B281" s="287" t="n"/>
      <c r="C281" s="288" t="n"/>
      <c r="D281" s="295" t="n"/>
      <c r="E281" s="295" t="n"/>
      <c r="F281" s="295" t="n"/>
      <c r="G281" s="290" t="n"/>
      <c r="H281" s="295" t="n"/>
      <c r="I281" s="295" t="n"/>
      <c r="J281" s="290" t="n"/>
      <c r="K281" s="347" t="n"/>
      <c r="L281" s="295" t="n"/>
      <c r="M281" s="348" t="n"/>
      <c r="N281" s="295" t="n"/>
      <c r="O281" s="293" t="n"/>
      <c r="P281" s="295" t="n"/>
      <c r="Q281" s="295" t="n"/>
      <c r="R281" s="290" t="n"/>
      <c r="S281" s="295" t="n"/>
      <c r="T281" s="295" t="n"/>
      <c r="U281" s="293" t="n"/>
      <c r="V281" s="295" t="n"/>
      <c r="W281" s="290" t="n"/>
      <c r="X281" s="295" t="n"/>
      <c r="Y281" s="295" t="n"/>
      <c r="Z281" s="295" t="n"/>
      <c r="AA281" s="295" t="n"/>
      <c r="AB281" s="293" t="n"/>
      <c r="AC281" s="295" t="n"/>
      <c r="AD281" s="295" t="n"/>
      <c r="AE281" s="294" t="n"/>
    </row>
    <row r="282">
      <c r="B282" s="279" t="n"/>
      <c r="C282" s="280" t="n"/>
      <c r="D282" s="295" t="n"/>
      <c r="E282" s="295" t="n"/>
      <c r="F282" s="295" t="n"/>
      <c r="G282" s="282" t="n"/>
      <c r="H282" s="295" t="n"/>
      <c r="I282" s="295" t="n"/>
      <c r="J282" s="282" t="n"/>
      <c r="K282" s="345" t="n"/>
      <c r="L282" s="295" t="n"/>
      <c r="M282" s="346" t="n"/>
      <c r="N282" s="295" t="n"/>
      <c r="O282" s="285" t="n"/>
      <c r="P282" s="295" t="n"/>
      <c r="Q282" s="295" t="n"/>
      <c r="R282" s="282" t="n"/>
      <c r="S282" s="295" t="n"/>
      <c r="T282" s="295" t="n"/>
      <c r="U282" s="285" t="n"/>
      <c r="V282" s="295" t="n"/>
      <c r="W282" s="282" t="n"/>
      <c r="X282" s="295" t="n"/>
      <c r="Y282" s="295" t="n"/>
      <c r="Z282" s="295" t="n"/>
      <c r="AA282" s="295" t="n"/>
      <c r="AB282" s="285" t="n"/>
      <c r="AC282" s="295" t="n"/>
      <c r="AD282" s="295" t="n"/>
      <c r="AE282" s="286" t="n"/>
    </row>
    <row r="283">
      <c r="B283" s="287" t="n"/>
      <c r="C283" s="288" t="n"/>
      <c r="D283" s="295" t="n"/>
      <c r="E283" s="295" t="n"/>
      <c r="F283" s="295" t="n"/>
      <c r="G283" s="290" t="n"/>
      <c r="H283" s="295" t="n"/>
      <c r="I283" s="295" t="n"/>
      <c r="J283" s="290" t="n"/>
      <c r="K283" s="347" t="n"/>
      <c r="L283" s="295" t="n"/>
      <c r="M283" s="348" t="n"/>
      <c r="N283" s="295" t="n"/>
      <c r="O283" s="293" t="n"/>
      <c r="P283" s="295" t="n"/>
      <c r="Q283" s="295" t="n"/>
      <c r="R283" s="290" t="n"/>
      <c r="S283" s="295" t="n"/>
      <c r="T283" s="295" t="n"/>
      <c r="U283" s="293" t="n"/>
      <c r="V283" s="295" t="n"/>
      <c r="W283" s="290" t="n"/>
      <c r="X283" s="295" t="n"/>
      <c r="Y283" s="295" t="n"/>
      <c r="Z283" s="295" t="n"/>
      <c r="AA283" s="295" t="n"/>
      <c r="AB283" s="293" t="n"/>
      <c r="AC283" s="295" t="n"/>
      <c r="AD283" s="295" t="n"/>
      <c r="AE283" s="294" t="n"/>
    </row>
    <row r="284">
      <c r="B284" s="279" t="n"/>
      <c r="C284" s="280" t="n"/>
      <c r="D284" s="295" t="n"/>
      <c r="E284" s="295" t="n"/>
      <c r="F284" s="295" t="n"/>
      <c r="G284" s="282" t="n"/>
      <c r="H284" s="295" t="n"/>
      <c r="I284" s="295" t="n"/>
      <c r="J284" s="282" t="n"/>
      <c r="K284" s="345" t="n"/>
      <c r="L284" s="295" t="n"/>
      <c r="M284" s="346" t="n"/>
      <c r="N284" s="295" t="n"/>
      <c r="O284" s="285" t="n"/>
      <c r="P284" s="295" t="n"/>
      <c r="Q284" s="295" t="n"/>
      <c r="R284" s="282" t="n"/>
      <c r="S284" s="295" t="n"/>
      <c r="T284" s="295" t="n"/>
      <c r="U284" s="285" t="n"/>
      <c r="V284" s="295" t="n"/>
      <c r="W284" s="282" t="n"/>
      <c r="X284" s="295" t="n"/>
      <c r="Y284" s="295" t="n"/>
      <c r="Z284" s="295" t="n"/>
      <c r="AA284" s="295" t="n"/>
      <c r="AB284" s="285" t="n"/>
      <c r="AC284" s="295" t="n"/>
      <c r="AD284" s="295" t="n"/>
      <c r="AE284" s="286" t="n"/>
    </row>
    <row r="285">
      <c r="B285" s="287" t="n"/>
      <c r="C285" s="288" t="n"/>
      <c r="D285" s="295" t="n"/>
      <c r="E285" s="295" t="n"/>
      <c r="F285" s="295" t="n"/>
      <c r="G285" s="290" t="n"/>
      <c r="H285" s="295" t="n"/>
      <c r="I285" s="295" t="n"/>
      <c r="J285" s="290" t="n"/>
      <c r="K285" s="347" t="n"/>
      <c r="L285" s="295" t="n"/>
      <c r="M285" s="348" t="n"/>
      <c r="N285" s="295" t="n"/>
      <c r="O285" s="293" t="n"/>
      <c r="P285" s="295" t="n"/>
      <c r="Q285" s="295" t="n"/>
      <c r="R285" s="290" t="n"/>
      <c r="S285" s="295" t="n"/>
      <c r="T285" s="295" t="n"/>
      <c r="U285" s="293" t="n"/>
      <c r="V285" s="295" t="n"/>
      <c r="W285" s="290" t="n"/>
      <c r="X285" s="295" t="n"/>
      <c r="Y285" s="295" t="n"/>
      <c r="Z285" s="295" t="n"/>
      <c r="AA285" s="295" t="n"/>
      <c r="AB285" s="293" t="n"/>
      <c r="AC285" s="295" t="n"/>
      <c r="AD285" s="295" t="n"/>
      <c r="AE285" s="294" t="n"/>
    </row>
    <row r="286">
      <c r="B286" s="279" t="n"/>
      <c r="C286" s="280" t="n"/>
      <c r="D286" s="295" t="n"/>
      <c r="E286" s="295" t="n"/>
      <c r="F286" s="295" t="n"/>
      <c r="G286" s="282" t="n"/>
      <c r="H286" s="295" t="n"/>
      <c r="I286" s="295" t="n"/>
      <c r="J286" s="282" t="n"/>
      <c r="K286" s="345" t="n"/>
      <c r="L286" s="295" t="n"/>
      <c r="M286" s="346" t="n"/>
      <c r="N286" s="295" t="n"/>
      <c r="O286" s="285" t="n"/>
      <c r="P286" s="295" t="n"/>
      <c r="Q286" s="295" t="n"/>
      <c r="R286" s="282" t="n"/>
      <c r="S286" s="295" t="n"/>
      <c r="T286" s="295" t="n"/>
      <c r="U286" s="285" t="n"/>
      <c r="V286" s="295" t="n"/>
      <c r="W286" s="282" t="n"/>
      <c r="X286" s="295" t="n"/>
      <c r="Y286" s="295" t="n"/>
      <c r="Z286" s="295" t="n"/>
      <c r="AA286" s="295" t="n"/>
      <c r="AB286" s="285" t="n"/>
      <c r="AC286" s="295" t="n"/>
      <c r="AD286" s="295" t="n"/>
      <c r="AE286" s="286" t="n"/>
    </row>
    <row r="287">
      <c r="B287" s="287" t="n"/>
      <c r="C287" s="288" t="n"/>
      <c r="D287" s="295" t="n"/>
      <c r="E287" s="295" t="n"/>
      <c r="F287" s="295" t="n"/>
      <c r="G287" s="290" t="n"/>
      <c r="H287" s="295" t="n"/>
      <c r="I287" s="295" t="n"/>
      <c r="J287" s="290" t="n"/>
      <c r="K287" s="347" t="n"/>
      <c r="L287" s="295" t="n"/>
      <c r="M287" s="348" t="n"/>
      <c r="N287" s="295" t="n"/>
      <c r="O287" s="293" t="n"/>
      <c r="P287" s="295" t="n"/>
      <c r="Q287" s="295" t="n"/>
      <c r="R287" s="290" t="n"/>
      <c r="S287" s="295" t="n"/>
      <c r="T287" s="295" t="n"/>
      <c r="U287" s="293" t="n"/>
      <c r="V287" s="295" t="n"/>
      <c r="W287" s="290" t="n"/>
      <c r="X287" s="295" t="n"/>
      <c r="Y287" s="295" t="n"/>
      <c r="Z287" s="295" t="n"/>
      <c r="AA287" s="295" t="n"/>
      <c r="AB287" s="293" t="n"/>
      <c r="AC287" s="295" t="n"/>
      <c r="AD287" s="295" t="n"/>
      <c r="AE287" s="294" t="n"/>
    </row>
    <row r="288">
      <c r="B288" s="279" t="n"/>
      <c r="C288" s="280" t="n"/>
      <c r="D288" s="295" t="n"/>
      <c r="E288" s="295" t="n"/>
      <c r="F288" s="295" t="n"/>
      <c r="G288" s="282" t="n"/>
      <c r="H288" s="295" t="n"/>
      <c r="I288" s="295" t="n"/>
      <c r="J288" s="282" t="n"/>
      <c r="K288" s="345" t="n"/>
      <c r="L288" s="295" t="n"/>
      <c r="M288" s="346" t="n"/>
      <c r="N288" s="295" t="n"/>
      <c r="O288" s="285" t="n"/>
      <c r="P288" s="295" t="n"/>
      <c r="Q288" s="295" t="n"/>
      <c r="R288" s="282" t="n"/>
      <c r="S288" s="295" t="n"/>
      <c r="T288" s="295" t="n"/>
      <c r="U288" s="285" t="n"/>
      <c r="V288" s="295" t="n"/>
      <c r="W288" s="282" t="n"/>
      <c r="X288" s="295" t="n"/>
      <c r="Y288" s="295" t="n"/>
      <c r="Z288" s="295" t="n"/>
      <c r="AA288" s="295" t="n"/>
      <c r="AB288" s="285" t="n"/>
      <c r="AC288" s="295" t="n"/>
      <c r="AD288" s="295" t="n"/>
      <c r="AE288" s="286" t="n"/>
    </row>
    <row r="289">
      <c r="B289" s="287" t="n"/>
      <c r="C289" s="288" t="n"/>
      <c r="D289" s="295" t="n"/>
      <c r="E289" s="295" t="n"/>
      <c r="F289" s="295" t="n"/>
      <c r="G289" s="290" t="n"/>
      <c r="H289" s="295" t="n"/>
      <c r="I289" s="295" t="n"/>
      <c r="J289" s="290" t="n"/>
      <c r="K289" s="347" t="n"/>
      <c r="L289" s="295" t="n"/>
      <c r="M289" s="348" t="n"/>
      <c r="N289" s="295" t="n"/>
      <c r="O289" s="293" t="n"/>
      <c r="P289" s="295" t="n"/>
      <c r="Q289" s="295" t="n"/>
      <c r="R289" s="290" t="n"/>
      <c r="S289" s="295" t="n"/>
      <c r="T289" s="295" t="n"/>
      <c r="U289" s="293" t="n"/>
      <c r="V289" s="295" t="n"/>
      <c r="W289" s="290" t="n"/>
      <c r="X289" s="295" t="n"/>
      <c r="Y289" s="295" t="n"/>
      <c r="Z289" s="295" t="n"/>
      <c r="AA289" s="295" t="n"/>
      <c r="AB289" s="293" t="n"/>
      <c r="AC289" s="295" t="n"/>
      <c r="AD289" s="295" t="n"/>
      <c r="AE289" s="294" t="n"/>
    </row>
    <row r="290">
      <c r="B290" s="279" t="n"/>
      <c r="C290" s="280" t="n"/>
      <c r="D290" s="295" t="n"/>
      <c r="E290" s="295" t="n"/>
      <c r="F290" s="295" t="n"/>
      <c r="G290" s="282" t="n"/>
      <c r="H290" s="295" t="n"/>
      <c r="I290" s="295" t="n"/>
      <c r="J290" s="282" t="n"/>
      <c r="K290" s="345" t="n"/>
      <c r="L290" s="295" t="n"/>
      <c r="M290" s="346" t="n"/>
      <c r="N290" s="295" t="n"/>
      <c r="O290" s="285" t="n"/>
      <c r="P290" s="295" t="n"/>
      <c r="Q290" s="295" t="n"/>
      <c r="R290" s="282" t="n"/>
      <c r="S290" s="295" t="n"/>
      <c r="T290" s="295" t="n"/>
      <c r="U290" s="285" t="n"/>
      <c r="V290" s="295" t="n"/>
      <c r="W290" s="282" t="n"/>
      <c r="X290" s="295" t="n"/>
      <c r="Y290" s="295" t="n"/>
      <c r="Z290" s="295" t="n"/>
      <c r="AA290" s="295" t="n"/>
      <c r="AB290" s="285" t="n"/>
      <c r="AC290" s="295" t="n"/>
      <c r="AD290" s="295" t="n"/>
      <c r="AE290" s="286" t="n"/>
    </row>
    <row r="291">
      <c r="B291" s="287" t="n"/>
      <c r="C291" s="288" t="n"/>
      <c r="D291" s="295" t="n"/>
      <c r="E291" s="295" t="n"/>
      <c r="F291" s="295" t="n"/>
      <c r="G291" s="290" t="n"/>
      <c r="H291" s="295" t="n"/>
      <c r="I291" s="295" t="n"/>
      <c r="J291" s="290" t="n"/>
      <c r="K291" s="347" t="n"/>
      <c r="L291" s="295" t="n"/>
      <c r="M291" s="348" t="n"/>
      <c r="N291" s="295" t="n"/>
      <c r="O291" s="293" t="n"/>
      <c r="P291" s="295" t="n"/>
      <c r="Q291" s="295" t="n"/>
      <c r="R291" s="290" t="n"/>
      <c r="S291" s="295" t="n"/>
      <c r="T291" s="295" t="n"/>
      <c r="U291" s="293" t="n"/>
      <c r="V291" s="295" t="n"/>
      <c r="W291" s="290" t="n"/>
      <c r="X291" s="295" t="n"/>
      <c r="Y291" s="295" t="n"/>
      <c r="Z291" s="295" t="n"/>
      <c r="AA291" s="295" t="n"/>
      <c r="AB291" s="293" t="n"/>
      <c r="AC291" s="295" t="n"/>
      <c r="AD291" s="295" t="n"/>
      <c r="AE291" s="294" t="n"/>
    </row>
    <row r="292">
      <c r="B292" s="279" t="n"/>
      <c r="C292" s="280" t="n"/>
      <c r="D292" s="295" t="n"/>
      <c r="E292" s="295" t="n"/>
      <c r="F292" s="295" t="n"/>
      <c r="G292" s="282" t="n"/>
      <c r="H292" s="295" t="n"/>
      <c r="I292" s="295" t="n"/>
      <c r="J292" s="282" t="n"/>
      <c r="K292" s="345" t="n"/>
      <c r="L292" s="295" t="n"/>
      <c r="M292" s="346" t="n"/>
      <c r="N292" s="295" t="n"/>
      <c r="O292" s="285" t="n"/>
      <c r="P292" s="295" t="n"/>
      <c r="Q292" s="295" t="n"/>
      <c r="R292" s="282" t="n"/>
      <c r="S292" s="295" t="n"/>
      <c r="T292" s="295" t="n"/>
      <c r="U292" s="285" t="n"/>
      <c r="V292" s="295" t="n"/>
      <c r="W292" s="282" t="n"/>
      <c r="X292" s="295" t="n"/>
      <c r="Y292" s="295" t="n"/>
      <c r="Z292" s="295" t="n"/>
      <c r="AA292" s="295" t="n"/>
      <c r="AB292" s="285" t="n"/>
      <c r="AC292" s="295" t="n"/>
      <c r="AD292" s="295" t="n"/>
      <c r="AE292" s="286" t="n"/>
    </row>
    <row r="293">
      <c r="B293" s="287" t="n"/>
      <c r="C293" s="288" t="n"/>
      <c r="D293" s="295" t="n"/>
      <c r="E293" s="295" t="n"/>
      <c r="F293" s="295" t="n"/>
      <c r="G293" s="290" t="n"/>
      <c r="H293" s="295" t="n"/>
      <c r="I293" s="295" t="n"/>
      <c r="J293" s="290" t="n"/>
      <c r="K293" s="347" t="n"/>
      <c r="L293" s="295" t="n"/>
      <c r="M293" s="348" t="n"/>
      <c r="N293" s="295" t="n"/>
      <c r="O293" s="293" t="n"/>
      <c r="P293" s="295" t="n"/>
      <c r="Q293" s="295" t="n"/>
      <c r="R293" s="290" t="n"/>
      <c r="S293" s="295" t="n"/>
      <c r="T293" s="295" t="n"/>
      <c r="U293" s="293" t="n"/>
      <c r="V293" s="295" t="n"/>
      <c r="W293" s="290" t="n"/>
      <c r="X293" s="295" t="n"/>
      <c r="Y293" s="295" t="n"/>
      <c r="Z293" s="295" t="n"/>
      <c r="AA293" s="295" t="n"/>
      <c r="AB293" s="293" t="n"/>
      <c r="AC293" s="295" t="n"/>
      <c r="AD293" s="295" t="n"/>
      <c r="AE293" s="294" t="n"/>
    </row>
    <row r="294">
      <c r="B294" s="279" t="n"/>
      <c r="C294" s="280" t="n"/>
      <c r="D294" s="295" t="n"/>
      <c r="E294" s="295" t="n"/>
      <c r="F294" s="295" t="n"/>
      <c r="G294" s="282" t="n"/>
      <c r="H294" s="295" t="n"/>
      <c r="I294" s="295" t="n"/>
      <c r="J294" s="282" t="n"/>
      <c r="K294" s="345" t="n"/>
      <c r="L294" s="295" t="n"/>
      <c r="M294" s="346" t="n"/>
      <c r="N294" s="295" t="n"/>
      <c r="O294" s="285" t="n"/>
      <c r="P294" s="295" t="n"/>
      <c r="Q294" s="295" t="n"/>
      <c r="R294" s="282" t="n"/>
      <c r="S294" s="295" t="n"/>
      <c r="T294" s="295" t="n"/>
      <c r="U294" s="285" t="n"/>
      <c r="V294" s="295" t="n"/>
      <c r="W294" s="282" t="n"/>
      <c r="X294" s="295" t="n"/>
      <c r="Y294" s="295" t="n"/>
      <c r="Z294" s="295" t="n"/>
      <c r="AA294" s="295" t="n"/>
      <c r="AB294" s="285" t="n"/>
      <c r="AC294" s="295" t="n"/>
      <c r="AD294" s="295" t="n"/>
      <c r="AE294" s="286" t="n"/>
    </row>
    <row r="295">
      <c r="B295" s="287" t="n"/>
      <c r="C295" s="288" t="n"/>
      <c r="D295" s="295" t="n"/>
      <c r="E295" s="295" t="n"/>
      <c r="F295" s="295" t="n"/>
      <c r="G295" s="290" t="n"/>
      <c r="H295" s="295" t="n"/>
      <c r="I295" s="295" t="n"/>
      <c r="J295" s="290" t="n"/>
      <c r="K295" s="347" t="n"/>
      <c r="L295" s="295" t="n"/>
      <c r="M295" s="348" t="n"/>
      <c r="N295" s="295" t="n"/>
      <c r="O295" s="293" t="n"/>
      <c r="P295" s="295" t="n"/>
      <c r="Q295" s="295" t="n"/>
      <c r="R295" s="290" t="n"/>
      <c r="S295" s="295" t="n"/>
      <c r="T295" s="295" t="n"/>
      <c r="U295" s="293" t="n"/>
      <c r="V295" s="295" t="n"/>
      <c r="W295" s="290" t="n"/>
      <c r="X295" s="295" t="n"/>
      <c r="Y295" s="295" t="n"/>
      <c r="Z295" s="295" t="n"/>
      <c r="AA295" s="295" t="n"/>
      <c r="AB295" s="293" t="n"/>
      <c r="AC295" s="295" t="n"/>
      <c r="AD295" s="295" t="n"/>
      <c r="AE295" s="294" t="n"/>
    </row>
    <row r="296">
      <c r="B296" s="279" t="n"/>
      <c r="C296" s="280" t="n"/>
      <c r="D296" s="295" t="n"/>
      <c r="E296" s="295" t="n"/>
      <c r="F296" s="295" t="n"/>
      <c r="G296" s="282" t="n"/>
      <c r="H296" s="295" t="n"/>
      <c r="I296" s="295" t="n"/>
      <c r="J296" s="282" t="n"/>
      <c r="K296" s="345" t="n"/>
      <c r="L296" s="295" t="n"/>
      <c r="M296" s="346" t="n"/>
      <c r="N296" s="295" t="n"/>
      <c r="O296" s="285" t="n"/>
      <c r="P296" s="295" t="n"/>
      <c r="Q296" s="295" t="n"/>
      <c r="R296" s="282" t="n"/>
      <c r="S296" s="295" t="n"/>
      <c r="T296" s="295" t="n"/>
      <c r="U296" s="285" t="n"/>
      <c r="V296" s="295" t="n"/>
      <c r="W296" s="282" t="n"/>
      <c r="X296" s="295" t="n"/>
      <c r="Y296" s="295" t="n"/>
      <c r="Z296" s="295" t="n"/>
      <c r="AA296" s="295" t="n"/>
      <c r="AB296" s="285" t="n"/>
      <c r="AC296" s="295" t="n"/>
      <c r="AD296" s="295" t="n"/>
      <c r="AE296" s="286" t="n"/>
    </row>
    <row r="297">
      <c r="B297" s="287" t="n"/>
      <c r="C297" s="288" t="n"/>
      <c r="D297" s="295" t="n"/>
      <c r="E297" s="295" t="n"/>
      <c r="F297" s="295" t="n"/>
      <c r="G297" s="290" t="n"/>
      <c r="H297" s="295" t="n"/>
      <c r="I297" s="295" t="n"/>
      <c r="J297" s="290" t="n"/>
      <c r="K297" s="347" t="n"/>
      <c r="L297" s="295" t="n"/>
      <c r="M297" s="348" t="n"/>
      <c r="N297" s="295" t="n"/>
      <c r="O297" s="293" t="n"/>
      <c r="P297" s="295" t="n"/>
      <c r="Q297" s="295" t="n"/>
      <c r="R297" s="290" t="n"/>
      <c r="S297" s="295" t="n"/>
      <c r="T297" s="295" t="n"/>
      <c r="U297" s="293" t="n"/>
      <c r="V297" s="295" t="n"/>
      <c r="W297" s="290" t="n"/>
      <c r="X297" s="295" t="n"/>
      <c r="Y297" s="295" t="n"/>
      <c r="Z297" s="295" t="n"/>
      <c r="AA297" s="295" t="n"/>
      <c r="AB297" s="293" t="n"/>
      <c r="AC297" s="295" t="n"/>
      <c r="AD297" s="295" t="n"/>
      <c r="AE297" s="294" t="n"/>
    </row>
    <row r="298">
      <c r="B298" s="279" t="n"/>
      <c r="C298" s="280" t="n"/>
      <c r="D298" s="295" t="n"/>
      <c r="E298" s="295" t="n"/>
      <c r="F298" s="295" t="n"/>
      <c r="G298" s="282" t="n"/>
      <c r="H298" s="295" t="n"/>
      <c r="I298" s="295" t="n"/>
      <c r="J298" s="282" t="n"/>
      <c r="K298" s="345" t="n"/>
      <c r="L298" s="295" t="n"/>
      <c r="M298" s="346" t="n"/>
      <c r="N298" s="295" t="n"/>
      <c r="O298" s="285" t="n"/>
      <c r="P298" s="295" t="n"/>
      <c r="Q298" s="295" t="n"/>
      <c r="R298" s="282" t="n"/>
      <c r="S298" s="295" t="n"/>
      <c r="T298" s="295" t="n"/>
      <c r="U298" s="285" t="n"/>
      <c r="V298" s="295" t="n"/>
      <c r="W298" s="282" t="n"/>
      <c r="X298" s="295" t="n"/>
      <c r="Y298" s="295" t="n"/>
      <c r="Z298" s="295" t="n"/>
      <c r="AA298" s="295" t="n"/>
      <c r="AB298" s="285" t="n"/>
      <c r="AC298" s="295" t="n"/>
      <c r="AD298" s="295" t="n"/>
      <c r="AE298" s="286" t="n"/>
    </row>
    <row r="299">
      <c r="B299" s="287" t="n"/>
      <c r="C299" s="288" t="n"/>
      <c r="D299" s="295" t="n"/>
      <c r="E299" s="295" t="n"/>
      <c r="F299" s="295" t="n"/>
      <c r="G299" s="290" t="n"/>
      <c r="H299" s="295" t="n"/>
      <c r="I299" s="295" t="n"/>
      <c r="J299" s="290" t="n"/>
      <c r="K299" s="347" t="n"/>
      <c r="L299" s="295" t="n"/>
      <c r="M299" s="348" t="n"/>
      <c r="N299" s="295" t="n"/>
      <c r="O299" s="293" t="n"/>
      <c r="P299" s="295" t="n"/>
      <c r="Q299" s="295" t="n"/>
      <c r="R299" s="290" t="n"/>
      <c r="S299" s="295" t="n"/>
      <c r="T299" s="295" t="n"/>
      <c r="U299" s="293" t="n"/>
      <c r="V299" s="295" t="n"/>
      <c r="W299" s="290" t="n"/>
      <c r="X299" s="295" t="n"/>
      <c r="Y299" s="295" t="n"/>
      <c r="Z299" s="295" t="n"/>
      <c r="AA299" s="295" t="n"/>
      <c r="AB299" s="293" t="n"/>
      <c r="AC299" s="295" t="n"/>
      <c r="AD299" s="295" t="n"/>
      <c r="AE299" s="294" t="n"/>
    </row>
    <row r="300">
      <c r="B300" s="279" t="n"/>
      <c r="C300" s="280" t="n"/>
      <c r="D300" s="295" t="n"/>
      <c r="E300" s="295" t="n"/>
      <c r="F300" s="295" t="n"/>
      <c r="G300" s="282" t="n"/>
      <c r="H300" s="295" t="n"/>
      <c r="I300" s="295" t="n"/>
      <c r="J300" s="282" t="n"/>
      <c r="K300" s="345" t="n"/>
      <c r="L300" s="295" t="n"/>
      <c r="M300" s="346" t="n"/>
      <c r="N300" s="295" t="n"/>
      <c r="O300" s="285" t="n"/>
      <c r="P300" s="295" t="n"/>
      <c r="Q300" s="295" t="n"/>
      <c r="R300" s="282" t="n"/>
      <c r="S300" s="295" t="n"/>
      <c r="T300" s="295" t="n"/>
      <c r="U300" s="285" t="n"/>
      <c r="V300" s="295" t="n"/>
      <c r="W300" s="282" t="n"/>
      <c r="X300" s="295" t="n"/>
      <c r="Y300" s="295" t="n"/>
      <c r="Z300" s="295" t="n"/>
      <c r="AA300" s="295" t="n"/>
      <c r="AB300" s="285" t="n"/>
      <c r="AC300" s="295" t="n"/>
      <c r="AD300" s="295" t="n"/>
      <c r="AE300" s="286" t="n"/>
    </row>
    <row r="301">
      <c r="B301" s="287" t="n"/>
      <c r="C301" s="288" t="n"/>
      <c r="D301" s="295" t="n"/>
      <c r="E301" s="295" t="n"/>
      <c r="F301" s="295" t="n"/>
      <c r="G301" s="290" t="n"/>
      <c r="H301" s="295" t="n"/>
      <c r="I301" s="295" t="n"/>
      <c r="J301" s="290" t="n"/>
      <c r="K301" s="347" t="n"/>
      <c r="L301" s="295" t="n"/>
      <c r="M301" s="348" t="n"/>
      <c r="N301" s="295" t="n"/>
      <c r="O301" s="293" t="n"/>
      <c r="P301" s="295" t="n"/>
      <c r="Q301" s="295" t="n"/>
      <c r="R301" s="290" t="n"/>
      <c r="S301" s="295" t="n"/>
      <c r="T301" s="295" t="n"/>
      <c r="U301" s="293" t="n"/>
      <c r="V301" s="295" t="n"/>
      <c r="W301" s="290" t="n"/>
      <c r="X301" s="295" t="n"/>
      <c r="Y301" s="295" t="n"/>
      <c r="Z301" s="295" t="n"/>
      <c r="AA301" s="295" t="n"/>
      <c r="AB301" s="293" t="n"/>
      <c r="AC301" s="295" t="n"/>
      <c r="AD301" s="295" t="n"/>
      <c r="AE301" s="294" t="n"/>
    </row>
    <row r="302">
      <c r="B302" s="279" t="n"/>
      <c r="C302" s="280" t="n"/>
      <c r="D302" s="295" t="n"/>
      <c r="E302" s="295" t="n"/>
      <c r="F302" s="295" t="n"/>
      <c r="G302" s="282" t="n"/>
      <c r="H302" s="295" t="n"/>
      <c r="I302" s="295" t="n"/>
      <c r="J302" s="282" t="n"/>
      <c r="K302" s="345" t="n"/>
      <c r="L302" s="295" t="n"/>
      <c r="M302" s="346" t="n"/>
      <c r="N302" s="295" t="n"/>
      <c r="O302" s="285" t="n"/>
      <c r="P302" s="295" t="n"/>
      <c r="Q302" s="295" t="n"/>
      <c r="R302" s="282" t="n"/>
      <c r="S302" s="295" t="n"/>
      <c r="T302" s="295" t="n"/>
      <c r="U302" s="285" t="n"/>
      <c r="V302" s="295" t="n"/>
      <c r="W302" s="282" t="n"/>
      <c r="X302" s="295" t="n"/>
      <c r="Y302" s="295" t="n"/>
      <c r="Z302" s="295" t="n"/>
      <c r="AA302" s="295" t="n"/>
      <c r="AB302" s="285" t="n"/>
      <c r="AC302" s="295" t="n"/>
      <c r="AD302" s="295" t="n"/>
      <c r="AE302" s="286" t="n"/>
    </row>
    <row r="303">
      <c r="B303" s="287" t="n"/>
      <c r="C303" s="288" t="n"/>
      <c r="D303" s="295" t="n"/>
      <c r="E303" s="295" t="n"/>
      <c r="F303" s="295" t="n"/>
      <c r="G303" s="290" t="n"/>
      <c r="H303" s="295" t="n"/>
      <c r="I303" s="295" t="n"/>
      <c r="J303" s="290" t="n"/>
      <c r="K303" s="347" t="n"/>
      <c r="L303" s="295" t="n"/>
      <c r="M303" s="348" t="n"/>
      <c r="N303" s="295" t="n"/>
      <c r="O303" s="293" t="n"/>
      <c r="P303" s="295" t="n"/>
      <c r="Q303" s="295" t="n"/>
      <c r="R303" s="290" t="n"/>
      <c r="S303" s="295" t="n"/>
      <c r="T303" s="295" t="n"/>
      <c r="U303" s="293" t="n"/>
      <c r="V303" s="295" t="n"/>
      <c r="W303" s="290" t="n"/>
      <c r="X303" s="295" t="n"/>
      <c r="Y303" s="295" t="n"/>
      <c r="Z303" s="295" t="n"/>
      <c r="AA303" s="295" t="n"/>
      <c r="AB303" s="293" t="n"/>
      <c r="AC303" s="295" t="n"/>
      <c r="AD303" s="295" t="n"/>
      <c r="AE303" s="294" t="n"/>
    </row>
    <row r="304">
      <c r="B304" s="279" t="n"/>
      <c r="C304" s="280" t="n"/>
      <c r="D304" s="295" t="n"/>
      <c r="E304" s="295" t="n"/>
      <c r="F304" s="295" t="n"/>
      <c r="G304" s="282" t="n"/>
      <c r="H304" s="295" t="n"/>
      <c r="I304" s="295" t="n"/>
      <c r="J304" s="282" t="n"/>
      <c r="K304" s="345" t="n"/>
      <c r="L304" s="295" t="n"/>
      <c r="M304" s="346" t="n"/>
      <c r="N304" s="295" t="n"/>
      <c r="O304" s="285" t="n"/>
      <c r="P304" s="295" t="n"/>
      <c r="Q304" s="295" t="n"/>
      <c r="R304" s="282" t="n"/>
      <c r="S304" s="295" t="n"/>
      <c r="T304" s="295" t="n"/>
      <c r="U304" s="285" t="n"/>
      <c r="V304" s="295" t="n"/>
      <c r="W304" s="282" t="n"/>
      <c r="X304" s="295" t="n"/>
      <c r="Y304" s="295" t="n"/>
      <c r="Z304" s="295" t="n"/>
      <c r="AA304" s="295" t="n"/>
      <c r="AB304" s="285" t="n"/>
      <c r="AC304" s="295" t="n"/>
      <c r="AD304" s="295" t="n"/>
      <c r="AE304" s="286" t="n"/>
    </row>
    <row r="305">
      <c r="B305" s="287" t="n"/>
      <c r="C305" s="288" t="n"/>
      <c r="D305" s="295" t="n"/>
      <c r="E305" s="295" t="n"/>
      <c r="F305" s="295" t="n"/>
      <c r="G305" s="290" t="n"/>
      <c r="H305" s="295" t="n"/>
      <c r="I305" s="295" t="n"/>
      <c r="J305" s="290" t="n"/>
      <c r="K305" s="347" t="n"/>
      <c r="L305" s="295" t="n"/>
      <c r="M305" s="348" t="n"/>
      <c r="N305" s="295" t="n"/>
      <c r="O305" s="293" t="n"/>
      <c r="P305" s="295" t="n"/>
      <c r="Q305" s="295" t="n"/>
      <c r="R305" s="290" t="n"/>
      <c r="S305" s="295" t="n"/>
      <c r="T305" s="295" t="n"/>
      <c r="U305" s="293" t="n"/>
      <c r="V305" s="295" t="n"/>
      <c r="W305" s="290" t="n"/>
      <c r="X305" s="295" t="n"/>
      <c r="Y305" s="295" t="n"/>
      <c r="Z305" s="295" t="n"/>
      <c r="AA305" s="295" t="n"/>
      <c r="AB305" s="293" t="n"/>
      <c r="AC305" s="295" t="n"/>
      <c r="AD305" s="295" t="n"/>
      <c r="AE305" s="294" t="n"/>
    </row>
    <row r="306">
      <c r="B306" s="279" t="n"/>
      <c r="C306" s="280" t="n"/>
      <c r="D306" s="295" t="n"/>
      <c r="E306" s="295" t="n"/>
      <c r="F306" s="295" t="n"/>
      <c r="G306" s="282" t="n"/>
      <c r="H306" s="295" t="n"/>
      <c r="I306" s="295" t="n"/>
      <c r="J306" s="282" t="n"/>
      <c r="K306" s="345" t="n"/>
      <c r="L306" s="295" t="n"/>
      <c r="M306" s="346" t="n"/>
      <c r="N306" s="295" t="n"/>
      <c r="O306" s="285" t="n"/>
      <c r="P306" s="295" t="n"/>
      <c r="Q306" s="295" t="n"/>
      <c r="R306" s="282" t="n"/>
      <c r="S306" s="295" t="n"/>
      <c r="T306" s="295" t="n"/>
      <c r="U306" s="285" t="n"/>
      <c r="V306" s="295" t="n"/>
      <c r="W306" s="282" t="n"/>
      <c r="X306" s="295" t="n"/>
      <c r="Y306" s="295" t="n"/>
      <c r="Z306" s="295" t="n"/>
      <c r="AA306" s="295" t="n"/>
      <c r="AB306" s="285" t="n"/>
      <c r="AC306" s="295" t="n"/>
      <c r="AD306" s="295" t="n"/>
      <c r="AE306" s="286" t="n"/>
    </row>
    <row r="307">
      <c r="B307" s="287" t="n"/>
      <c r="C307" s="288" t="n"/>
      <c r="D307" s="295" t="n"/>
      <c r="E307" s="295" t="n"/>
      <c r="F307" s="295" t="n"/>
      <c r="G307" s="290" t="n"/>
      <c r="H307" s="295" t="n"/>
      <c r="I307" s="295" t="n"/>
      <c r="J307" s="290" t="n"/>
      <c r="K307" s="347" t="n"/>
      <c r="L307" s="295" t="n"/>
      <c r="M307" s="348" t="n"/>
      <c r="N307" s="295" t="n"/>
      <c r="O307" s="293" t="n"/>
      <c r="P307" s="295" t="n"/>
      <c r="Q307" s="295" t="n"/>
      <c r="R307" s="290" t="n"/>
      <c r="S307" s="295" t="n"/>
      <c r="T307" s="295" t="n"/>
      <c r="U307" s="293" t="n"/>
      <c r="V307" s="295" t="n"/>
      <c r="W307" s="290" t="n"/>
      <c r="X307" s="295" t="n"/>
      <c r="Y307" s="295" t="n"/>
      <c r="Z307" s="295" t="n"/>
      <c r="AA307" s="295" t="n"/>
      <c r="AB307" s="293" t="n"/>
      <c r="AC307" s="295" t="n"/>
      <c r="AD307" s="295" t="n"/>
      <c r="AE307" s="294" t="n"/>
    </row>
    <row r="308">
      <c r="B308" s="279" t="n"/>
      <c r="C308" s="280" t="n"/>
      <c r="D308" s="295" t="n"/>
      <c r="E308" s="295" t="n"/>
      <c r="F308" s="295" t="n"/>
      <c r="G308" s="282" t="n"/>
      <c r="H308" s="295" t="n"/>
      <c r="I308" s="295" t="n"/>
      <c r="J308" s="282" t="n"/>
      <c r="K308" s="345" t="n"/>
      <c r="L308" s="295" t="n"/>
      <c r="M308" s="346" t="n"/>
      <c r="N308" s="295" t="n"/>
      <c r="O308" s="285" t="n"/>
      <c r="P308" s="295" t="n"/>
      <c r="Q308" s="295" t="n"/>
      <c r="R308" s="282" t="n"/>
      <c r="S308" s="295" t="n"/>
      <c r="T308" s="295" t="n"/>
      <c r="U308" s="285" t="n"/>
      <c r="V308" s="295" t="n"/>
      <c r="W308" s="282" t="n"/>
      <c r="X308" s="295" t="n"/>
      <c r="Y308" s="295" t="n"/>
      <c r="Z308" s="295" t="n"/>
      <c r="AA308" s="295" t="n"/>
      <c r="AB308" s="285" t="n"/>
      <c r="AC308" s="295" t="n"/>
      <c r="AD308" s="295" t="n"/>
      <c r="AE308" s="286" t="n"/>
    </row>
    <row r="309">
      <c r="B309" s="287" t="n"/>
      <c r="C309" s="288" t="n"/>
      <c r="D309" s="295" t="n"/>
      <c r="E309" s="295" t="n"/>
      <c r="F309" s="295" t="n"/>
      <c r="G309" s="290" t="n"/>
      <c r="H309" s="295" t="n"/>
      <c r="I309" s="295" t="n"/>
      <c r="J309" s="290" t="n"/>
      <c r="K309" s="347" t="n"/>
      <c r="L309" s="295" t="n"/>
      <c r="M309" s="348" t="n"/>
      <c r="N309" s="295" t="n"/>
      <c r="O309" s="293" t="n"/>
      <c r="P309" s="295" t="n"/>
      <c r="Q309" s="295" t="n"/>
      <c r="R309" s="290" t="n"/>
      <c r="S309" s="295" t="n"/>
      <c r="T309" s="295" t="n"/>
      <c r="U309" s="293" t="n"/>
      <c r="V309" s="295" t="n"/>
      <c r="W309" s="290" t="n"/>
      <c r="X309" s="295" t="n"/>
      <c r="Y309" s="295" t="n"/>
      <c r="Z309" s="295" t="n"/>
      <c r="AA309" s="295" t="n"/>
      <c r="AB309" s="293" t="n"/>
      <c r="AC309" s="295" t="n"/>
      <c r="AD309" s="295" t="n"/>
      <c r="AE309" s="294" t="n"/>
    </row>
    <row r="310">
      <c r="B310" s="279" t="n"/>
      <c r="C310" s="280" t="n"/>
      <c r="D310" s="295" t="n"/>
      <c r="E310" s="295" t="n"/>
      <c r="F310" s="295" t="n"/>
      <c r="G310" s="282" t="n"/>
      <c r="H310" s="295" t="n"/>
      <c r="I310" s="295" t="n"/>
      <c r="J310" s="282" t="n"/>
      <c r="K310" s="345" t="n"/>
      <c r="L310" s="295" t="n"/>
      <c r="M310" s="346" t="n"/>
      <c r="N310" s="295" t="n"/>
      <c r="O310" s="285" t="n"/>
      <c r="P310" s="295" t="n"/>
      <c r="Q310" s="295" t="n"/>
      <c r="R310" s="282" t="n"/>
      <c r="S310" s="295" t="n"/>
      <c r="T310" s="295" t="n"/>
      <c r="U310" s="285" t="n"/>
      <c r="V310" s="295" t="n"/>
      <c r="W310" s="282" t="n"/>
      <c r="X310" s="295" t="n"/>
      <c r="Y310" s="295" t="n"/>
      <c r="Z310" s="295" t="n"/>
      <c r="AA310" s="295" t="n"/>
      <c r="AB310" s="285" t="n"/>
      <c r="AC310" s="295" t="n"/>
      <c r="AD310" s="295" t="n"/>
      <c r="AE310" s="286" t="n"/>
    </row>
    <row r="311">
      <c r="B311" s="287" t="n"/>
      <c r="C311" s="288" t="n"/>
      <c r="D311" s="295" t="n"/>
      <c r="E311" s="295" t="n"/>
      <c r="F311" s="295" t="n"/>
      <c r="G311" s="290" t="n"/>
      <c r="H311" s="295" t="n"/>
      <c r="I311" s="295" t="n"/>
      <c r="J311" s="290" t="n"/>
      <c r="K311" s="347" t="n"/>
      <c r="L311" s="295" t="n"/>
      <c r="M311" s="348" t="n"/>
      <c r="N311" s="295" t="n"/>
      <c r="O311" s="293" t="n"/>
      <c r="P311" s="295" t="n"/>
      <c r="Q311" s="295" t="n"/>
      <c r="R311" s="290" t="n"/>
      <c r="S311" s="295" t="n"/>
      <c r="T311" s="295" t="n"/>
      <c r="U311" s="293" t="n"/>
      <c r="V311" s="295" t="n"/>
      <c r="W311" s="290" t="n"/>
      <c r="X311" s="295" t="n"/>
      <c r="Y311" s="295" t="n"/>
      <c r="Z311" s="295" t="n"/>
      <c r="AA311" s="295" t="n"/>
      <c r="AB311" s="293" t="n"/>
      <c r="AC311" s="295" t="n"/>
      <c r="AD311" s="295" t="n"/>
      <c r="AE311" s="294" t="n"/>
    </row>
    <row r="312">
      <c r="B312" s="279" t="n"/>
      <c r="C312" s="280" t="n"/>
      <c r="D312" s="295" t="n"/>
      <c r="E312" s="295" t="n"/>
      <c r="F312" s="295" t="n"/>
      <c r="G312" s="282" t="n"/>
      <c r="H312" s="295" t="n"/>
      <c r="I312" s="295" t="n"/>
      <c r="J312" s="282" t="n"/>
      <c r="K312" s="345" t="n"/>
      <c r="L312" s="295" t="n"/>
      <c r="M312" s="346" t="n"/>
      <c r="N312" s="295" t="n"/>
      <c r="O312" s="285" t="n"/>
      <c r="P312" s="295" t="n"/>
      <c r="Q312" s="295" t="n"/>
      <c r="R312" s="282" t="n"/>
      <c r="S312" s="295" t="n"/>
      <c r="T312" s="295" t="n"/>
      <c r="U312" s="285" t="n"/>
      <c r="V312" s="295" t="n"/>
      <c r="W312" s="282" t="n"/>
      <c r="X312" s="295" t="n"/>
      <c r="Y312" s="295" t="n"/>
      <c r="Z312" s="295" t="n"/>
      <c r="AA312" s="295" t="n"/>
      <c r="AB312" s="285" t="n"/>
      <c r="AC312" s="295" t="n"/>
      <c r="AD312" s="295" t="n"/>
      <c r="AE312" s="286" t="n"/>
    </row>
    <row r="313">
      <c r="B313" s="287" t="n"/>
      <c r="C313" s="288" t="n"/>
      <c r="D313" s="295" t="n"/>
      <c r="E313" s="295" t="n"/>
      <c r="F313" s="295" t="n"/>
      <c r="G313" s="290" t="n"/>
      <c r="H313" s="295" t="n"/>
      <c r="I313" s="295" t="n"/>
      <c r="J313" s="290" t="n"/>
      <c r="K313" s="347" t="n"/>
      <c r="L313" s="295" t="n"/>
      <c r="M313" s="348" t="n"/>
      <c r="N313" s="295" t="n"/>
      <c r="O313" s="293" t="n"/>
      <c r="P313" s="295" t="n"/>
      <c r="Q313" s="295" t="n"/>
      <c r="R313" s="290" t="n"/>
      <c r="S313" s="295" t="n"/>
      <c r="T313" s="295" t="n"/>
      <c r="U313" s="293" t="n"/>
      <c r="V313" s="295" t="n"/>
      <c r="W313" s="290" t="n"/>
      <c r="X313" s="295" t="n"/>
      <c r="Y313" s="295" t="n"/>
      <c r="Z313" s="295" t="n"/>
      <c r="AA313" s="295" t="n"/>
      <c r="AB313" s="293" t="n"/>
      <c r="AC313" s="295" t="n"/>
      <c r="AD313" s="295" t="n"/>
      <c r="AE313" s="294" t="n"/>
    </row>
    <row r="314">
      <c r="B314" s="279" t="n"/>
      <c r="C314" s="280" t="n"/>
      <c r="D314" s="295" t="n"/>
      <c r="E314" s="295" t="n"/>
      <c r="F314" s="295" t="n"/>
      <c r="G314" s="282" t="n"/>
      <c r="H314" s="295" t="n"/>
      <c r="I314" s="295" t="n"/>
      <c r="J314" s="282" t="n"/>
      <c r="K314" s="345" t="n"/>
      <c r="L314" s="295" t="n"/>
      <c r="M314" s="346" t="n"/>
      <c r="N314" s="295" t="n"/>
      <c r="O314" s="285" t="n"/>
      <c r="P314" s="295" t="n"/>
      <c r="Q314" s="295" t="n"/>
      <c r="R314" s="282" t="n"/>
      <c r="S314" s="295" t="n"/>
      <c r="T314" s="295" t="n"/>
      <c r="U314" s="285" t="n"/>
      <c r="V314" s="295" t="n"/>
      <c r="W314" s="282" t="n"/>
      <c r="X314" s="295" t="n"/>
      <c r="Y314" s="295" t="n"/>
      <c r="Z314" s="295" t="n"/>
      <c r="AA314" s="295" t="n"/>
      <c r="AB314" s="285" t="n"/>
      <c r="AC314" s="295" t="n"/>
      <c r="AD314" s="295" t="n"/>
      <c r="AE314" s="286" t="n"/>
    </row>
    <row r="315">
      <c r="B315" s="287" t="n"/>
      <c r="C315" s="288" t="n"/>
      <c r="D315" s="295" t="n"/>
      <c r="E315" s="295" t="n"/>
      <c r="F315" s="295" t="n"/>
      <c r="G315" s="290" t="n"/>
      <c r="H315" s="295" t="n"/>
      <c r="I315" s="295" t="n"/>
      <c r="J315" s="290" t="n"/>
      <c r="K315" s="347" t="n"/>
      <c r="L315" s="295" t="n"/>
      <c r="M315" s="348" t="n"/>
      <c r="N315" s="295" t="n"/>
      <c r="O315" s="293" t="n"/>
      <c r="P315" s="295" t="n"/>
      <c r="Q315" s="295" t="n"/>
      <c r="R315" s="290" t="n"/>
      <c r="S315" s="295" t="n"/>
      <c r="T315" s="295" t="n"/>
      <c r="U315" s="293" t="n"/>
      <c r="V315" s="295" t="n"/>
      <c r="W315" s="290" t="n"/>
      <c r="X315" s="295" t="n"/>
      <c r="Y315" s="295" t="n"/>
      <c r="Z315" s="295" t="n"/>
      <c r="AA315" s="295" t="n"/>
      <c r="AB315" s="293" t="n"/>
      <c r="AC315" s="295" t="n"/>
      <c r="AD315" s="295" t="n"/>
      <c r="AE315" s="294" t="n"/>
    </row>
    <row r="316">
      <c r="B316" s="279" t="n"/>
      <c r="C316" s="280" t="n"/>
      <c r="D316" s="295" t="n"/>
      <c r="E316" s="295" t="n"/>
      <c r="F316" s="295" t="n"/>
      <c r="G316" s="282" t="n"/>
      <c r="H316" s="295" t="n"/>
      <c r="I316" s="295" t="n"/>
      <c r="J316" s="282" t="n"/>
      <c r="K316" s="345" t="n"/>
      <c r="L316" s="295" t="n"/>
      <c r="M316" s="346" t="n"/>
      <c r="N316" s="295" t="n"/>
      <c r="O316" s="285" t="n"/>
      <c r="P316" s="295" t="n"/>
      <c r="Q316" s="295" t="n"/>
      <c r="R316" s="282" t="n"/>
      <c r="S316" s="295" t="n"/>
      <c r="T316" s="295" t="n"/>
      <c r="U316" s="285" t="n"/>
      <c r="V316" s="295" t="n"/>
      <c r="W316" s="282" t="n"/>
      <c r="X316" s="295" t="n"/>
      <c r="Y316" s="295" t="n"/>
      <c r="Z316" s="295" t="n"/>
      <c r="AA316" s="295" t="n"/>
      <c r="AB316" s="285" t="n"/>
      <c r="AC316" s="295" t="n"/>
      <c r="AD316" s="295" t="n"/>
      <c r="AE316" s="286" t="n"/>
    </row>
    <row r="317">
      <c r="B317" s="287" t="n"/>
      <c r="C317" s="288" t="n"/>
      <c r="D317" s="295" t="n"/>
      <c r="E317" s="295" t="n"/>
      <c r="F317" s="295" t="n"/>
      <c r="G317" s="290" t="n"/>
      <c r="H317" s="295" t="n"/>
      <c r="I317" s="295" t="n"/>
      <c r="J317" s="290" t="n"/>
      <c r="K317" s="347" t="n"/>
      <c r="L317" s="295" t="n"/>
      <c r="M317" s="348" t="n"/>
      <c r="N317" s="295" t="n"/>
      <c r="O317" s="293" t="n"/>
      <c r="P317" s="295" t="n"/>
      <c r="Q317" s="295" t="n"/>
      <c r="R317" s="290" t="n"/>
      <c r="S317" s="295" t="n"/>
      <c r="T317" s="295" t="n"/>
      <c r="U317" s="293" t="n"/>
      <c r="V317" s="295" t="n"/>
      <c r="W317" s="290" t="n"/>
      <c r="X317" s="295" t="n"/>
      <c r="Y317" s="295" t="n"/>
      <c r="Z317" s="295" t="n"/>
      <c r="AA317" s="295" t="n"/>
      <c r="AB317" s="293" t="n"/>
      <c r="AC317" s="295" t="n"/>
      <c r="AD317" s="295" t="n"/>
      <c r="AE317" s="294" t="n"/>
    </row>
    <row r="318">
      <c r="B318" s="279" t="n"/>
      <c r="C318" s="280" t="n"/>
      <c r="D318" s="295" t="n"/>
      <c r="E318" s="295" t="n"/>
      <c r="F318" s="295" t="n"/>
      <c r="G318" s="282" t="n"/>
      <c r="H318" s="295" t="n"/>
      <c r="I318" s="295" t="n"/>
      <c r="J318" s="282" t="n"/>
      <c r="K318" s="345" t="n"/>
      <c r="L318" s="295" t="n"/>
      <c r="M318" s="346" t="n"/>
      <c r="N318" s="295" t="n"/>
      <c r="O318" s="285" t="n"/>
      <c r="P318" s="295" t="n"/>
      <c r="Q318" s="295" t="n"/>
      <c r="R318" s="282" t="n"/>
      <c r="S318" s="295" t="n"/>
      <c r="T318" s="295" t="n"/>
      <c r="U318" s="285" t="n"/>
      <c r="V318" s="295" t="n"/>
      <c r="W318" s="282" t="n"/>
      <c r="X318" s="295" t="n"/>
      <c r="Y318" s="295" t="n"/>
      <c r="Z318" s="295" t="n"/>
      <c r="AA318" s="295" t="n"/>
      <c r="AB318" s="285" t="n"/>
      <c r="AC318" s="295" t="n"/>
      <c r="AD318" s="295" t="n"/>
      <c r="AE318" s="286" t="n"/>
    </row>
    <row r="319">
      <c r="B319" s="287" t="n"/>
      <c r="C319" s="288" t="n"/>
      <c r="D319" s="295" t="n"/>
      <c r="E319" s="295" t="n"/>
      <c r="F319" s="295" t="n"/>
      <c r="G319" s="290" t="n"/>
      <c r="H319" s="295" t="n"/>
      <c r="I319" s="295" t="n"/>
      <c r="J319" s="290" t="n"/>
      <c r="K319" s="347" t="n"/>
      <c r="L319" s="295" t="n"/>
      <c r="M319" s="348" t="n"/>
      <c r="N319" s="295" t="n"/>
      <c r="O319" s="293" t="n"/>
      <c r="P319" s="295" t="n"/>
      <c r="Q319" s="295" t="n"/>
      <c r="R319" s="290" t="n"/>
      <c r="S319" s="295" t="n"/>
      <c r="T319" s="295" t="n"/>
      <c r="U319" s="293" t="n"/>
      <c r="V319" s="295" t="n"/>
      <c r="W319" s="290" t="n"/>
      <c r="X319" s="295" t="n"/>
      <c r="Y319" s="295" t="n"/>
      <c r="Z319" s="295" t="n"/>
      <c r="AA319" s="295" t="n"/>
      <c r="AB319" s="293" t="n"/>
      <c r="AC319" s="295" t="n"/>
      <c r="AD319" s="295" t="n"/>
      <c r="AE319" s="294" t="n"/>
    </row>
    <row r="320">
      <c r="B320" s="279" t="n"/>
      <c r="C320" s="280" t="n"/>
      <c r="D320" s="295" t="n"/>
      <c r="E320" s="295" t="n"/>
      <c r="F320" s="295" t="n"/>
      <c r="G320" s="282" t="n"/>
      <c r="H320" s="295" t="n"/>
      <c r="I320" s="295" t="n"/>
      <c r="J320" s="282" t="n"/>
      <c r="K320" s="345" t="n"/>
      <c r="L320" s="295" t="n"/>
      <c r="M320" s="346" t="n"/>
      <c r="N320" s="295" t="n"/>
      <c r="O320" s="285" t="n"/>
      <c r="P320" s="295" t="n"/>
      <c r="Q320" s="295" t="n"/>
      <c r="R320" s="282" t="n"/>
      <c r="S320" s="295" t="n"/>
      <c r="T320" s="295" t="n"/>
      <c r="U320" s="285" t="n"/>
      <c r="V320" s="295" t="n"/>
      <c r="W320" s="282" t="n"/>
      <c r="X320" s="295" t="n"/>
      <c r="Y320" s="295" t="n"/>
      <c r="Z320" s="295" t="n"/>
      <c r="AA320" s="295" t="n"/>
      <c r="AB320" s="285" t="n"/>
      <c r="AC320" s="295" t="n"/>
      <c r="AD320" s="295" t="n"/>
      <c r="AE320" s="286" t="n"/>
    </row>
    <row r="321">
      <c r="B321" s="287" t="n"/>
      <c r="C321" s="288" t="n"/>
      <c r="D321" s="295" t="n"/>
      <c r="E321" s="295" t="n"/>
      <c r="F321" s="295" t="n"/>
      <c r="G321" s="290" t="n"/>
      <c r="H321" s="295" t="n"/>
      <c r="I321" s="295" t="n"/>
      <c r="J321" s="290" t="n"/>
      <c r="K321" s="347" t="n"/>
      <c r="L321" s="295" t="n"/>
      <c r="M321" s="348" t="n"/>
      <c r="N321" s="295" t="n"/>
      <c r="O321" s="293" t="n"/>
      <c r="P321" s="295" t="n"/>
      <c r="Q321" s="295" t="n"/>
      <c r="R321" s="290" t="n"/>
      <c r="S321" s="295" t="n"/>
      <c r="T321" s="295" t="n"/>
      <c r="U321" s="293" t="n"/>
      <c r="V321" s="295" t="n"/>
      <c r="W321" s="290" t="n"/>
      <c r="X321" s="295" t="n"/>
      <c r="Y321" s="295" t="n"/>
      <c r="Z321" s="295" t="n"/>
      <c r="AA321" s="295" t="n"/>
      <c r="AB321" s="293" t="n"/>
      <c r="AC321" s="295" t="n"/>
      <c r="AD321" s="295" t="n"/>
      <c r="AE321" s="294" t="n"/>
    </row>
    <row r="322">
      <c r="B322" s="279" t="n"/>
      <c r="C322" s="280" t="n"/>
      <c r="D322" s="295" t="n"/>
      <c r="E322" s="295" t="n"/>
      <c r="F322" s="295" t="n"/>
      <c r="G322" s="282" t="n"/>
      <c r="H322" s="295" t="n"/>
      <c r="I322" s="295" t="n"/>
      <c r="J322" s="282" t="n"/>
      <c r="K322" s="345" t="n"/>
      <c r="L322" s="295" t="n"/>
      <c r="M322" s="346" t="n"/>
      <c r="N322" s="295" t="n"/>
      <c r="O322" s="285" t="n"/>
      <c r="P322" s="295" t="n"/>
      <c r="Q322" s="295" t="n"/>
      <c r="R322" s="282" t="n"/>
      <c r="S322" s="295" t="n"/>
      <c r="T322" s="295" t="n"/>
      <c r="U322" s="285" t="n"/>
      <c r="V322" s="295" t="n"/>
      <c r="W322" s="282" t="n"/>
      <c r="X322" s="295" t="n"/>
      <c r="Y322" s="295" t="n"/>
      <c r="Z322" s="295" t="n"/>
      <c r="AA322" s="295" t="n"/>
      <c r="AB322" s="285" t="n"/>
      <c r="AC322" s="295" t="n"/>
      <c r="AD322" s="295" t="n"/>
      <c r="AE322" s="286" t="n"/>
    </row>
    <row r="323">
      <c r="B323" s="287" t="n"/>
      <c r="C323" s="288" t="n"/>
      <c r="D323" s="295" t="n"/>
      <c r="E323" s="295" t="n"/>
      <c r="F323" s="295" t="n"/>
      <c r="G323" s="290" t="n"/>
      <c r="H323" s="295" t="n"/>
      <c r="I323" s="295" t="n"/>
      <c r="J323" s="290" t="n"/>
      <c r="K323" s="347" t="n"/>
      <c r="L323" s="295" t="n"/>
      <c r="M323" s="348" t="n"/>
      <c r="N323" s="295" t="n"/>
      <c r="O323" s="293" t="n"/>
      <c r="P323" s="295" t="n"/>
      <c r="Q323" s="295" t="n"/>
      <c r="R323" s="290" t="n"/>
      <c r="S323" s="295" t="n"/>
      <c r="T323" s="295" t="n"/>
      <c r="U323" s="293" t="n"/>
      <c r="V323" s="295" t="n"/>
      <c r="W323" s="290" t="n"/>
      <c r="X323" s="295" t="n"/>
      <c r="Y323" s="295" t="n"/>
      <c r="Z323" s="295" t="n"/>
      <c r="AA323" s="295" t="n"/>
      <c r="AB323" s="293" t="n"/>
      <c r="AC323" s="295" t="n"/>
      <c r="AD323" s="295" t="n"/>
      <c r="AE323" s="294" t="n"/>
    </row>
    <row r="324">
      <c r="B324" s="279" t="n"/>
      <c r="C324" s="280" t="n"/>
      <c r="D324" s="295" t="n"/>
      <c r="E324" s="295" t="n"/>
      <c r="F324" s="295" t="n"/>
      <c r="G324" s="282" t="n"/>
      <c r="H324" s="295" t="n"/>
      <c r="I324" s="295" t="n"/>
      <c r="J324" s="282" t="n"/>
      <c r="K324" s="345" t="n"/>
      <c r="L324" s="295" t="n"/>
      <c r="M324" s="346" t="n"/>
      <c r="N324" s="295" t="n"/>
      <c r="O324" s="285" t="n"/>
      <c r="P324" s="295" t="n"/>
      <c r="Q324" s="295" t="n"/>
      <c r="R324" s="282" t="n"/>
      <c r="S324" s="295" t="n"/>
      <c r="T324" s="295" t="n"/>
      <c r="U324" s="285" t="n"/>
      <c r="V324" s="295" t="n"/>
      <c r="W324" s="282" t="n"/>
      <c r="X324" s="295" t="n"/>
      <c r="Y324" s="295" t="n"/>
      <c r="Z324" s="295" t="n"/>
      <c r="AA324" s="295" t="n"/>
      <c r="AB324" s="285" t="n"/>
      <c r="AC324" s="295" t="n"/>
      <c r="AD324" s="295" t="n"/>
      <c r="AE324" s="286" t="n"/>
    </row>
    <row r="325">
      <c r="B325" s="287" t="n"/>
      <c r="C325" s="288" t="n"/>
      <c r="D325" s="295" t="n"/>
      <c r="E325" s="295" t="n"/>
      <c r="F325" s="295" t="n"/>
      <c r="G325" s="290" t="n"/>
      <c r="H325" s="295" t="n"/>
      <c r="I325" s="295" t="n"/>
      <c r="J325" s="290" t="n"/>
      <c r="K325" s="347" t="n"/>
      <c r="L325" s="295" t="n"/>
      <c r="M325" s="348" t="n"/>
      <c r="N325" s="295" t="n"/>
      <c r="O325" s="293" t="n"/>
      <c r="P325" s="295" t="n"/>
      <c r="Q325" s="295" t="n"/>
      <c r="R325" s="290" t="n"/>
      <c r="S325" s="295" t="n"/>
      <c r="T325" s="295" t="n"/>
      <c r="U325" s="293" t="n"/>
      <c r="V325" s="295" t="n"/>
      <c r="W325" s="290" t="n"/>
      <c r="X325" s="295" t="n"/>
      <c r="Y325" s="295" t="n"/>
      <c r="Z325" s="295" t="n"/>
      <c r="AA325" s="295" t="n"/>
      <c r="AB325" s="293" t="n"/>
      <c r="AC325" s="295" t="n"/>
      <c r="AD325" s="295" t="n"/>
      <c r="AE325" s="294" t="n"/>
    </row>
    <row r="326">
      <c r="B326" s="279" t="n"/>
      <c r="C326" s="280" t="n"/>
      <c r="D326" s="295" t="n"/>
      <c r="E326" s="295" t="n"/>
      <c r="F326" s="295" t="n"/>
      <c r="G326" s="282" t="n"/>
      <c r="H326" s="295" t="n"/>
      <c r="I326" s="295" t="n"/>
      <c r="J326" s="282" t="n"/>
      <c r="K326" s="345" t="n"/>
      <c r="L326" s="295" t="n"/>
      <c r="M326" s="346" t="n"/>
      <c r="N326" s="295" t="n"/>
      <c r="O326" s="285" t="n"/>
      <c r="P326" s="295" t="n"/>
      <c r="Q326" s="295" t="n"/>
      <c r="R326" s="282" t="n"/>
      <c r="S326" s="295" t="n"/>
      <c r="T326" s="295" t="n"/>
      <c r="U326" s="285" t="n"/>
      <c r="V326" s="295" t="n"/>
      <c r="W326" s="282" t="n"/>
      <c r="X326" s="295" t="n"/>
      <c r="Y326" s="295" t="n"/>
      <c r="Z326" s="295" t="n"/>
      <c r="AA326" s="295" t="n"/>
      <c r="AB326" s="285" t="n"/>
      <c r="AC326" s="295" t="n"/>
      <c r="AD326" s="295" t="n"/>
      <c r="AE326" s="286" t="n"/>
    </row>
    <row r="327">
      <c r="B327" s="287" t="n"/>
      <c r="C327" s="288" t="n"/>
      <c r="D327" s="295" t="n"/>
      <c r="E327" s="295" t="n"/>
      <c r="F327" s="295" t="n"/>
      <c r="G327" s="290" t="n"/>
      <c r="H327" s="295" t="n"/>
      <c r="I327" s="295" t="n"/>
      <c r="J327" s="290" t="n"/>
      <c r="K327" s="347" t="n"/>
      <c r="L327" s="295" t="n"/>
      <c r="M327" s="348" t="n"/>
      <c r="N327" s="295" t="n"/>
      <c r="O327" s="293" t="n"/>
      <c r="P327" s="295" t="n"/>
      <c r="Q327" s="295" t="n"/>
      <c r="R327" s="290" t="n"/>
      <c r="S327" s="295" t="n"/>
      <c r="T327" s="295" t="n"/>
      <c r="U327" s="293" t="n"/>
      <c r="V327" s="295" t="n"/>
      <c r="W327" s="290" t="n"/>
      <c r="X327" s="295" t="n"/>
      <c r="Y327" s="295" t="n"/>
      <c r="Z327" s="295" t="n"/>
      <c r="AA327" s="295" t="n"/>
      <c r="AB327" s="293" t="n"/>
      <c r="AC327" s="295" t="n"/>
      <c r="AD327" s="295" t="n"/>
      <c r="AE327" s="294" t="n"/>
    </row>
    <row r="328">
      <c r="B328" s="279" t="n"/>
      <c r="C328" s="280" t="n"/>
      <c r="D328" s="295" t="n"/>
      <c r="E328" s="295" t="n"/>
      <c r="F328" s="295" t="n"/>
      <c r="G328" s="282" t="n"/>
      <c r="H328" s="295" t="n"/>
      <c r="I328" s="295" t="n"/>
      <c r="J328" s="282" t="n"/>
      <c r="K328" s="345" t="n"/>
      <c r="L328" s="295" t="n"/>
      <c r="M328" s="346" t="n"/>
      <c r="N328" s="295" t="n"/>
      <c r="O328" s="285" t="n"/>
      <c r="P328" s="295" t="n"/>
      <c r="Q328" s="295" t="n"/>
      <c r="R328" s="282" t="n"/>
      <c r="S328" s="295" t="n"/>
      <c r="T328" s="295" t="n"/>
      <c r="U328" s="285" t="n"/>
      <c r="V328" s="295" t="n"/>
      <c r="W328" s="282" t="n"/>
      <c r="X328" s="295" t="n"/>
      <c r="Y328" s="295" t="n"/>
      <c r="Z328" s="295" t="n"/>
      <c r="AA328" s="295" t="n"/>
      <c r="AB328" s="285" t="n"/>
      <c r="AC328" s="295" t="n"/>
      <c r="AD328" s="295" t="n"/>
      <c r="AE328" s="286" t="n"/>
    </row>
    <row r="329">
      <c r="B329" s="287" t="n"/>
      <c r="C329" s="288" t="n"/>
      <c r="D329" s="295" t="n"/>
      <c r="E329" s="295" t="n"/>
      <c r="F329" s="295" t="n"/>
      <c r="G329" s="290" t="n"/>
      <c r="H329" s="295" t="n"/>
      <c r="I329" s="295" t="n"/>
      <c r="J329" s="290" t="n"/>
      <c r="K329" s="347" t="n"/>
      <c r="L329" s="295" t="n"/>
      <c r="M329" s="348" t="n"/>
      <c r="N329" s="295" t="n"/>
      <c r="O329" s="293" t="n"/>
      <c r="P329" s="295" t="n"/>
      <c r="Q329" s="295" t="n"/>
      <c r="R329" s="290" t="n"/>
      <c r="S329" s="295" t="n"/>
      <c r="T329" s="295" t="n"/>
      <c r="U329" s="293" t="n"/>
      <c r="V329" s="295" t="n"/>
      <c r="W329" s="290" t="n"/>
      <c r="X329" s="295" t="n"/>
      <c r="Y329" s="295" t="n"/>
      <c r="Z329" s="295" t="n"/>
      <c r="AA329" s="295" t="n"/>
      <c r="AB329" s="293" t="n"/>
      <c r="AC329" s="295" t="n"/>
      <c r="AD329" s="295" t="n"/>
      <c r="AE329" s="294" t="n"/>
    </row>
    <row r="330">
      <c r="B330" s="279" t="n"/>
      <c r="C330" s="280" t="n"/>
      <c r="D330" s="295" t="n"/>
      <c r="E330" s="295" t="n"/>
      <c r="F330" s="295" t="n"/>
      <c r="G330" s="282" t="n"/>
      <c r="H330" s="295" t="n"/>
      <c r="I330" s="295" t="n"/>
      <c r="J330" s="282" t="n"/>
      <c r="K330" s="345" t="n"/>
      <c r="L330" s="295" t="n"/>
      <c r="M330" s="346" t="n"/>
      <c r="N330" s="295" t="n"/>
      <c r="O330" s="285" t="n"/>
      <c r="P330" s="295" t="n"/>
      <c r="Q330" s="295" t="n"/>
      <c r="R330" s="282" t="n"/>
      <c r="S330" s="295" t="n"/>
      <c r="T330" s="295" t="n"/>
      <c r="U330" s="285" t="n"/>
      <c r="V330" s="295" t="n"/>
      <c r="W330" s="282" t="n"/>
      <c r="X330" s="295" t="n"/>
      <c r="Y330" s="295" t="n"/>
      <c r="Z330" s="295" t="n"/>
      <c r="AA330" s="295" t="n"/>
      <c r="AB330" s="285" t="n"/>
      <c r="AC330" s="295" t="n"/>
      <c r="AD330" s="295" t="n"/>
      <c r="AE330" s="286" t="n"/>
    </row>
    <row r="331">
      <c r="B331" s="287" t="n"/>
      <c r="C331" s="288" t="n"/>
      <c r="D331" s="295" t="n"/>
      <c r="E331" s="295" t="n"/>
      <c r="F331" s="295" t="n"/>
      <c r="G331" s="290" t="n"/>
      <c r="H331" s="295" t="n"/>
      <c r="I331" s="295" t="n"/>
      <c r="J331" s="290" t="n"/>
      <c r="K331" s="347" t="n"/>
      <c r="L331" s="295" t="n"/>
      <c r="M331" s="348" t="n"/>
      <c r="N331" s="295" t="n"/>
      <c r="O331" s="293" t="n"/>
      <c r="P331" s="295" t="n"/>
      <c r="Q331" s="295" t="n"/>
      <c r="R331" s="290" t="n"/>
      <c r="S331" s="295" t="n"/>
      <c r="T331" s="295" t="n"/>
      <c r="U331" s="293" t="n"/>
      <c r="V331" s="295" t="n"/>
      <c r="W331" s="290" t="n"/>
      <c r="X331" s="295" t="n"/>
      <c r="Y331" s="295" t="n"/>
      <c r="Z331" s="295" t="n"/>
      <c r="AA331" s="295" t="n"/>
      <c r="AB331" s="293" t="n"/>
      <c r="AC331" s="295" t="n"/>
      <c r="AD331" s="295" t="n"/>
      <c r="AE331" s="294" t="n"/>
    </row>
    <row r="332">
      <c r="B332" s="279" t="n"/>
      <c r="C332" s="280" t="n"/>
      <c r="D332" s="295" t="n"/>
      <c r="E332" s="295" t="n"/>
      <c r="F332" s="295" t="n"/>
      <c r="G332" s="282" t="n"/>
      <c r="H332" s="295" t="n"/>
      <c r="I332" s="295" t="n"/>
      <c r="J332" s="282" t="n"/>
      <c r="K332" s="345" t="n"/>
      <c r="L332" s="295" t="n"/>
      <c r="M332" s="346" t="n"/>
      <c r="N332" s="295" t="n"/>
      <c r="O332" s="285" t="n"/>
      <c r="P332" s="295" t="n"/>
      <c r="Q332" s="295" t="n"/>
      <c r="R332" s="282" t="n"/>
      <c r="S332" s="295" t="n"/>
      <c r="T332" s="295" t="n"/>
      <c r="U332" s="285" t="n"/>
      <c r="V332" s="295" t="n"/>
      <c r="W332" s="282" t="n"/>
      <c r="X332" s="295" t="n"/>
      <c r="Y332" s="295" t="n"/>
      <c r="Z332" s="295" t="n"/>
      <c r="AA332" s="295" t="n"/>
      <c r="AB332" s="285" t="n"/>
      <c r="AC332" s="295" t="n"/>
      <c r="AD332" s="295" t="n"/>
      <c r="AE332" s="286" t="n"/>
    </row>
    <row r="333">
      <c r="B333" s="287" t="n"/>
      <c r="C333" s="288" t="n"/>
      <c r="D333" s="295" t="n"/>
      <c r="E333" s="295" t="n"/>
      <c r="F333" s="295" t="n"/>
      <c r="G333" s="290" t="n"/>
      <c r="H333" s="295" t="n"/>
      <c r="I333" s="295" t="n"/>
      <c r="J333" s="290" t="n"/>
      <c r="K333" s="347" t="n"/>
      <c r="L333" s="295" t="n"/>
      <c r="M333" s="348" t="n"/>
      <c r="N333" s="295" t="n"/>
      <c r="O333" s="293" t="n"/>
      <c r="P333" s="295" t="n"/>
      <c r="Q333" s="295" t="n"/>
      <c r="R333" s="290" t="n"/>
      <c r="S333" s="295" t="n"/>
      <c r="T333" s="295" t="n"/>
      <c r="U333" s="293" t="n"/>
      <c r="V333" s="295" t="n"/>
      <c r="W333" s="290" t="n"/>
      <c r="X333" s="295" t="n"/>
      <c r="Y333" s="295" t="n"/>
      <c r="Z333" s="295" t="n"/>
      <c r="AA333" s="295" t="n"/>
      <c r="AB333" s="293" t="n"/>
      <c r="AC333" s="295" t="n"/>
      <c r="AD333" s="295" t="n"/>
      <c r="AE333" s="294" t="n"/>
    </row>
    <row r="334">
      <c r="B334" s="279" t="n"/>
      <c r="C334" s="280" t="n"/>
      <c r="D334" s="295" t="n"/>
      <c r="E334" s="295" t="n"/>
      <c r="F334" s="295" t="n"/>
      <c r="G334" s="282" t="n"/>
      <c r="H334" s="295" t="n"/>
      <c r="I334" s="295" t="n"/>
      <c r="J334" s="282" t="n"/>
      <c r="K334" s="345" t="n"/>
      <c r="L334" s="295" t="n"/>
      <c r="M334" s="346" t="n"/>
      <c r="N334" s="295" t="n"/>
      <c r="O334" s="285" t="n"/>
      <c r="P334" s="295" t="n"/>
      <c r="Q334" s="295" t="n"/>
      <c r="R334" s="282" t="n"/>
      <c r="S334" s="295" t="n"/>
      <c r="T334" s="295" t="n"/>
      <c r="U334" s="285" t="n"/>
      <c r="V334" s="295" t="n"/>
      <c r="W334" s="282" t="n"/>
      <c r="X334" s="295" t="n"/>
      <c r="Y334" s="295" t="n"/>
      <c r="Z334" s="295" t="n"/>
      <c r="AA334" s="295" t="n"/>
      <c r="AB334" s="285" t="n"/>
      <c r="AC334" s="295" t="n"/>
      <c r="AD334" s="295" t="n"/>
      <c r="AE334" s="286" t="n"/>
    </row>
    <row r="335">
      <c r="B335" s="287" t="n"/>
      <c r="C335" s="288" t="n"/>
      <c r="D335" s="295" t="n"/>
      <c r="E335" s="295" t="n"/>
      <c r="F335" s="295" t="n"/>
      <c r="G335" s="290" t="n"/>
      <c r="H335" s="295" t="n"/>
      <c r="I335" s="295" t="n"/>
      <c r="J335" s="290" t="n"/>
      <c r="K335" s="347" t="n"/>
      <c r="L335" s="295" t="n"/>
      <c r="M335" s="348" t="n"/>
      <c r="N335" s="295" t="n"/>
      <c r="O335" s="293" t="n"/>
      <c r="P335" s="295" t="n"/>
      <c r="Q335" s="295" t="n"/>
      <c r="R335" s="290" t="n"/>
      <c r="S335" s="295" t="n"/>
      <c r="T335" s="295" t="n"/>
      <c r="U335" s="293" t="n"/>
      <c r="V335" s="295" t="n"/>
      <c r="W335" s="290" t="n"/>
      <c r="X335" s="295" t="n"/>
      <c r="Y335" s="295" t="n"/>
      <c r="Z335" s="295" t="n"/>
      <c r="AA335" s="295" t="n"/>
      <c r="AB335" s="293" t="n"/>
      <c r="AC335" s="295" t="n"/>
      <c r="AD335" s="295" t="n"/>
      <c r="AE335" s="294" t="n"/>
    </row>
    <row r="336">
      <c r="B336" s="279" t="n"/>
      <c r="C336" s="280" t="n"/>
      <c r="D336" s="295" t="n"/>
      <c r="E336" s="295" t="n"/>
      <c r="F336" s="295" t="n"/>
      <c r="G336" s="282" t="n"/>
      <c r="H336" s="295" t="n"/>
      <c r="I336" s="295" t="n"/>
      <c r="J336" s="282" t="n"/>
      <c r="K336" s="345" t="n"/>
      <c r="L336" s="295" t="n"/>
      <c r="M336" s="346" t="n"/>
      <c r="N336" s="295" t="n"/>
      <c r="O336" s="285" t="n"/>
      <c r="P336" s="295" t="n"/>
      <c r="Q336" s="295" t="n"/>
      <c r="R336" s="282" t="n"/>
      <c r="S336" s="295" t="n"/>
      <c r="T336" s="295" t="n"/>
      <c r="U336" s="285" t="n"/>
      <c r="V336" s="295" t="n"/>
      <c r="W336" s="282" t="n"/>
      <c r="X336" s="295" t="n"/>
      <c r="Y336" s="295" t="n"/>
      <c r="Z336" s="295" t="n"/>
      <c r="AA336" s="295" t="n"/>
      <c r="AB336" s="285" t="n"/>
      <c r="AC336" s="295" t="n"/>
      <c r="AD336" s="295" t="n"/>
      <c r="AE336" s="286" t="n"/>
    </row>
    <row r="337">
      <c r="B337" s="287" t="n"/>
      <c r="C337" s="288" t="n"/>
      <c r="D337" s="295" t="n"/>
      <c r="E337" s="295" t="n"/>
      <c r="F337" s="295" t="n"/>
      <c r="G337" s="290" t="n"/>
      <c r="H337" s="295" t="n"/>
      <c r="I337" s="295" t="n"/>
      <c r="J337" s="290" t="n"/>
      <c r="K337" s="347" t="n"/>
      <c r="L337" s="295" t="n"/>
      <c r="M337" s="348" t="n"/>
      <c r="N337" s="295" t="n"/>
      <c r="O337" s="293" t="n"/>
      <c r="P337" s="295" t="n"/>
      <c r="Q337" s="295" t="n"/>
      <c r="R337" s="290" t="n"/>
      <c r="S337" s="295" t="n"/>
      <c r="T337" s="295" t="n"/>
      <c r="U337" s="293" t="n"/>
      <c r="V337" s="295" t="n"/>
      <c r="W337" s="290" t="n"/>
      <c r="X337" s="295" t="n"/>
      <c r="Y337" s="295" t="n"/>
      <c r="Z337" s="295" t="n"/>
      <c r="AA337" s="295" t="n"/>
      <c r="AB337" s="293" t="n"/>
      <c r="AC337" s="295" t="n"/>
      <c r="AD337" s="295" t="n"/>
      <c r="AE337" s="294" t="n"/>
    </row>
    <row r="338">
      <c r="B338" s="279" t="n"/>
      <c r="C338" s="280" t="n"/>
      <c r="D338" s="295" t="n"/>
      <c r="E338" s="295" t="n"/>
      <c r="F338" s="295" t="n"/>
      <c r="G338" s="282" t="n"/>
      <c r="H338" s="295" t="n"/>
      <c r="I338" s="295" t="n"/>
      <c r="J338" s="282" t="n"/>
      <c r="K338" s="345" t="n"/>
      <c r="L338" s="295" t="n"/>
      <c r="M338" s="346" t="n"/>
      <c r="N338" s="295" t="n"/>
      <c r="O338" s="285" t="n"/>
      <c r="P338" s="295" t="n"/>
      <c r="Q338" s="295" t="n"/>
      <c r="R338" s="282" t="n"/>
      <c r="S338" s="295" t="n"/>
      <c r="T338" s="295" t="n"/>
      <c r="U338" s="285" t="n"/>
      <c r="V338" s="295" t="n"/>
      <c r="W338" s="282" t="n"/>
      <c r="X338" s="295" t="n"/>
      <c r="Y338" s="295" t="n"/>
      <c r="Z338" s="295" t="n"/>
      <c r="AA338" s="295" t="n"/>
      <c r="AB338" s="285" t="n"/>
      <c r="AC338" s="295" t="n"/>
      <c r="AD338" s="295" t="n"/>
      <c r="AE338" s="286" t="n"/>
    </row>
    <row r="339">
      <c r="B339" s="287" t="n"/>
      <c r="C339" s="288" t="n"/>
      <c r="D339" s="295" t="n"/>
      <c r="E339" s="295" t="n"/>
      <c r="F339" s="295" t="n"/>
      <c r="G339" s="290" t="n"/>
      <c r="H339" s="295" t="n"/>
      <c r="I339" s="295" t="n"/>
      <c r="J339" s="290" t="n"/>
      <c r="K339" s="347" t="n"/>
      <c r="L339" s="295" t="n"/>
      <c r="M339" s="348" t="n"/>
      <c r="N339" s="295" t="n"/>
      <c r="O339" s="293" t="n"/>
      <c r="P339" s="295" t="n"/>
      <c r="Q339" s="295" t="n"/>
      <c r="R339" s="290" t="n"/>
      <c r="S339" s="295" t="n"/>
      <c r="T339" s="295" t="n"/>
      <c r="U339" s="293" t="n"/>
      <c r="V339" s="295" t="n"/>
      <c r="W339" s="290" t="n"/>
      <c r="X339" s="295" t="n"/>
      <c r="Y339" s="295" t="n"/>
      <c r="Z339" s="295" t="n"/>
      <c r="AA339" s="295" t="n"/>
      <c r="AB339" s="293" t="n"/>
      <c r="AC339" s="295" t="n"/>
      <c r="AD339" s="295" t="n"/>
      <c r="AE339" s="294" t="n"/>
    </row>
    <row r="340">
      <c r="B340" s="279" t="n"/>
      <c r="C340" s="280" t="n"/>
      <c r="D340" s="295" t="n"/>
      <c r="E340" s="295" t="n"/>
      <c r="F340" s="295" t="n"/>
      <c r="G340" s="282" t="n"/>
      <c r="H340" s="295" t="n"/>
      <c r="I340" s="295" t="n"/>
      <c r="J340" s="282" t="n"/>
      <c r="K340" s="345" t="n"/>
      <c r="L340" s="295" t="n"/>
      <c r="M340" s="346" t="n"/>
      <c r="N340" s="295" t="n"/>
      <c r="O340" s="285" t="n"/>
      <c r="P340" s="295" t="n"/>
      <c r="Q340" s="295" t="n"/>
      <c r="R340" s="282" t="n"/>
      <c r="S340" s="295" t="n"/>
      <c r="T340" s="295" t="n"/>
      <c r="U340" s="285" t="n"/>
      <c r="V340" s="295" t="n"/>
      <c r="W340" s="282" t="n"/>
      <c r="X340" s="295" t="n"/>
      <c r="Y340" s="295" t="n"/>
      <c r="Z340" s="295" t="n"/>
      <c r="AA340" s="295" t="n"/>
      <c r="AB340" s="285" t="n"/>
      <c r="AC340" s="295" t="n"/>
      <c r="AD340" s="295" t="n"/>
      <c r="AE340" s="286" t="n"/>
    </row>
    <row r="341">
      <c r="B341" s="287" t="n"/>
      <c r="C341" s="288" t="n"/>
      <c r="D341" s="295" t="n"/>
      <c r="E341" s="295" t="n"/>
      <c r="F341" s="295" t="n"/>
      <c r="G341" s="290" t="n"/>
      <c r="H341" s="295" t="n"/>
      <c r="I341" s="295" t="n"/>
      <c r="J341" s="290" t="n"/>
      <c r="K341" s="347" t="n"/>
      <c r="L341" s="295" t="n"/>
      <c r="M341" s="348" t="n"/>
      <c r="N341" s="295" t="n"/>
      <c r="O341" s="293" t="n"/>
      <c r="P341" s="295" t="n"/>
      <c r="Q341" s="295" t="n"/>
      <c r="R341" s="290" t="n"/>
      <c r="S341" s="295" t="n"/>
      <c r="T341" s="295" t="n"/>
      <c r="U341" s="293" t="n"/>
      <c r="V341" s="295" t="n"/>
      <c r="W341" s="290" t="n"/>
      <c r="X341" s="295" t="n"/>
      <c r="Y341" s="295" t="n"/>
      <c r="Z341" s="295" t="n"/>
      <c r="AA341" s="295" t="n"/>
      <c r="AB341" s="293" t="n"/>
      <c r="AC341" s="295" t="n"/>
      <c r="AD341" s="295" t="n"/>
      <c r="AE341" s="294" t="n"/>
    </row>
    <row r="342">
      <c r="B342" s="279" t="n"/>
      <c r="C342" s="280" t="n"/>
      <c r="D342" s="295" t="n"/>
      <c r="E342" s="295" t="n"/>
      <c r="F342" s="295" t="n"/>
      <c r="G342" s="282" t="n"/>
      <c r="H342" s="295" t="n"/>
      <c r="I342" s="295" t="n"/>
      <c r="J342" s="282" t="n"/>
      <c r="K342" s="345" t="n"/>
      <c r="L342" s="295" t="n"/>
      <c r="M342" s="346" t="n"/>
      <c r="N342" s="295" t="n"/>
      <c r="O342" s="285" t="n"/>
      <c r="P342" s="295" t="n"/>
      <c r="Q342" s="295" t="n"/>
      <c r="R342" s="282" t="n"/>
      <c r="S342" s="295" t="n"/>
      <c r="T342" s="295" t="n"/>
      <c r="U342" s="285" t="n"/>
      <c r="V342" s="295" t="n"/>
      <c r="W342" s="282" t="n"/>
      <c r="X342" s="295" t="n"/>
      <c r="Y342" s="295" t="n"/>
      <c r="Z342" s="295" t="n"/>
      <c r="AA342" s="295" t="n"/>
      <c r="AB342" s="285" t="n"/>
      <c r="AC342" s="295" t="n"/>
      <c r="AD342" s="295" t="n"/>
      <c r="AE342" s="286" t="n"/>
    </row>
    <row r="343">
      <c r="B343" s="287" t="n"/>
      <c r="C343" s="288" t="n"/>
      <c r="D343" s="295" t="n"/>
      <c r="E343" s="295" t="n"/>
      <c r="F343" s="295" t="n"/>
      <c r="G343" s="290" t="n"/>
      <c r="H343" s="295" t="n"/>
      <c r="I343" s="295" t="n"/>
      <c r="J343" s="290" t="n"/>
      <c r="K343" s="347" t="n"/>
      <c r="L343" s="295" t="n"/>
      <c r="M343" s="348" t="n"/>
      <c r="N343" s="295" t="n"/>
      <c r="O343" s="293" t="n"/>
      <c r="P343" s="295" t="n"/>
      <c r="Q343" s="295" t="n"/>
      <c r="R343" s="290" t="n"/>
      <c r="S343" s="295" t="n"/>
      <c r="T343" s="295" t="n"/>
      <c r="U343" s="293" t="n"/>
      <c r="V343" s="295" t="n"/>
      <c r="W343" s="290" t="n"/>
      <c r="X343" s="295" t="n"/>
      <c r="Y343" s="295" t="n"/>
      <c r="Z343" s="295" t="n"/>
      <c r="AA343" s="295" t="n"/>
      <c r="AB343" s="293" t="n"/>
      <c r="AC343" s="295" t="n"/>
      <c r="AD343" s="295" t="n"/>
      <c r="AE343" s="294" t="n"/>
    </row>
    <row r="344">
      <c r="B344" s="279" t="n"/>
      <c r="C344" s="280" t="n"/>
      <c r="D344" s="295" t="n"/>
      <c r="E344" s="295" t="n"/>
      <c r="F344" s="295" t="n"/>
      <c r="G344" s="282" t="n"/>
      <c r="H344" s="295" t="n"/>
      <c r="I344" s="295" t="n"/>
      <c r="J344" s="282" t="n"/>
      <c r="K344" s="345" t="n"/>
      <c r="L344" s="295" t="n"/>
      <c r="M344" s="346" t="n"/>
      <c r="N344" s="295" t="n"/>
      <c r="O344" s="285" t="n"/>
      <c r="P344" s="295" t="n"/>
      <c r="Q344" s="295" t="n"/>
      <c r="R344" s="282" t="n"/>
      <c r="S344" s="295" t="n"/>
      <c r="T344" s="295" t="n"/>
      <c r="U344" s="285" t="n"/>
      <c r="V344" s="295" t="n"/>
      <c r="W344" s="282" t="n"/>
      <c r="X344" s="295" t="n"/>
      <c r="Y344" s="295" t="n"/>
      <c r="Z344" s="295" t="n"/>
      <c r="AA344" s="295" t="n"/>
      <c r="AB344" s="285" t="n"/>
      <c r="AC344" s="295" t="n"/>
      <c r="AD344" s="295" t="n"/>
      <c r="AE344" s="286" t="n"/>
    </row>
    <row r="345">
      <c r="B345" s="287" t="n"/>
      <c r="C345" s="288" t="n"/>
      <c r="D345" s="295" t="n"/>
      <c r="E345" s="295" t="n"/>
      <c r="F345" s="295" t="n"/>
      <c r="G345" s="290" t="n"/>
      <c r="H345" s="295" t="n"/>
      <c r="I345" s="295" t="n"/>
      <c r="J345" s="290" t="n"/>
      <c r="K345" s="347" t="n"/>
      <c r="L345" s="295" t="n"/>
      <c r="M345" s="348" t="n"/>
      <c r="N345" s="295" t="n"/>
      <c r="O345" s="293" t="n"/>
      <c r="P345" s="295" t="n"/>
      <c r="Q345" s="295" t="n"/>
      <c r="R345" s="290" t="n"/>
      <c r="S345" s="295" t="n"/>
      <c r="T345" s="295" t="n"/>
      <c r="U345" s="293" t="n"/>
      <c r="V345" s="295" t="n"/>
      <c r="W345" s="290" t="n"/>
      <c r="X345" s="295" t="n"/>
      <c r="Y345" s="295" t="n"/>
      <c r="Z345" s="295" t="n"/>
      <c r="AA345" s="295" t="n"/>
      <c r="AB345" s="293" t="n"/>
      <c r="AC345" s="295" t="n"/>
      <c r="AD345" s="295" t="n"/>
      <c r="AE345" s="294" t="n"/>
    </row>
    <row r="346">
      <c r="B346" s="279" t="n"/>
      <c r="C346" s="280" t="n"/>
      <c r="D346" s="295" t="n"/>
      <c r="E346" s="295" t="n"/>
      <c r="F346" s="295" t="n"/>
      <c r="G346" s="282" t="n"/>
      <c r="H346" s="295" t="n"/>
      <c r="I346" s="295" t="n"/>
      <c r="J346" s="282" t="n"/>
      <c r="K346" s="345" t="n"/>
      <c r="L346" s="295" t="n"/>
      <c r="M346" s="346" t="n"/>
      <c r="N346" s="295" t="n"/>
      <c r="O346" s="285" t="n"/>
      <c r="P346" s="295" t="n"/>
      <c r="Q346" s="295" t="n"/>
      <c r="R346" s="282" t="n"/>
      <c r="S346" s="295" t="n"/>
      <c r="T346" s="295" t="n"/>
      <c r="U346" s="285" t="n"/>
      <c r="V346" s="295" t="n"/>
      <c r="W346" s="282" t="n"/>
      <c r="X346" s="295" t="n"/>
      <c r="Y346" s="295" t="n"/>
      <c r="Z346" s="295" t="n"/>
      <c r="AA346" s="295" t="n"/>
      <c r="AB346" s="285" t="n"/>
      <c r="AC346" s="295" t="n"/>
      <c r="AD346" s="295" t="n"/>
      <c r="AE346" s="286" t="n"/>
    </row>
    <row r="347">
      <c r="B347" s="287" t="n"/>
      <c r="C347" s="288" t="n"/>
      <c r="D347" s="295" t="n"/>
      <c r="E347" s="295" t="n"/>
      <c r="F347" s="295" t="n"/>
      <c r="G347" s="290" t="n"/>
      <c r="H347" s="295" t="n"/>
      <c r="I347" s="295" t="n"/>
      <c r="J347" s="290" t="n"/>
      <c r="K347" s="347" t="n"/>
      <c r="L347" s="295" t="n"/>
      <c r="M347" s="348" t="n"/>
      <c r="N347" s="295" t="n"/>
      <c r="O347" s="293" t="n"/>
      <c r="P347" s="295" t="n"/>
      <c r="Q347" s="295" t="n"/>
      <c r="R347" s="290" t="n"/>
      <c r="S347" s="295" t="n"/>
      <c r="T347" s="295" t="n"/>
      <c r="U347" s="293" t="n"/>
      <c r="V347" s="295" t="n"/>
      <c r="W347" s="290" t="n"/>
      <c r="X347" s="295" t="n"/>
      <c r="Y347" s="295" t="n"/>
      <c r="Z347" s="295" t="n"/>
      <c r="AA347" s="295" t="n"/>
      <c r="AB347" s="293" t="n"/>
      <c r="AC347" s="295" t="n"/>
      <c r="AD347" s="295" t="n"/>
      <c r="AE347" s="294" t="n"/>
    </row>
    <row r="348">
      <c r="B348" s="279" t="n"/>
      <c r="C348" s="280" t="n"/>
      <c r="D348" s="295" t="n"/>
      <c r="E348" s="295" t="n"/>
      <c r="F348" s="295" t="n"/>
      <c r="G348" s="282" t="n"/>
      <c r="H348" s="295" t="n"/>
      <c r="I348" s="295" t="n"/>
      <c r="J348" s="282" t="n"/>
      <c r="K348" s="345" t="n"/>
      <c r="L348" s="295" t="n"/>
      <c r="M348" s="346" t="n"/>
      <c r="N348" s="295" t="n"/>
      <c r="O348" s="285" t="n"/>
      <c r="P348" s="295" t="n"/>
      <c r="Q348" s="295" t="n"/>
      <c r="R348" s="282" t="n"/>
      <c r="S348" s="295" t="n"/>
      <c r="T348" s="295" t="n"/>
      <c r="U348" s="285" t="n"/>
      <c r="V348" s="295" t="n"/>
      <c r="W348" s="282" t="n"/>
      <c r="X348" s="295" t="n"/>
      <c r="Y348" s="295" t="n"/>
      <c r="Z348" s="295" t="n"/>
      <c r="AA348" s="295" t="n"/>
      <c r="AB348" s="285" t="n"/>
      <c r="AC348" s="295" t="n"/>
      <c r="AD348" s="295" t="n"/>
      <c r="AE348" s="286" t="n"/>
    </row>
    <row r="349">
      <c r="B349" s="287" t="n"/>
      <c r="C349" s="288" t="n"/>
      <c r="D349" s="295" t="n"/>
      <c r="E349" s="295" t="n"/>
      <c r="F349" s="295" t="n"/>
      <c r="G349" s="290" t="n"/>
      <c r="H349" s="295" t="n"/>
      <c r="I349" s="295" t="n"/>
      <c r="J349" s="290" t="n"/>
      <c r="K349" s="347" t="n"/>
      <c r="L349" s="295" t="n"/>
      <c r="M349" s="348" t="n"/>
      <c r="N349" s="295" t="n"/>
      <c r="O349" s="293" t="n"/>
      <c r="P349" s="295" t="n"/>
      <c r="Q349" s="295" t="n"/>
      <c r="R349" s="290" t="n"/>
      <c r="S349" s="295" t="n"/>
      <c r="T349" s="295" t="n"/>
      <c r="U349" s="293" t="n"/>
      <c r="V349" s="295" t="n"/>
      <c r="W349" s="290" t="n"/>
      <c r="X349" s="295" t="n"/>
      <c r="Y349" s="295" t="n"/>
      <c r="Z349" s="295" t="n"/>
      <c r="AA349" s="295" t="n"/>
      <c r="AB349" s="293" t="n"/>
      <c r="AC349" s="295" t="n"/>
      <c r="AD349" s="295" t="n"/>
      <c r="AE349" s="294" t="n"/>
    </row>
    <row r="350">
      <c r="B350" s="279" t="n"/>
      <c r="C350" s="280" t="n"/>
      <c r="D350" s="295" t="n"/>
      <c r="E350" s="295" t="n"/>
      <c r="F350" s="295" t="n"/>
      <c r="G350" s="282" t="n"/>
      <c r="H350" s="295" t="n"/>
      <c r="I350" s="295" t="n"/>
      <c r="J350" s="282" t="n"/>
      <c r="K350" s="345" t="n"/>
      <c r="L350" s="295" t="n"/>
      <c r="M350" s="346" t="n"/>
      <c r="N350" s="295" t="n"/>
      <c r="O350" s="285" t="n"/>
      <c r="P350" s="295" t="n"/>
      <c r="Q350" s="295" t="n"/>
      <c r="R350" s="282" t="n"/>
      <c r="S350" s="295" t="n"/>
      <c r="T350" s="295" t="n"/>
      <c r="U350" s="285" t="n"/>
      <c r="V350" s="295" t="n"/>
      <c r="W350" s="282" t="n"/>
      <c r="X350" s="295" t="n"/>
      <c r="Y350" s="295" t="n"/>
      <c r="Z350" s="295" t="n"/>
      <c r="AA350" s="295" t="n"/>
      <c r="AB350" s="285" t="n"/>
      <c r="AC350" s="295" t="n"/>
      <c r="AD350" s="295" t="n"/>
      <c r="AE350" s="286" t="n"/>
    </row>
    <row r="351">
      <c r="B351" s="287" t="n"/>
      <c r="C351" s="288" t="n"/>
      <c r="D351" s="295" t="n"/>
      <c r="E351" s="295" t="n"/>
      <c r="F351" s="295" t="n"/>
      <c r="G351" s="290" t="n"/>
      <c r="H351" s="295" t="n"/>
      <c r="I351" s="295" t="n"/>
      <c r="J351" s="290" t="n"/>
      <c r="K351" s="347" t="n"/>
      <c r="L351" s="295" t="n"/>
      <c r="M351" s="348" t="n"/>
      <c r="N351" s="295" t="n"/>
      <c r="O351" s="293" t="n"/>
      <c r="P351" s="295" t="n"/>
      <c r="Q351" s="295" t="n"/>
      <c r="R351" s="290" t="n"/>
      <c r="S351" s="295" t="n"/>
      <c r="T351" s="295" t="n"/>
      <c r="U351" s="293" t="n"/>
      <c r="V351" s="295" t="n"/>
      <c r="W351" s="290" t="n"/>
      <c r="X351" s="295" t="n"/>
      <c r="Y351" s="295" t="n"/>
      <c r="Z351" s="295" t="n"/>
      <c r="AA351" s="295" t="n"/>
      <c r="AB351" s="293" t="n"/>
      <c r="AC351" s="295" t="n"/>
      <c r="AD351" s="295" t="n"/>
      <c r="AE351" s="294" t="n"/>
    </row>
    <row r="352">
      <c r="B352" s="279" t="n"/>
      <c r="C352" s="280" t="n"/>
      <c r="D352" s="295" t="n"/>
      <c r="E352" s="295" t="n"/>
      <c r="F352" s="295" t="n"/>
      <c r="G352" s="282" t="n"/>
      <c r="H352" s="295" t="n"/>
      <c r="I352" s="295" t="n"/>
      <c r="J352" s="282" t="n"/>
      <c r="K352" s="345" t="n"/>
      <c r="L352" s="295" t="n"/>
      <c r="M352" s="346" t="n"/>
      <c r="N352" s="295" t="n"/>
      <c r="O352" s="285" t="n"/>
      <c r="P352" s="295" t="n"/>
      <c r="Q352" s="295" t="n"/>
      <c r="R352" s="282" t="n"/>
      <c r="S352" s="295" t="n"/>
      <c r="T352" s="295" t="n"/>
      <c r="U352" s="285" t="n"/>
      <c r="V352" s="295" t="n"/>
      <c r="W352" s="282" t="n"/>
      <c r="X352" s="295" t="n"/>
      <c r="Y352" s="295" t="n"/>
      <c r="Z352" s="295" t="n"/>
      <c r="AA352" s="295" t="n"/>
      <c r="AB352" s="285" t="n"/>
      <c r="AC352" s="295" t="n"/>
      <c r="AD352" s="295" t="n"/>
      <c r="AE352" s="286" t="n"/>
    </row>
    <row r="353">
      <c r="B353" s="287" t="n"/>
      <c r="C353" s="288" t="n"/>
      <c r="D353" s="295" t="n"/>
      <c r="E353" s="295" t="n"/>
      <c r="F353" s="295" t="n"/>
      <c r="G353" s="290" t="n"/>
      <c r="H353" s="295" t="n"/>
      <c r="I353" s="295" t="n"/>
      <c r="J353" s="290" t="n"/>
      <c r="K353" s="347" t="n"/>
      <c r="L353" s="295" t="n"/>
      <c r="M353" s="348" t="n"/>
      <c r="N353" s="295" t="n"/>
      <c r="O353" s="293" t="n"/>
      <c r="P353" s="295" t="n"/>
      <c r="Q353" s="295" t="n"/>
      <c r="R353" s="290" t="n"/>
      <c r="S353" s="295" t="n"/>
      <c r="T353" s="295" t="n"/>
      <c r="U353" s="293" t="n"/>
      <c r="V353" s="295" t="n"/>
      <c r="W353" s="290" t="n"/>
      <c r="X353" s="295" t="n"/>
      <c r="Y353" s="295" t="n"/>
      <c r="Z353" s="295" t="n"/>
      <c r="AA353" s="295" t="n"/>
      <c r="AB353" s="293" t="n"/>
      <c r="AC353" s="295" t="n"/>
      <c r="AD353" s="295" t="n"/>
      <c r="AE353" s="294" t="n"/>
    </row>
    <row r="354">
      <c r="B354" s="279" t="n"/>
      <c r="C354" s="280" t="n"/>
      <c r="D354" s="295" t="n"/>
      <c r="E354" s="295" t="n"/>
      <c r="F354" s="295" t="n"/>
      <c r="G354" s="282" t="n"/>
      <c r="H354" s="295" t="n"/>
      <c r="I354" s="295" t="n"/>
      <c r="J354" s="282" t="n"/>
      <c r="K354" s="345" t="n"/>
      <c r="L354" s="295" t="n"/>
      <c r="M354" s="346" t="n"/>
      <c r="N354" s="295" t="n"/>
      <c r="O354" s="285" t="n"/>
      <c r="P354" s="295" t="n"/>
      <c r="Q354" s="295" t="n"/>
      <c r="R354" s="282" t="n"/>
      <c r="S354" s="295" t="n"/>
      <c r="T354" s="295" t="n"/>
      <c r="U354" s="285" t="n"/>
      <c r="V354" s="295" t="n"/>
      <c r="W354" s="282" t="n"/>
      <c r="X354" s="295" t="n"/>
      <c r="Y354" s="295" t="n"/>
      <c r="Z354" s="295" t="n"/>
      <c r="AA354" s="295" t="n"/>
      <c r="AB354" s="285" t="n"/>
      <c r="AC354" s="295" t="n"/>
      <c r="AD354" s="295" t="n"/>
      <c r="AE354" s="286" t="n"/>
    </row>
    <row r="355">
      <c r="B355" s="287" t="n"/>
      <c r="C355" s="288" t="n"/>
      <c r="D355" s="295" t="n"/>
      <c r="E355" s="295" t="n"/>
      <c r="F355" s="295" t="n"/>
      <c r="G355" s="290" t="n"/>
      <c r="H355" s="295" t="n"/>
      <c r="I355" s="295" t="n"/>
      <c r="J355" s="290" t="n"/>
      <c r="K355" s="347" t="n"/>
      <c r="L355" s="295" t="n"/>
      <c r="M355" s="348" t="n"/>
      <c r="N355" s="295" t="n"/>
      <c r="O355" s="293" t="n"/>
      <c r="P355" s="295" t="n"/>
      <c r="Q355" s="295" t="n"/>
      <c r="R355" s="290" t="n"/>
      <c r="S355" s="295" t="n"/>
      <c r="T355" s="295" t="n"/>
      <c r="U355" s="293" t="n"/>
      <c r="V355" s="295" t="n"/>
      <c r="W355" s="290" t="n"/>
      <c r="X355" s="295" t="n"/>
      <c r="Y355" s="295" t="n"/>
      <c r="Z355" s="295" t="n"/>
      <c r="AA355" s="295" t="n"/>
      <c r="AB355" s="293" t="n"/>
      <c r="AC355" s="295" t="n"/>
      <c r="AD355" s="295" t="n"/>
      <c r="AE355" s="294" t="n"/>
    </row>
    <row r="356">
      <c r="B356" s="279" t="n"/>
      <c r="C356" s="280" t="n"/>
      <c r="D356" s="295" t="n"/>
      <c r="E356" s="295" t="n"/>
      <c r="F356" s="295" t="n"/>
      <c r="G356" s="282" t="n"/>
      <c r="H356" s="295" t="n"/>
      <c r="I356" s="295" t="n"/>
      <c r="J356" s="282" t="n"/>
      <c r="K356" s="345" t="n"/>
      <c r="L356" s="295" t="n"/>
      <c r="M356" s="346" t="n"/>
      <c r="N356" s="295" t="n"/>
      <c r="O356" s="285" t="n"/>
      <c r="P356" s="295" t="n"/>
      <c r="Q356" s="295" t="n"/>
      <c r="R356" s="282" t="n"/>
      <c r="S356" s="295" t="n"/>
      <c r="T356" s="295" t="n"/>
      <c r="U356" s="285" t="n"/>
      <c r="V356" s="295" t="n"/>
      <c r="W356" s="282" t="n"/>
      <c r="X356" s="295" t="n"/>
      <c r="Y356" s="295" t="n"/>
      <c r="Z356" s="295" t="n"/>
      <c r="AA356" s="295" t="n"/>
      <c r="AB356" s="285" t="n"/>
      <c r="AC356" s="295" t="n"/>
      <c r="AD356" s="295" t="n"/>
      <c r="AE356" s="286" t="n"/>
    </row>
    <row r="357">
      <c r="B357" s="287" t="n"/>
      <c r="C357" s="288" t="n"/>
      <c r="D357" s="295" t="n"/>
      <c r="E357" s="295" t="n"/>
      <c r="F357" s="295" t="n"/>
      <c r="G357" s="290" t="n"/>
      <c r="H357" s="295" t="n"/>
      <c r="I357" s="295" t="n"/>
      <c r="J357" s="290" t="n"/>
      <c r="K357" s="347" t="n"/>
      <c r="L357" s="295" t="n"/>
      <c r="M357" s="348" t="n"/>
      <c r="N357" s="295" t="n"/>
      <c r="O357" s="293" t="n"/>
      <c r="P357" s="295" t="n"/>
      <c r="Q357" s="295" t="n"/>
      <c r="R357" s="290" t="n"/>
      <c r="S357" s="295" t="n"/>
      <c r="T357" s="295" t="n"/>
      <c r="U357" s="293" t="n"/>
      <c r="V357" s="295" t="n"/>
      <c r="W357" s="290" t="n"/>
      <c r="X357" s="295" t="n"/>
      <c r="Y357" s="295" t="n"/>
      <c r="Z357" s="295" t="n"/>
      <c r="AA357" s="295" t="n"/>
      <c r="AB357" s="293" t="n"/>
      <c r="AC357" s="295" t="n"/>
      <c r="AD357" s="295" t="n"/>
      <c r="AE357" s="294" t="n"/>
    </row>
    <row r="358">
      <c r="B358" s="279" t="n"/>
      <c r="C358" s="280" t="n"/>
      <c r="D358" s="295" t="n"/>
      <c r="E358" s="295" t="n"/>
      <c r="F358" s="295" t="n"/>
      <c r="G358" s="282" t="n"/>
      <c r="H358" s="295" t="n"/>
      <c r="I358" s="295" t="n"/>
      <c r="J358" s="282" t="n"/>
      <c r="K358" s="345" t="n"/>
      <c r="L358" s="295" t="n"/>
      <c r="M358" s="346" t="n"/>
      <c r="N358" s="295" t="n"/>
      <c r="O358" s="285" t="n"/>
      <c r="P358" s="295" t="n"/>
      <c r="Q358" s="295" t="n"/>
      <c r="R358" s="282" t="n"/>
      <c r="S358" s="295" t="n"/>
      <c r="T358" s="295" t="n"/>
      <c r="U358" s="285" t="n"/>
      <c r="V358" s="295" t="n"/>
      <c r="W358" s="282" t="n"/>
      <c r="X358" s="295" t="n"/>
      <c r="Y358" s="295" t="n"/>
      <c r="Z358" s="295" t="n"/>
      <c r="AA358" s="295" t="n"/>
      <c r="AB358" s="285" t="n"/>
      <c r="AC358" s="295" t="n"/>
      <c r="AD358" s="295" t="n"/>
      <c r="AE358" s="286" t="n"/>
    </row>
    <row r="359">
      <c r="B359" s="287" t="n"/>
      <c r="C359" s="288" t="n"/>
      <c r="D359" s="295" t="n"/>
      <c r="E359" s="295" t="n"/>
      <c r="F359" s="295" t="n"/>
      <c r="G359" s="290" t="n"/>
      <c r="H359" s="295" t="n"/>
      <c r="I359" s="295" t="n"/>
      <c r="J359" s="290" t="n"/>
      <c r="K359" s="347" t="n"/>
      <c r="L359" s="295" t="n"/>
      <c r="M359" s="348" t="n"/>
      <c r="N359" s="295" t="n"/>
      <c r="O359" s="293" t="n"/>
      <c r="P359" s="295" t="n"/>
      <c r="Q359" s="295" t="n"/>
      <c r="R359" s="290" t="n"/>
      <c r="S359" s="295" t="n"/>
      <c r="T359" s="295" t="n"/>
      <c r="U359" s="293" t="n"/>
      <c r="V359" s="295" t="n"/>
      <c r="W359" s="290" t="n"/>
      <c r="X359" s="295" t="n"/>
      <c r="Y359" s="295" t="n"/>
      <c r="Z359" s="295" t="n"/>
      <c r="AA359" s="295" t="n"/>
      <c r="AB359" s="293" t="n"/>
      <c r="AC359" s="295" t="n"/>
      <c r="AD359" s="295" t="n"/>
      <c r="AE359" s="294" t="n"/>
    </row>
    <row r="360">
      <c r="B360" s="279" t="n"/>
      <c r="C360" s="280" t="n"/>
      <c r="D360" s="295" t="n"/>
      <c r="E360" s="295" t="n"/>
      <c r="F360" s="295" t="n"/>
      <c r="G360" s="282" t="n"/>
      <c r="H360" s="295" t="n"/>
      <c r="I360" s="295" t="n"/>
      <c r="J360" s="282" t="n"/>
      <c r="K360" s="345" t="n"/>
      <c r="L360" s="295" t="n"/>
      <c r="M360" s="346" t="n"/>
      <c r="N360" s="295" t="n"/>
      <c r="O360" s="285" t="n"/>
      <c r="P360" s="295" t="n"/>
      <c r="Q360" s="295" t="n"/>
      <c r="R360" s="282" t="n"/>
      <c r="S360" s="295" t="n"/>
      <c r="T360" s="295" t="n"/>
      <c r="U360" s="285" t="n"/>
      <c r="V360" s="295" t="n"/>
      <c r="W360" s="282" t="n"/>
      <c r="X360" s="295" t="n"/>
      <c r="Y360" s="295" t="n"/>
      <c r="Z360" s="295" t="n"/>
      <c r="AA360" s="295" t="n"/>
      <c r="AB360" s="285" t="n"/>
      <c r="AC360" s="295" t="n"/>
      <c r="AD360" s="295" t="n"/>
      <c r="AE360" s="286" t="n"/>
    </row>
    <row r="361">
      <c r="B361" s="287" t="n"/>
      <c r="C361" s="288" t="n"/>
      <c r="D361" s="295" t="n"/>
      <c r="E361" s="295" t="n"/>
      <c r="F361" s="295" t="n"/>
      <c r="G361" s="290" t="n"/>
      <c r="H361" s="295" t="n"/>
      <c r="I361" s="295" t="n"/>
      <c r="J361" s="290" t="n"/>
      <c r="K361" s="347" t="n"/>
      <c r="L361" s="295" t="n"/>
      <c r="M361" s="348" t="n"/>
      <c r="N361" s="295" t="n"/>
      <c r="O361" s="293" t="n"/>
      <c r="P361" s="295" t="n"/>
      <c r="Q361" s="295" t="n"/>
      <c r="R361" s="290" t="n"/>
      <c r="S361" s="295" t="n"/>
      <c r="T361" s="295" t="n"/>
      <c r="U361" s="293" t="n"/>
      <c r="V361" s="295" t="n"/>
      <c r="W361" s="290" t="n"/>
      <c r="X361" s="295" t="n"/>
      <c r="Y361" s="295" t="n"/>
      <c r="Z361" s="295" t="n"/>
      <c r="AA361" s="295" t="n"/>
      <c r="AB361" s="293" t="n"/>
      <c r="AC361" s="295" t="n"/>
      <c r="AD361" s="295" t="n"/>
      <c r="AE361" s="294" t="n"/>
    </row>
    <row r="362">
      <c r="B362" s="279" t="n"/>
      <c r="C362" s="280" t="n"/>
      <c r="D362" s="295" t="n"/>
      <c r="E362" s="295" t="n"/>
      <c r="F362" s="295" t="n"/>
      <c r="G362" s="282" t="n"/>
      <c r="H362" s="295" t="n"/>
      <c r="I362" s="295" t="n"/>
      <c r="J362" s="282" t="n"/>
      <c r="K362" s="345" t="n"/>
      <c r="L362" s="295" t="n"/>
      <c r="M362" s="346" t="n"/>
      <c r="N362" s="295" t="n"/>
      <c r="O362" s="285" t="n"/>
      <c r="P362" s="295" t="n"/>
      <c r="Q362" s="295" t="n"/>
      <c r="R362" s="282" t="n"/>
      <c r="S362" s="295" t="n"/>
      <c r="T362" s="295" t="n"/>
      <c r="U362" s="285" t="n"/>
      <c r="V362" s="295" t="n"/>
      <c r="W362" s="282" t="n"/>
      <c r="X362" s="295" t="n"/>
      <c r="Y362" s="295" t="n"/>
      <c r="Z362" s="295" t="n"/>
      <c r="AA362" s="295" t="n"/>
      <c r="AB362" s="285" t="n"/>
      <c r="AC362" s="295" t="n"/>
      <c r="AD362" s="295" t="n"/>
      <c r="AE362" s="286" t="n"/>
    </row>
    <row r="363">
      <c r="B363" s="287" t="n"/>
      <c r="C363" s="288" t="n"/>
      <c r="D363" s="295" t="n"/>
      <c r="E363" s="295" t="n"/>
      <c r="F363" s="295" t="n"/>
      <c r="G363" s="290" t="n"/>
      <c r="H363" s="295" t="n"/>
      <c r="I363" s="295" t="n"/>
      <c r="J363" s="290" t="n"/>
      <c r="K363" s="347" t="n"/>
      <c r="L363" s="295" t="n"/>
      <c r="M363" s="348" t="n"/>
      <c r="N363" s="295" t="n"/>
      <c r="O363" s="293" t="n"/>
      <c r="P363" s="295" t="n"/>
      <c r="Q363" s="295" t="n"/>
      <c r="R363" s="290" t="n"/>
      <c r="S363" s="295" t="n"/>
      <c r="T363" s="295" t="n"/>
      <c r="U363" s="293" t="n"/>
      <c r="V363" s="295" t="n"/>
      <c r="W363" s="290" t="n"/>
      <c r="X363" s="295" t="n"/>
      <c r="Y363" s="295" t="n"/>
      <c r="Z363" s="295" t="n"/>
      <c r="AA363" s="295" t="n"/>
      <c r="AB363" s="293" t="n"/>
      <c r="AC363" s="295" t="n"/>
      <c r="AD363" s="295" t="n"/>
      <c r="AE363" s="294" t="n"/>
    </row>
    <row r="364">
      <c r="B364" s="279" t="n"/>
      <c r="C364" s="280" t="n"/>
      <c r="D364" s="295" t="n"/>
      <c r="E364" s="295" t="n"/>
      <c r="F364" s="295" t="n"/>
      <c r="G364" s="282" t="n"/>
      <c r="H364" s="295" t="n"/>
      <c r="I364" s="295" t="n"/>
      <c r="J364" s="282" t="n"/>
      <c r="K364" s="345" t="n"/>
      <c r="L364" s="295" t="n"/>
      <c r="M364" s="346" t="n"/>
      <c r="N364" s="295" t="n"/>
      <c r="O364" s="285" t="n"/>
      <c r="P364" s="295" t="n"/>
      <c r="Q364" s="295" t="n"/>
      <c r="R364" s="282" t="n"/>
      <c r="S364" s="295" t="n"/>
      <c r="T364" s="295" t="n"/>
      <c r="U364" s="285" t="n"/>
      <c r="V364" s="295" t="n"/>
      <c r="W364" s="282" t="n"/>
      <c r="X364" s="295" t="n"/>
      <c r="Y364" s="295" t="n"/>
      <c r="Z364" s="295" t="n"/>
      <c r="AA364" s="295" t="n"/>
      <c r="AB364" s="285" t="n"/>
      <c r="AC364" s="295" t="n"/>
      <c r="AD364" s="295" t="n"/>
      <c r="AE364" s="286" t="n"/>
    </row>
    <row r="365">
      <c r="B365" s="287" t="n"/>
      <c r="C365" s="288" t="n"/>
      <c r="D365" s="295" t="n"/>
      <c r="E365" s="295" t="n"/>
      <c r="F365" s="295" t="n"/>
      <c r="G365" s="290" t="n"/>
      <c r="H365" s="295" t="n"/>
      <c r="I365" s="295" t="n"/>
      <c r="J365" s="290" t="n"/>
      <c r="K365" s="347" t="n"/>
      <c r="L365" s="295" t="n"/>
      <c r="M365" s="348" t="n"/>
      <c r="N365" s="295" t="n"/>
      <c r="O365" s="293" t="n"/>
      <c r="P365" s="295" t="n"/>
      <c r="Q365" s="295" t="n"/>
      <c r="R365" s="290" t="n"/>
      <c r="S365" s="295" t="n"/>
      <c r="T365" s="295" t="n"/>
      <c r="U365" s="293" t="n"/>
      <c r="V365" s="295" t="n"/>
      <c r="W365" s="290" t="n"/>
      <c r="X365" s="295" t="n"/>
      <c r="Y365" s="295" t="n"/>
      <c r="Z365" s="295" t="n"/>
      <c r="AA365" s="295" t="n"/>
      <c r="AB365" s="293" t="n"/>
      <c r="AC365" s="295" t="n"/>
      <c r="AD365" s="295" t="n"/>
      <c r="AE365" s="294" t="n"/>
    </row>
    <row r="366">
      <c r="B366" s="279" t="n"/>
      <c r="C366" s="280" t="n"/>
      <c r="D366" s="295" t="n"/>
      <c r="E366" s="295" t="n"/>
      <c r="F366" s="295" t="n"/>
      <c r="G366" s="282" t="n"/>
      <c r="H366" s="295" t="n"/>
      <c r="I366" s="295" t="n"/>
      <c r="J366" s="282" t="n"/>
      <c r="K366" s="345" t="n"/>
      <c r="L366" s="295" t="n"/>
      <c r="M366" s="346" t="n"/>
      <c r="N366" s="295" t="n"/>
      <c r="O366" s="285" t="n"/>
      <c r="P366" s="295" t="n"/>
      <c r="Q366" s="295" t="n"/>
      <c r="R366" s="282" t="n"/>
      <c r="S366" s="295" t="n"/>
      <c r="T366" s="295" t="n"/>
      <c r="U366" s="285" t="n"/>
      <c r="V366" s="295" t="n"/>
      <c r="W366" s="282" t="n"/>
      <c r="X366" s="295" t="n"/>
      <c r="Y366" s="295" t="n"/>
      <c r="Z366" s="295" t="n"/>
      <c r="AA366" s="295" t="n"/>
      <c r="AB366" s="285" t="n"/>
      <c r="AC366" s="295" t="n"/>
      <c r="AD366" s="295" t="n"/>
      <c r="AE366" s="286" t="n"/>
    </row>
    <row r="367">
      <c r="B367" s="287" t="n"/>
      <c r="C367" s="288" t="n"/>
      <c r="D367" s="295" t="n"/>
      <c r="E367" s="295" t="n"/>
      <c r="F367" s="295" t="n"/>
      <c r="G367" s="290" t="n"/>
      <c r="H367" s="295" t="n"/>
      <c r="I367" s="295" t="n"/>
      <c r="J367" s="290" t="n"/>
      <c r="K367" s="347" t="n"/>
      <c r="L367" s="295" t="n"/>
      <c r="M367" s="348" t="n"/>
      <c r="N367" s="295" t="n"/>
      <c r="O367" s="293" t="n"/>
      <c r="P367" s="295" t="n"/>
      <c r="Q367" s="295" t="n"/>
      <c r="R367" s="290" t="n"/>
      <c r="S367" s="295" t="n"/>
      <c r="T367" s="295" t="n"/>
      <c r="U367" s="293" t="n"/>
      <c r="V367" s="295" t="n"/>
      <c r="W367" s="290" t="n"/>
      <c r="X367" s="295" t="n"/>
      <c r="Y367" s="295" t="n"/>
      <c r="Z367" s="295" t="n"/>
      <c r="AA367" s="295" t="n"/>
      <c r="AB367" s="293" t="n"/>
      <c r="AC367" s="295" t="n"/>
      <c r="AD367" s="295" t="n"/>
      <c r="AE367" s="294" t="n"/>
    </row>
    <row r="368">
      <c r="B368" s="279" t="n"/>
      <c r="C368" s="280" t="n"/>
      <c r="D368" s="295" t="n"/>
      <c r="E368" s="295" t="n"/>
      <c r="F368" s="295" t="n"/>
      <c r="G368" s="282" t="n"/>
      <c r="H368" s="295" t="n"/>
      <c r="I368" s="295" t="n"/>
      <c r="J368" s="282" t="n"/>
      <c r="K368" s="345" t="n"/>
      <c r="L368" s="295" t="n"/>
      <c r="M368" s="346" t="n"/>
      <c r="N368" s="295" t="n"/>
      <c r="O368" s="285" t="n"/>
      <c r="P368" s="295" t="n"/>
      <c r="Q368" s="295" t="n"/>
      <c r="R368" s="282" t="n"/>
      <c r="S368" s="295" t="n"/>
      <c r="T368" s="295" t="n"/>
      <c r="U368" s="285" t="n"/>
      <c r="V368" s="295" t="n"/>
      <c r="W368" s="282" t="n"/>
      <c r="X368" s="295" t="n"/>
      <c r="Y368" s="295" t="n"/>
      <c r="Z368" s="295" t="n"/>
      <c r="AA368" s="295" t="n"/>
      <c r="AB368" s="285" t="n"/>
      <c r="AC368" s="295" t="n"/>
      <c r="AD368" s="295" t="n"/>
      <c r="AE368" s="286" t="n"/>
    </row>
    <row r="369">
      <c r="B369" s="287" t="n"/>
      <c r="C369" s="288" t="n"/>
      <c r="D369" s="295" t="n"/>
      <c r="E369" s="295" t="n"/>
      <c r="F369" s="295" t="n"/>
      <c r="G369" s="290" t="n"/>
      <c r="H369" s="295" t="n"/>
      <c r="I369" s="295" t="n"/>
      <c r="J369" s="290" t="n"/>
      <c r="K369" s="347" t="n"/>
      <c r="L369" s="295" t="n"/>
      <c r="M369" s="348" t="n"/>
      <c r="N369" s="295" t="n"/>
      <c r="O369" s="293" t="n"/>
      <c r="P369" s="295" t="n"/>
      <c r="Q369" s="295" t="n"/>
      <c r="R369" s="290" t="n"/>
      <c r="S369" s="295" t="n"/>
      <c r="T369" s="295" t="n"/>
      <c r="U369" s="293" t="n"/>
      <c r="V369" s="295" t="n"/>
      <c r="W369" s="290" t="n"/>
      <c r="X369" s="295" t="n"/>
      <c r="Y369" s="295" t="n"/>
      <c r="Z369" s="295" t="n"/>
      <c r="AA369" s="295" t="n"/>
      <c r="AB369" s="293" t="n"/>
      <c r="AC369" s="295" t="n"/>
      <c r="AD369" s="295" t="n"/>
      <c r="AE369" s="294" t="n"/>
    </row>
    <row r="370">
      <c r="B370" s="279" t="n"/>
      <c r="C370" s="280" t="n"/>
      <c r="D370" s="295" t="n"/>
      <c r="E370" s="295" t="n"/>
      <c r="F370" s="295" t="n"/>
      <c r="G370" s="282" t="n"/>
      <c r="H370" s="295" t="n"/>
      <c r="I370" s="295" t="n"/>
      <c r="J370" s="282" t="n"/>
      <c r="K370" s="345" t="n"/>
      <c r="L370" s="295" t="n"/>
      <c r="M370" s="346" t="n"/>
      <c r="N370" s="295" t="n"/>
      <c r="O370" s="285" t="n"/>
      <c r="P370" s="295" t="n"/>
      <c r="Q370" s="295" t="n"/>
      <c r="R370" s="282" t="n"/>
      <c r="S370" s="295" t="n"/>
      <c r="T370" s="295" t="n"/>
      <c r="U370" s="285" t="n"/>
      <c r="V370" s="295" t="n"/>
      <c r="W370" s="282" t="n"/>
      <c r="X370" s="295" t="n"/>
      <c r="Y370" s="295" t="n"/>
      <c r="Z370" s="295" t="n"/>
      <c r="AA370" s="295" t="n"/>
      <c r="AB370" s="285" t="n"/>
      <c r="AC370" s="295" t="n"/>
      <c r="AD370" s="295" t="n"/>
      <c r="AE370" s="286" t="n"/>
    </row>
    <row r="371">
      <c r="B371" s="287" t="n"/>
      <c r="C371" s="288" t="n"/>
      <c r="D371" s="295" t="n"/>
      <c r="E371" s="295" t="n"/>
      <c r="F371" s="295" t="n"/>
      <c r="G371" s="290" t="n"/>
      <c r="H371" s="295" t="n"/>
      <c r="I371" s="295" t="n"/>
      <c r="J371" s="290" t="n"/>
      <c r="K371" s="347" t="n"/>
      <c r="L371" s="295" t="n"/>
      <c r="M371" s="348" t="n"/>
      <c r="N371" s="295" t="n"/>
      <c r="O371" s="293" t="n"/>
      <c r="P371" s="295" t="n"/>
      <c r="Q371" s="295" t="n"/>
      <c r="R371" s="290" t="n"/>
      <c r="S371" s="295" t="n"/>
      <c r="T371" s="295" t="n"/>
      <c r="U371" s="293" t="n"/>
      <c r="V371" s="295" t="n"/>
      <c r="W371" s="290" t="n"/>
      <c r="X371" s="295" t="n"/>
      <c r="Y371" s="295" t="n"/>
      <c r="Z371" s="295" t="n"/>
      <c r="AA371" s="295" t="n"/>
      <c r="AB371" s="293" t="n"/>
      <c r="AC371" s="295" t="n"/>
      <c r="AD371" s="295" t="n"/>
      <c r="AE371" s="294" t="n"/>
    </row>
    <row r="372">
      <c r="B372" s="279" t="n"/>
      <c r="C372" s="280" t="n"/>
      <c r="D372" s="295" t="n"/>
      <c r="E372" s="295" t="n"/>
      <c r="F372" s="295" t="n"/>
      <c r="G372" s="282" t="n"/>
      <c r="H372" s="295" t="n"/>
      <c r="I372" s="295" t="n"/>
      <c r="J372" s="282" t="n"/>
      <c r="K372" s="345" t="n"/>
      <c r="L372" s="295" t="n"/>
      <c r="M372" s="346" t="n"/>
      <c r="N372" s="295" t="n"/>
      <c r="O372" s="285" t="n"/>
      <c r="P372" s="295" t="n"/>
      <c r="Q372" s="295" t="n"/>
      <c r="R372" s="282" t="n"/>
      <c r="S372" s="295" t="n"/>
      <c r="T372" s="295" t="n"/>
      <c r="U372" s="285" t="n"/>
      <c r="V372" s="295" t="n"/>
      <c r="W372" s="282" t="n"/>
      <c r="X372" s="295" t="n"/>
      <c r="Y372" s="295" t="n"/>
      <c r="Z372" s="295" t="n"/>
      <c r="AA372" s="295" t="n"/>
      <c r="AB372" s="285" t="n"/>
      <c r="AC372" s="295" t="n"/>
      <c r="AD372" s="295" t="n"/>
      <c r="AE372" s="286" t="n"/>
    </row>
    <row r="373">
      <c r="B373" s="287" t="n"/>
      <c r="C373" s="288" t="n"/>
      <c r="D373" s="295" t="n"/>
      <c r="E373" s="295" t="n"/>
      <c r="F373" s="295" t="n"/>
      <c r="G373" s="290" t="n"/>
      <c r="H373" s="295" t="n"/>
      <c r="I373" s="295" t="n"/>
      <c r="J373" s="290" t="n"/>
      <c r="K373" s="347" t="n"/>
      <c r="L373" s="295" t="n"/>
      <c r="M373" s="348" t="n"/>
      <c r="N373" s="295" t="n"/>
      <c r="O373" s="293" t="n"/>
      <c r="P373" s="295" t="n"/>
      <c r="Q373" s="295" t="n"/>
      <c r="R373" s="290" t="n"/>
      <c r="S373" s="295" t="n"/>
      <c r="T373" s="295" t="n"/>
      <c r="U373" s="293" t="n"/>
      <c r="V373" s="295" t="n"/>
      <c r="W373" s="290" t="n"/>
      <c r="X373" s="295" t="n"/>
      <c r="Y373" s="295" t="n"/>
      <c r="Z373" s="295" t="n"/>
      <c r="AA373" s="295" t="n"/>
      <c r="AB373" s="293" t="n"/>
      <c r="AC373" s="295" t="n"/>
      <c r="AD373" s="295" t="n"/>
      <c r="AE373" s="294" t="n"/>
    </row>
    <row r="374">
      <c r="B374" s="279" t="n"/>
      <c r="C374" s="280" t="n"/>
      <c r="D374" s="295" t="n"/>
      <c r="E374" s="295" t="n"/>
      <c r="F374" s="295" t="n"/>
      <c r="G374" s="282" t="n"/>
      <c r="H374" s="295" t="n"/>
      <c r="I374" s="295" t="n"/>
      <c r="J374" s="282" t="n"/>
      <c r="K374" s="345" t="n"/>
      <c r="L374" s="295" t="n"/>
      <c r="M374" s="346" t="n"/>
      <c r="N374" s="295" t="n"/>
      <c r="O374" s="285" t="n"/>
      <c r="P374" s="295" t="n"/>
      <c r="Q374" s="295" t="n"/>
      <c r="R374" s="282" t="n"/>
      <c r="S374" s="295" t="n"/>
      <c r="T374" s="295" t="n"/>
      <c r="U374" s="285" t="n"/>
      <c r="V374" s="295" t="n"/>
      <c r="W374" s="282" t="n"/>
      <c r="X374" s="295" t="n"/>
      <c r="Y374" s="295" t="n"/>
      <c r="Z374" s="295" t="n"/>
      <c r="AA374" s="295" t="n"/>
      <c r="AB374" s="285" t="n"/>
      <c r="AC374" s="295" t="n"/>
      <c r="AD374" s="295" t="n"/>
      <c r="AE374" s="286" t="n"/>
    </row>
    <row r="375">
      <c r="B375" s="287" t="n"/>
      <c r="C375" s="288" t="n"/>
      <c r="D375" s="295" t="n"/>
      <c r="E375" s="295" t="n"/>
      <c r="F375" s="295" t="n"/>
      <c r="G375" s="290" t="n"/>
      <c r="H375" s="295" t="n"/>
      <c r="I375" s="295" t="n"/>
      <c r="J375" s="290" t="n"/>
      <c r="K375" s="347" t="n"/>
      <c r="L375" s="295" t="n"/>
      <c r="M375" s="348" t="n"/>
      <c r="N375" s="295" t="n"/>
      <c r="O375" s="293" t="n"/>
      <c r="P375" s="295" t="n"/>
      <c r="Q375" s="295" t="n"/>
      <c r="R375" s="290" t="n"/>
      <c r="S375" s="295" t="n"/>
      <c r="T375" s="295" t="n"/>
      <c r="U375" s="293" t="n"/>
      <c r="V375" s="295" t="n"/>
      <c r="W375" s="290" t="n"/>
      <c r="X375" s="295" t="n"/>
      <c r="Y375" s="295" t="n"/>
      <c r="Z375" s="295" t="n"/>
      <c r="AA375" s="295" t="n"/>
      <c r="AB375" s="293" t="n"/>
      <c r="AC375" s="295" t="n"/>
      <c r="AD375" s="295" t="n"/>
      <c r="AE375" s="294" t="n"/>
    </row>
    <row r="376">
      <c r="B376" s="279" t="n"/>
      <c r="C376" s="280" t="n"/>
      <c r="D376" s="295" t="n"/>
      <c r="E376" s="295" t="n"/>
      <c r="F376" s="295" t="n"/>
      <c r="G376" s="282" t="n"/>
      <c r="H376" s="295" t="n"/>
      <c r="I376" s="295" t="n"/>
      <c r="J376" s="282" t="n"/>
      <c r="K376" s="345" t="n"/>
      <c r="L376" s="295" t="n"/>
      <c r="M376" s="346" t="n"/>
      <c r="N376" s="295" t="n"/>
      <c r="O376" s="285" t="n"/>
      <c r="P376" s="295" t="n"/>
      <c r="Q376" s="295" t="n"/>
      <c r="R376" s="282" t="n"/>
      <c r="S376" s="295" t="n"/>
      <c r="T376" s="295" t="n"/>
      <c r="U376" s="285" t="n"/>
      <c r="V376" s="295" t="n"/>
      <c r="W376" s="282" t="n"/>
      <c r="X376" s="295" t="n"/>
      <c r="Y376" s="295" t="n"/>
      <c r="Z376" s="295" t="n"/>
      <c r="AA376" s="295" t="n"/>
      <c r="AB376" s="285" t="n"/>
      <c r="AC376" s="295" t="n"/>
      <c r="AD376" s="295" t="n"/>
      <c r="AE376" s="286" t="n"/>
    </row>
    <row r="377">
      <c r="B377" s="287" t="n"/>
      <c r="C377" s="288" t="n"/>
      <c r="D377" s="295" t="n"/>
      <c r="E377" s="295" t="n"/>
      <c r="F377" s="295" t="n"/>
      <c r="G377" s="290" t="n"/>
      <c r="H377" s="295" t="n"/>
      <c r="I377" s="295" t="n"/>
      <c r="J377" s="290" t="n"/>
      <c r="K377" s="347" t="n"/>
      <c r="L377" s="295" t="n"/>
      <c r="M377" s="348" t="n"/>
      <c r="N377" s="295" t="n"/>
      <c r="O377" s="293" t="n"/>
      <c r="P377" s="295" t="n"/>
      <c r="Q377" s="295" t="n"/>
      <c r="R377" s="290" t="n"/>
      <c r="S377" s="295" t="n"/>
      <c r="T377" s="295" t="n"/>
      <c r="U377" s="293" t="n"/>
      <c r="V377" s="295" t="n"/>
      <c r="W377" s="290" t="n"/>
      <c r="X377" s="295" t="n"/>
      <c r="Y377" s="295" t="n"/>
      <c r="Z377" s="295" t="n"/>
      <c r="AA377" s="295" t="n"/>
      <c r="AB377" s="293" t="n"/>
      <c r="AC377" s="295" t="n"/>
      <c r="AD377" s="295" t="n"/>
      <c r="AE377" s="294" t="n"/>
    </row>
    <row r="378">
      <c r="B378" s="279" t="n"/>
      <c r="C378" s="280" t="n"/>
      <c r="D378" s="295" t="n"/>
      <c r="E378" s="295" t="n"/>
      <c r="F378" s="295" t="n"/>
      <c r="G378" s="282" t="n"/>
      <c r="H378" s="295" t="n"/>
      <c r="I378" s="295" t="n"/>
      <c r="J378" s="282" t="n"/>
      <c r="K378" s="345" t="n"/>
      <c r="L378" s="295" t="n"/>
      <c r="M378" s="346" t="n"/>
      <c r="N378" s="295" t="n"/>
      <c r="O378" s="285" t="n"/>
      <c r="P378" s="295" t="n"/>
      <c r="Q378" s="295" t="n"/>
      <c r="R378" s="282" t="n"/>
      <c r="S378" s="295" t="n"/>
      <c r="T378" s="295" t="n"/>
      <c r="U378" s="285" t="n"/>
      <c r="V378" s="295" t="n"/>
      <c r="W378" s="282" t="n"/>
      <c r="X378" s="295" t="n"/>
      <c r="Y378" s="295" t="n"/>
      <c r="Z378" s="295" t="n"/>
      <c r="AA378" s="295" t="n"/>
      <c r="AB378" s="285" t="n"/>
      <c r="AC378" s="295" t="n"/>
      <c r="AD378" s="295" t="n"/>
      <c r="AE378" s="286" t="n"/>
    </row>
    <row r="379">
      <c r="B379" s="287" t="n"/>
      <c r="C379" s="288" t="n"/>
      <c r="D379" s="295" t="n"/>
      <c r="E379" s="295" t="n"/>
      <c r="F379" s="295" t="n"/>
      <c r="G379" s="290" t="n"/>
      <c r="H379" s="295" t="n"/>
      <c r="I379" s="295" t="n"/>
      <c r="J379" s="290" t="n"/>
      <c r="K379" s="347" t="n"/>
      <c r="L379" s="295" t="n"/>
      <c r="M379" s="348" t="n"/>
      <c r="N379" s="295" t="n"/>
      <c r="O379" s="293" t="n"/>
      <c r="P379" s="295" t="n"/>
      <c r="Q379" s="295" t="n"/>
      <c r="R379" s="290" t="n"/>
      <c r="S379" s="295" t="n"/>
      <c r="T379" s="295" t="n"/>
      <c r="U379" s="293" t="n"/>
      <c r="V379" s="295" t="n"/>
      <c r="W379" s="290" t="n"/>
      <c r="X379" s="295" t="n"/>
      <c r="Y379" s="295" t="n"/>
      <c r="Z379" s="295" t="n"/>
      <c r="AA379" s="295" t="n"/>
      <c r="AB379" s="293" t="n"/>
      <c r="AC379" s="295" t="n"/>
      <c r="AD379" s="295" t="n"/>
      <c r="AE379" s="294" t="n"/>
    </row>
    <row r="380">
      <c r="B380" s="279" t="n"/>
      <c r="C380" s="280" t="n"/>
      <c r="D380" s="295" t="n"/>
      <c r="E380" s="295" t="n"/>
      <c r="F380" s="295" t="n"/>
      <c r="G380" s="282" t="n"/>
      <c r="H380" s="295" t="n"/>
      <c r="I380" s="295" t="n"/>
      <c r="J380" s="282" t="n"/>
      <c r="K380" s="345" t="n"/>
      <c r="L380" s="295" t="n"/>
      <c r="M380" s="346" t="n"/>
      <c r="N380" s="295" t="n"/>
      <c r="O380" s="285" t="n"/>
      <c r="P380" s="295" t="n"/>
      <c r="Q380" s="295" t="n"/>
      <c r="R380" s="282" t="n"/>
      <c r="S380" s="295" t="n"/>
      <c r="T380" s="295" t="n"/>
      <c r="U380" s="285" t="n"/>
      <c r="V380" s="295" t="n"/>
      <c r="W380" s="282" t="n"/>
      <c r="X380" s="295" t="n"/>
      <c r="Y380" s="295" t="n"/>
      <c r="Z380" s="295" t="n"/>
      <c r="AA380" s="295" t="n"/>
      <c r="AB380" s="285" t="n"/>
      <c r="AC380" s="295" t="n"/>
      <c r="AD380" s="295" t="n"/>
      <c r="AE380" s="286" t="n"/>
    </row>
    <row r="381">
      <c r="B381" s="287" t="n"/>
      <c r="C381" s="288" t="n"/>
      <c r="D381" s="295" t="n"/>
      <c r="E381" s="295" t="n"/>
      <c r="F381" s="295" t="n"/>
      <c r="G381" s="290" t="n"/>
      <c r="H381" s="295" t="n"/>
      <c r="I381" s="295" t="n"/>
      <c r="J381" s="290" t="n"/>
      <c r="K381" s="347" t="n"/>
      <c r="L381" s="295" t="n"/>
      <c r="M381" s="348" t="n"/>
      <c r="N381" s="295" t="n"/>
      <c r="O381" s="293" t="n"/>
      <c r="P381" s="295" t="n"/>
      <c r="Q381" s="295" t="n"/>
      <c r="R381" s="290" t="n"/>
      <c r="S381" s="295" t="n"/>
      <c r="T381" s="295" t="n"/>
      <c r="U381" s="293" t="n"/>
      <c r="V381" s="295" t="n"/>
      <c r="W381" s="290" t="n"/>
      <c r="X381" s="295" t="n"/>
      <c r="Y381" s="295" t="n"/>
      <c r="Z381" s="295" t="n"/>
      <c r="AA381" s="295" t="n"/>
      <c r="AB381" s="293" t="n"/>
      <c r="AC381" s="295" t="n"/>
      <c r="AD381" s="295" t="n"/>
      <c r="AE381" s="294" t="n"/>
    </row>
    <row r="382">
      <c r="B382" s="279" t="n"/>
      <c r="C382" s="280" t="n"/>
      <c r="D382" s="295" t="n"/>
      <c r="E382" s="295" t="n"/>
      <c r="F382" s="295" t="n"/>
      <c r="G382" s="282" t="n"/>
      <c r="H382" s="295" t="n"/>
      <c r="I382" s="295" t="n"/>
      <c r="J382" s="282" t="n"/>
      <c r="K382" s="345" t="n"/>
      <c r="L382" s="295" t="n"/>
      <c r="M382" s="346" t="n"/>
      <c r="N382" s="295" t="n"/>
      <c r="O382" s="285" t="n"/>
      <c r="P382" s="295" t="n"/>
      <c r="Q382" s="295" t="n"/>
      <c r="R382" s="282" t="n"/>
      <c r="S382" s="295" t="n"/>
      <c r="T382" s="295" t="n"/>
      <c r="U382" s="285" t="n"/>
      <c r="V382" s="295" t="n"/>
      <c r="W382" s="282" t="n"/>
      <c r="X382" s="295" t="n"/>
      <c r="Y382" s="295" t="n"/>
      <c r="Z382" s="295" t="n"/>
      <c r="AA382" s="295" t="n"/>
      <c r="AB382" s="285" t="n"/>
      <c r="AC382" s="295" t="n"/>
      <c r="AD382" s="295" t="n"/>
      <c r="AE382" s="286" t="n"/>
    </row>
    <row r="383">
      <c r="B383" s="287" t="n"/>
      <c r="C383" s="288" t="n"/>
      <c r="D383" s="295" t="n"/>
      <c r="E383" s="295" t="n"/>
      <c r="F383" s="295" t="n"/>
      <c r="G383" s="290" t="n"/>
      <c r="H383" s="295" t="n"/>
      <c r="I383" s="295" t="n"/>
      <c r="J383" s="290" t="n"/>
      <c r="K383" s="347" t="n"/>
      <c r="L383" s="295" t="n"/>
      <c r="M383" s="348" t="n"/>
      <c r="N383" s="295" t="n"/>
      <c r="O383" s="293" t="n"/>
      <c r="P383" s="295" t="n"/>
      <c r="Q383" s="295" t="n"/>
      <c r="R383" s="290" t="n"/>
      <c r="S383" s="295" t="n"/>
      <c r="T383" s="295" t="n"/>
      <c r="U383" s="293" t="n"/>
      <c r="V383" s="295" t="n"/>
      <c r="W383" s="290" t="n"/>
      <c r="X383" s="295" t="n"/>
      <c r="Y383" s="295" t="n"/>
      <c r="Z383" s="295" t="n"/>
      <c r="AA383" s="295" t="n"/>
      <c r="AB383" s="293" t="n"/>
      <c r="AC383" s="295" t="n"/>
      <c r="AD383" s="295" t="n"/>
      <c r="AE383" s="294" t="n"/>
    </row>
    <row r="384">
      <c r="B384" s="279" t="n"/>
      <c r="C384" s="280" t="n"/>
      <c r="D384" s="295" t="n"/>
      <c r="E384" s="295" t="n"/>
      <c r="F384" s="295" t="n"/>
      <c r="G384" s="282" t="n"/>
      <c r="H384" s="295" t="n"/>
      <c r="I384" s="295" t="n"/>
      <c r="J384" s="282" t="n"/>
      <c r="K384" s="345" t="n"/>
      <c r="L384" s="295" t="n"/>
      <c r="M384" s="346" t="n"/>
      <c r="N384" s="295" t="n"/>
      <c r="O384" s="285" t="n"/>
      <c r="P384" s="295" t="n"/>
      <c r="Q384" s="295" t="n"/>
      <c r="R384" s="282" t="n"/>
      <c r="S384" s="295" t="n"/>
      <c r="T384" s="295" t="n"/>
      <c r="U384" s="285" t="n"/>
      <c r="V384" s="295" t="n"/>
      <c r="W384" s="282" t="n"/>
      <c r="X384" s="295" t="n"/>
      <c r="Y384" s="295" t="n"/>
      <c r="Z384" s="295" t="n"/>
      <c r="AA384" s="295" t="n"/>
      <c r="AB384" s="285" t="n"/>
      <c r="AC384" s="295" t="n"/>
      <c r="AD384" s="295" t="n"/>
      <c r="AE384" s="286" t="n"/>
    </row>
    <row r="385">
      <c r="B385" s="287" t="n"/>
      <c r="C385" s="288" t="n"/>
      <c r="D385" s="295" t="n"/>
      <c r="E385" s="295" t="n"/>
      <c r="F385" s="295" t="n"/>
      <c r="G385" s="290" t="n"/>
      <c r="H385" s="295" t="n"/>
      <c r="I385" s="295" t="n"/>
      <c r="J385" s="290" t="n"/>
      <c r="K385" s="347" t="n"/>
      <c r="L385" s="295" t="n"/>
      <c r="M385" s="348" t="n"/>
      <c r="N385" s="295" t="n"/>
      <c r="O385" s="293" t="n"/>
      <c r="P385" s="295" t="n"/>
      <c r="Q385" s="295" t="n"/>
      <c r="R385" s="290" t="n"/>
      <c r="S385" s="295" t="n"/>
      <c r="T385" s="295" t="n"/>
      <c r="U385" s="293" t="n"/>
      <c r="V385" s="295" t="n"/>
      <c r="W385" s="290" t="n"/>
      <c r="X385" s="295" t="n"/>
      <c r="Y385" s="295" t="n"/>
      <c r="Z385" s="295" t="n"/>
      <c r="AA385" s="295" t="n"/>
      <c r="AB385" s="293" t="n"/>
      <c r="AC385" s="295" t="n"/>
      <c r="AD385" s="295" t="n"/>
      <c r="AE385" s="294" t="n"/>
    </row>
    <row r="386">
      <c r="B386" s="279" t="n"/>
      <c r="C386" s="280" t="n"/>
      <c r="D386" s="295" t="n"/>
      <c r="E386" s="295" t="n"/>
      <c r="F386" s="295" t="n"/>
      <c r="G386" s="282" t="n"/>
      <c r="H386" s="295" t="n"/>
      <c r="I386" s="295" t="n"/>
      <c r="J386" s="282" t="n"/>
      <c r="K386" s="345" t="n"/>
      <c r="L386" s="295" t="n"/>
      <c r="M386" s="346" t="n"/>
      <c r="N386" s="295" t="n"/>
      <c r="O386" s="285" t="n"/>
      <c r="P386" s="295" t="n"/>
      <c r="Q386" s="295" t="n"/>
      <c r="R386" s="282" t="n"/>
      <c r="S386" s="295" t="n"/>
      <c r="T386" s="295" t="n"/>
      <c r="U386" s="285" t="n"/>
      <c r="V386" s="295" t="n"/>
      <c r="W386" s="282" t="n"/>
      <c r="X386" s="295" t="n"/>
      <c r="Y386" s="295" t="n"/>
      <c r="Z386" s="295" t="n"/>
      <c r="AA386" s="295" t="n"/>
      <c r="AB386" s="285" t="n"/>
      <c r="AC386" s="295" t="n"/>
      <c r="AD386" s="295" t="n"/>
      <c r="AE386" s="286" t="n"/>
    </row>
    <row r="387">
      <c r="B387" s="287" t="n"/>
      <c r="C387" s="288" t="n"/>
      <c r="D387" s="295" t="n"/>
      <c r="E387" s="295" t="n"/>
      <c r="F387" s="295" t="n"/>
      <c r="G387" s="290" t="n"/>
      <c r="H387" s="295" t="n"/>
      <c r="I387" s="295" t="n"/>
      <c r="J387" s="290" t="n"/>
      <c r="K387" s="347" t="n"/>
      <c r="L387" s="295" t="n"/>
      <c r="M387" s="348" t="n"/>
      <c r="N387" s="295" t="n"/>
      <c r="O387" s="293" t="n"/>
      <c r="P387" s="295" t="n"/>
      <c r="Q387" s="295" t="n"/>
      <c r="R387" s="290" t="n"/>
      <c r="S387" s="295" t="n"/>
      <c r="T387" s="295" t="n"/>
      <c r="U387" s="293" t="n"/>
      <c r="V387" s="295" t="n"/>
      <c r="W387" s="290" t="n"/>
      <c r="X387" s="295" t="n"/>
      <c r="Y387" s="295" t="n"/>
      <c r="Z387" s="295" t="n"/>
      <c r="AA387" s="295" t="n"/>
      <c r="AB387" s="293" t="n"/>
      <c r="AC387" s="295" t="n"/>
      <c r="AD387" s="295" t="n"/>
      <c r="AE387" s="294" t="n"/>
    </row>
    <row r="388">
      <c r="B388" s="279" t="n"/>
      <c r="C388" s="280" t="n"/>
      <c r="D388" s="295" t="n"/>
      <c r="E388" s="295" t="n"/>
      <c r="F388" s="295" t="n"/>
      <c r="G388" s="282" t="n"/>
      <c r="H388" s="295" t="n"/>
      <c r="I388" s="295" t="n"/>
      <c r="J388" s="282" t="n"/>
      <c r="K388" s="345" t="n"/>
      <c r="L388" s="295" t="n"/>
      <c r="M388" s="346" t="n"/>
      <c r="N388" s="295" t="n"/>
      <c r="O388" s="285" t="n"/>
      <c r="P388" s="295" t="n"/>
      <c r="Q388" s="295" t="n"/>
      <c r="R388" s="282" t="n"/>
      <c r="S388" s="295" t="n"/>
      <c r="T388" s="295" t="n"/>
      <c r="U388" s="285" t="n"/>
      <c r="V388" s="295" t="n"/>
      <c r="W388" s="282" t="n"/>
      <c r="X388" s="295" t="n"/>
      <c r="Y388" s="295" t="n"/>
      <c r="Z388" s="295" t="n"/>
      <c r="AA388" s="295" t="n"/>
      <c r="AB388" s="285" t="n"/>
      <c r="AC388" s="295" t="n"/>
      <c r="AD388" s="295" t="n"/>
      <c r="AE388" s="286" t="n"/>
    </row>
    <row r="389">
      <c r="B389" s="287" t="n"/>
      <c r="C389" s="288" t="n"/>
      <c r="D389" s="295" t="n"/>
      <c r="E389" s="295" t="n"/>
      <c r="F389" s="295" t="n"/>
      <c r="G389" s="290" t="n"/>
      <c r="H389" s="295" t="n"/>
      <c r="I389" s="295" t="n"/>
      <c r="J389" s="290" t="n"/>
      <c r="K389" s="347" t="n"/>
      <c r="L389" s="295" t="n"/>
      <c r="M389" s="348" t="n"/>
      <c r="N389" s="295" t="n"/>
      <c r="O389" s="293" t="n"/>
      <c r="P389" s="295" t="n"/>
      <c r="Q389" s="295" t="n"/>
      <c r="R389" s="290" t="n"/>
      <c r="S389" s="295" t="n"/>
      <c r="T389" s="295" t="n"/>
      <c r="U389" s="293" t="n"/>
      <c r="V389" s="295" t="n"/>
      <c r="W389" s="290" t="n"/>
      <c r="X389" s="295" t="n"/>
      <c r="Y389" s="295" t="n"/>
      <c r="Z389" s="295" t="n"/>
      <c r="AA389" s="295" t="n"/>
      <c r="AB389" s="293" t="n"/>
      <c r="AC389" s="295" t="n"/>
      <c r="AD389" s="295" t="n"/>
      <c r="AE389" s="294" t="n"/>
    </row>
    <row r="390">
      <c r="B390" s="279" t="n"/>
      <c r="C390" s="280" t="n"/>
      <c r="D390" s="295" t="n"/>
      <c r="E390" s="295" t="n"/>
      <c r="F390" s="295" t="n"/>
      <c r="G390" s="282" t="n"/>
      <c r="H390" s="295" t="n"/>
      <c r="I390" s="295" t="n"/>
      <c r="J390" s="282" t="n"/>
      <c r="K390" s="345" t="n"/>
      <c r="L390" s="295" t="n"/>
      <c r="M390" s="346" t="n"/>
      <c r="N390" s="295" t="n"/>
      <c r="O390" s="285" t="n"/>
      <c r="P390" s="295" t="n"/>
      <c r="Q390" s="295" t="n"/>
      <c r="R390" s="282" t="n"/>
      <c r="S390" s="295" t="n"/>
      <c r="T390" s="295" t="n"/>
      <c r="U390" s="285" t="n"/>
      <c r="V390" s="295" t="n"/>
      <c r="W390" s="282" t="n"/>
      <c r="X390" s="295" t="n"/>
      <c r="Y390" s="295" t="n"/>
      <c r="Z390" s="295" t="n"/>
      <c r="AA390" s="295" t="n"/>
      <c r="AB390" s="285" t="n"/>
      <c r="AC390" s="295" t="n"/>
      <c r="AD390" s="295" t="n"/>
      <c r="AE390" s="286" t="n"/>
    </row>
    <row r="391">
      <c r="B391" s="287" t="n"/>
      <c r="C391" s="288" t="n"/>
      <c r="D391" s="295" t="n"/>
      <c r="E391" s="295" t="n"/>
      <c r="F391" s="295" t="n"/>
      <c r="G391" s="290" t="n"/>
      <c r="H391" s="295" t="n"/>
      <c r="I391" s="295" t="n"/>
      <c r="J391" s="290" t="n"/>
      <c r="K391" s="347" t="n"/>
      <c r="L391" s="295" t="n"/>
      <c r="M391" s="348" t="n"/>
      <c r="N391" s="295" t="n"/>
      <c r="O391" s="293" t="n"/>
      <c r="P391" s="295" t="n"/>
      <c r="Q391" s="295" t="n"/>
      <c r="R391" s="290" t="n"/>
      <c r="S391" s="295" t="n"/>
      <c r="T391" s="295" t="n"/>
      <c r="U391" s="293" t="n"/>
      <c r="V391" s="295" t="n"/>
      <c r="W391" s="290" t="n"/>
      <c r="X391" s="295" t="n"/>
      <c r="Y391" s="295" t="n"/>
      <c r="Z391" s="295" t="n"/>
      <c r="AA391" s="295" t="n"/>
      <c r="AB391" s="293" t="n"/>
      <c r="AC391" s="295" t="n"/>
      <c r="AD391" s="295" t="n"/>
      <c r="AE391" s="294" t="n"/>
    </row>
    <row r="392">
      <c r="B392" s="279" t="n"/>
      <c r="C392" s="280" t="n"/>
      <c r="D392" s="295" t="n"/>
      <c r="E392" s="295" t="n"/>
      <c r="F392" s="295" t="n"/>
      <c r="G392" s="282" t="n"/>
      <c r="H392" s="295" t="n"/>
      <c r="I392" s="295" t="n"/>
      <c r="J392" s="282" t="n"/>
      <c r="K392" s="345" t="n"/>
      <c r="L392" s="295" t="n"/>
      <c r="M392" s="346" t="n"/>
      <c r="N392" s="295" t="n"/>
      <c r="O392" s="285" t="n"/>
      <c r="P392" s="295" t="n"/>
      <c r="Q392" s="295" t="n"/>
      <c r="R392" s="282" t="n"/>
      <c r="S392" s="295" t="n"/>
      <c r="T392" s="295" t="n"/>
      <c r="U392" s="285" t="n"/>
      <c r="V392" s="295" t="n"/>
      <c r="W392" s="282" t="n"/>
      <c r="X392" s="295" t="n"/>
      <c r="Y392" s="295" t="n"/>
      <c r="Z392" s="295" t="n"/>
      <c r="AA392" s="295" t="n"/>
      <c r="AB392" s="285" t="n"/>
      <c r="AC392" s="295" t="n"/>
      <c r="AD392" s="295" t="n"/>
      <c r="AE392" s="286" t="n"/>
    </row>
    <row r="393">
      <c r="B393" s="287" t="n"/>
      <c r="C393" s="288" t="n"/>
      <c r="D393" s="295" t="n"/>
      <c r="E393" s="295" t="n"/>
      <c r="F393" s="295" t="n"/>
      <c r="G393" s="290" t="n"/>
      <c r="H393" s="295" t="n"/>
      <c r="I393" s="295" t="n"/>
      <c r="J393" s="290" t="n"/>
      <c r="K393" s="347" t="n"/>
      <c r="L393" s="295" t="n"/>
      <c r="M393" s="348" t="n"/>
      <c r="N393" s="295" t="n"/>
      <c r="O393" s="293" t="n"/>
      <c r="P393" s="295" t="n"/>
      <c r="Q393" s="295" t="n"/>
      <c r="R393" s="290" t="n"/>
      <c r="S393" s="295" t="n"/>
      <c r="T393" s="295" t="n"/>
      <c r="U393" s="293" t="n"/>
      <c r="V393" s="295" t="n"/>
      <c r="W393" s="290" t="n"/>
      <c r="X393" s="295" t="n"/>
      <c r="Y393" s="295" t="n"/>
      <c r="Z393" s="295" t="n"/>
      <c r="AA393" s="295" t="n"/>
      <c r="AB393" s="293" t="n"/>
      <c r="AC393" s="295" t="n"/>
      <c r="AD393" s="295" t="n"/>
      <c r="AE393" s="294" t="n"/>
    </row>
    <row r="394">
      <c r="B394" s="279" t="n"/>
      <c r="C394" s="280" t="n"/>
      <c r="D394" s="295" t="n"/>
      <c r="E394" s="295" t="n"/>
      <c r="F394" s="295" t="n"/>
      <c r="G394" s="282" t="n"/>
      <c r="H394" s="295" t="n"/>
      <c r="I394" s="295" t="n"/>
      <c r="J394" s="282" t="n"/>
      <c r="K394" s="345" t="n"/>
      <c r="L394" s="295" t="n"/>
      <c r="M394" s="346" t="n"/>
      <c r="N394" s="295" t="n"/>
      <c r="O394" s="285" t="n"/>
      <c r="P394" s="295" t="n"/>
      <c r="Q394" s="295" t="n"/>
      <c r="R394" s="282" t="n"/>
      <c r="S394" s="295" t="n"/>
      <c r="T394" s="295" t="n"/>
      <c r="U394" s="285" t="n"/>
      <c r="V394" s="295" t="n"/>
      <c r="W394" s="282" t="n"/>
      <c r="X394" s="295" t="n"/>
      <c r="Y394" s="295" t="n"/>
      <c r="Z394" s="295" t="n"/>
      <c r="AA394" s="295" t="n"/>
      <c r="AB394" s="285" t="n"/>
      <c r="AC394" s="295" t="n"/>
      <c r="AD394" s="295" t="n"/>
      <c r="AE394" s="286" t="n"/>
    </row>
    <row r="395">
      <c r="B395" s="287" t="n"/>
      <c r="C395" s="288" t="n"/>
      <c r="D395" s="295" t="n"/>
      <c r="E395" s="295" t="n"/>
      <c r="F395" s="295" t="n"/>
      <c r="G395" s="290" t="n"/>
      <c r="H395" s="295" t="n"/>
      <c r="I395" s="295" t="n"/>
      <c r="J395" s="290" t="n"/>
      <c r="K395" s="347" t="n"/>
      <c r="L395" s="295" t="n"/>
      <c r="M395" s="348" t="n"/>
      <c r="N395" s="295" t="n"/>
      <c r="O395" s="293" t="n"/>
      <c r="P395" s="295" t="n"/>
      <c r="Q395" s="295" t="n"/>
      <c r="R395" s="290" t="n"/>
      <c r="S395" s="295" t="n"/>
      <c r="T395" s="295" t="n"/>
      <c r="U395" s="293" t="n"/>
      <c r="V395" s="295" t="n"/>
      <c r="W395" s="290" t="n"/>
      <c r="X395" s="295" t="n"/>
      <c r="Y395" s="295" t="n"/>
      <c r="Z395" s="295" t="n"/>
      <c r="AA395" s="295" t="n"/>
      <c r="AB395" s="293" t="n"/>
      <c r="AC395" s="295" t="n"/>
      <c r="AD395" s="295" t="n"/>
      <c r="AE395" s="294" t="n"/>
    </row>
    <row r="396">
      <c r="B396" s="279" t="n"/>
      <c r="C396" s="280" t="n"/>
      <c r="D396" s="295" t="n"/>
      <c r="E396" s="295" t="n"/>
      <c r="F396" s="295" t="n"/>
      <c r="G396" s="282" t="n"/>
      <c r="H396" s="295" t="n"/>
      <c r="I396" s="295" t="n"/>
      <c r="J396" s="282" t="n"/>
      <c r="K396" s="345" t="n"/>
      <c r="L396" s="295" t="n"/>
      <c r="M396" s="346" t="n"/>
      <c r="N396" s="295" t="n"/>
      <c r="O396" s="285" t="n"/>
      <c r="P396" s="295" t="n"/>
      <c r="Q396" s="295" t="n"/>
      <c r="R396" s="282" t="n"/>
      <c r="S396" s="295" t="n"/>
      <c r="T396" s="295" t="n"/>
      <c r="U396" s="285" t="n"/>
      <c r="V396" s="295" t="n"/>
      <c r="W396" s="282" t="n"/>
      <c r="X396" s="295" t="n"/>
      <c r="Y396" s="295" t="n"/>
      <c r="Z396" s="295" t="n"/>
      <c r="AA396" s="295" t="n"/>
      <c r="AB396" s="285" t="n"/>
      <c r="AC396" s="295" t="n"/>
      <c r="AD396" s="295" t="n"/>
      <c r="AE396" s="286" t="n"/>
    </row>
    <row r="397">
      <c r="B397" s="287" t="n"/>
      <c r="C397" s="288" t="n"/>
      <c r="D397" s="295" t="n"/>
      <c r="E397" s="295" t="n"/>
      <c r="F397" s="295" t="n"/>
      <c r="G397" s="290" t="n"/>
      <c r="H397" s="295" t="n"/>
      <c r="I397" s="295" t="n"/>
      <c r="J397" s="290" t="n"/>
      <c r="K397" s="347" t="n"/>
      <c r="L397" s="295" t="n"/>
      <c r="M397" s="348" t="n"/>
      <c r="N397" s="295" t="n"/>
      <c r="O397" s="293" t="n"/>
      <c r="P397" s="295" t="n"/>
      <c r="Q397" s="295" t="n"/>
      <c r="R397" s="290" t="n"/>
      <c r="S397" s="295" t="n"/>
      <c r="T397" s="295" t="n"/>
      <c r="U397" s="293" t="n"/>
      <c r="V397" s="295" t="n"/>
      <c r="W397" s="290" t="n"/>
      <c r="X397" s="295" t="n"/>
      <c r="Y397" s="295" t="n"/>
      <c r="Z397" s="295" t="n"/>
      <c r="AA397" s="295" t="n"/>
      <c r="AB397" s="293" t="n"/>
      <c r="AC397" s="295" t="n"/>
      <c r="AD397" s="295" t="n"/>
      <c r="AE397" s="294" t="n"/>
    </row>
    <row r="398">
      <c r="B398" s="279" t="n"/>
      <c r="C398" s="280" t="n"/>
      <c r="D398" s="295" t="n"/>
      <c r="E398" s="295" t="n"/>
      <c r="F398" s="295" t="n"/>
      <c r="G398" s="282" t="n"/>
      <c r="H398" s="295" t="n"/>
      <c r="I398" s="295" t="n"/>
      <c r="J398" s="282" t="n"/>
      <c r="K398" s="345" t="n"/>
      <c r="L398" s="295" t="n"/>
      <c r="M398" s="346" t="n"/>
      <c r="N398" s="295" t="n"/>
      <c r="O398" s="285" t="n"/>
      <c r="P398" s="295" t="n"/>
      <c r="Q398" s="295" t="n"/>
      <c r="R398" s="282" t="n"/>
      <c r="S398" s="295" t="n"/>
      <c r="T398" s="295" t="n"/>
      <c r="U398" s="285" t="n"/>
      <c r="V398" s="295" t="n"/>
      <c r="W398" s="282" t="n"/>
      <c r="X398" s="295" t="n"/>
      <c r="Y398" s="295" t="n"/>
      <c r="Z398" s="295" t="n"/>
      <c r="AA398" s="295" t="n"/>
      <c r="AB398" s="285" t="n"/>
      <c r="AC398" s="295" t="n"/>
      <c r="AD398" s="295" t="n"/>
      <c r="AE398" s="286" t="n"/>
    </row>
    <row r="399">
      <c r="B399" s="287" t="n"/>
      <c r="C399" s="288" t="n"/>
      <c r="D399" s="295" t="n"/>
      <c r="E399" s="295" t="n"/>
      <c r="F399" s="295" t="n"/>
      <c r="G399" s="290" t="n"/>
      <c r="H399" s="295" t="n"/>
      <c r="I399" s="295" t="n"/>
      <c r="J399" s="290" t="n"/>
      <c r="K399" s="347" t="n"/>
      <c r="L399" s="295" t="n"/>
      <c r="M399" s="348" t="n"/>
      <c r="N399" s="295" t="n"/>
      <c r="O399" s="293" t="n"/>
      <c r="P399" s="295" t="n"/>
      <c r="Q399" s="295" t="n"/>
      <c r="R399" s="290" t="n"/>
      <c r="S399" s="295" t="n"/>
      <c r="T399" s="295" t="n"/>
      <c r="U399" s="293" t="n"/>
      <c r="V399" s="295" t="n"/>
      <c r="W399" s="290" t="n"/>
      <c r="X399" s="295" t="n"/>
      <c r="Y399" s="295" t="n"/>
      <c r="Z399" s="295" t="n"/>
      <c r="AA399" s="295" t="n"/>
      <c r="AB399" s="293" t="n"/>
      <c r="AC399" s="295" t="n"/>
      <c r="AD399" s="295" t="n"/>
      <c r="AE399" s="294" t="n"/>
    </row>
    <row r="400">
      <c r="B400" s="279" t="n"/>
      <c r="C400" s="280" t="n"/>
      <c r="D400" s="295" t="n"/>
      <c r="E400" s="295" t="n"/>
      <c r="F400" s="295" t="n"/>
      <c r="G400" s="282" t="n"/>
      <c r="H400" s="295" t="n"/>
      <c r="I400" s="295" t="n"/>
      <c r="J400" s="282" t="n"/>
      <c r="K400" s="345" t="n"/>
      <c r="L400" s="295" t="n"/>
      <c r="M400" s="346" t="n"/>
      <c r="N400" s="295" t="n"/>
      <c r="O400" s="285" t="n"/>
      <c r="P400" s="295" t="n"/>
      <c r="Q400" s="295" t="n"/>
      <c r="R400" s="282" t="n"/>
      <c r="S400" s="295" t="n"/>
      <c r="T400" s="295" t="n"/>
      <c r="U400" s="285" t="n"/>
      <c r="V400" s="295" t="n"/>
      <c r="W400" s="282" t="n"/>
      <c r="X400" s="295" t="n"/>
      <c r="Y400" s="295" t="n"/>
      <c r="Z400" s="295" t="n"/>
      <c r="AA400" s="295" t="n"/>
      <c r="AB400" s="285" t="n"/>
      <c r="AC400" s="295" t="n"/>
      <c r="AD400" s="295" t="n"/>
      <c r="AE400" s="286" t="n"/>
    </row>
    <row r="401">
      <c r="B401" s="287" t="n"/>
      <c r="C401" s="288" t="n"/>
      <c r="D401" s="295" t="n"/>
      <c r="E401" s="295" t="n"/>
      <c r="F401" s="295" t="n"/>
      <c r="G401" s="290" t="n"/>
      <c r="H401" s="295" t="n"/>
      <c r="I401" s="295" t="n"/>
      <c r="J401" s="290" t="n"/>
      <c r="K401" s="347" t="n"/>
      <c r="L401" s="295" t="n"/>
      <c r="M401" s="348" t="n"/>
      <c r="N401" s="295" t="n"/>
      <c r="O401" s="293" t="n"/>
      <c r="P401" s="295" t="n"/>
      <c r="Q401" s="295" t="n"/>
      <c r="R401" s="290" t="n"/>
      <c r="S401" s="295" t="n"/>
      <c r="T401" s="295" t="n"/>
      <c r="U401" s="293" t="n"/>
      <c r="V401" s="295" t="n"/>
      <c r="W401" s="290" t="n"/>
      <c r="X401" s="295" t="n"/>
      <c r="Y401" s="295" t="n"/>
      <c r="Z401" s="295" t="n"/>
      <c r="AA401" s="295" t="n"/>
      <c r="AB401" s="293" t="n"/>
      <c r="AC401" s="295" t="n"/>
      <c r="AD401" s="295" t="n"/>
      <c r="AE401" s="294" t="n"/>
    </row>
    <row r="402">
      <c r="B402" s="279" t="n"/>
      <c r="C402" s="280" t="n"/>
      <c r="D402" s="295" t="n"/>
      <c r="E402" s="295" t="n"/>
      <c r="F402" s="295" t="n"/>
      <c r="G402" s="282" t="n"/>
      <c r="H402" s="295" t="n"/>
      <c r="I402" s="295" t="n"/>
      <c r="J402" s="282" t="n"/>
      <c r="K402" s="345" t="n"/>
      <c r="L402" s="295" t="n"/>
      <c r="M402" s="346" t="n"/>
      <c r="N402" s="295" t="n"/>
      <c r="O402" s="285" t="n"/>
      <c r="P402" s="295" t="n"/>
      <c r="Q402" s="295" t="n"/>
      <c r="R402" s="282" t="n"/>
      <c r="S402" s="295" t="n"/>
      <c r="T402" s="295" t="n"/>
      <c r="U402" s="285" t="n"/>
      <c r="V402" s="295" t="n"/>
      <c r="W402" s="282" t="n"/>
      <c r="X402" s="295" t="n"/>
      <c r="Y402" s="295" t="n"/>
      <c r="Z402" s="295" t="n"/>
      <c r="AA402" s="295" t="n"/>
      <c r="AB402" s="285" t="n"/>
      <c r="AC402" s="295" t="n"/>
      <c r="AD402" s="295" t="n"/>
      <c r="AE402" s="286" t="n"/>
    </row>
    <row r="403">
      <c r="B403" s="287" t="n"/>
      <c r="C403" s="288" t="n"/>
      <c r="D403" s="295" t="n"/>
      <c r="E403" s="295" t="n"/>
      <c r="F403" s="295" t="n"/>
      <c r="G403" s="290" t="n"/>
      <c r="H403" s="295" t="n"/>
      <c r="I403" s="295" t="n"/>
      <c r="J403" s="290" t="n"/>
      <c r="K403" s="347" t="n"/>
      <c r="L403" s="295" t="n"/>
      <c r="M403" s="348" t="n"/>
      <c r="N403" s="295" t="n"/>
      <c r="O403" s="293" t="n"/>
      <c r="P403" s="295" t="n"/>
      <c r="Q403" s="295" t="n"/>
      <c r="R403" s="290" t="n"/>
      <c r="S403" s="295" t="n"/>
      <c r="T403" s="295" t="n"/>
      <c r="U403" s="293" t="n"/>
      <c r="V403" s="295" t="n"/>
      <c r="W403" s="290" t="n"/>
      <c r="X403" s="295" t="n"/>
      <c r="Y403" s="295" t="n"/>
      <c r="Z403" s="295" t="n"/>
      <c r="AA403" s="295" t="n"/>
      <c r="AB403" s="293" t="n"/>
      <c r="AC403" s="295" t="n"/>
      <c r="AD403" s="295" t="n"/>
      <c r="AE403" s="294" t="n"/>
    </row>
    <row r="404">
      <c r="B404" s="279" t="n"/>
      <c r="C404" s="280" t="n"/>
      <c r="D404" s="295" t="n"/>
      <c r="E404" s="295" t="n"/>
      <c r="F404" s="295" t="n"/>
      <c r="G404" s="282" t="n"/>
      <c r="H404" s="295" t="n"/>
      <c r="I404" s="295" t="n"/>
      <c r="J404" s="282" t="n"/>
      <c r="K404" s="345" t="n"/>
      <c r="L404" s="295" t="n"/>
      <c r="M404" s="346" t="n"/>
      <c r="N404" s="295" t="n"/>
      <c r="O404" s="285" t="n"/>
      <c r="P404" s="295" t="n"/>
      <c r="Q404" s="295" t="n"/>
      <c r="R404" s="282" t="n"/>
      <c r="S404" s="295" t="n"/>
      <c r="T404" s="295" t="n"/>
      <c r="U404" s="285" t="n"/>
      <c r="V404" s="295" t="n"/>
      <c r="W404" s="282" t="n"/>
      <c r="X404" s="295" t="n"/>
      <c r="Y404" s="295" t="n"/>
      <c r="Z404" s="295" t="n"/>
      <c r="AA404" s="295" t="n"/>
      <c r="AB404" s="285" t="n"/>
      <c r="AC404" s="295" t="n"/>
      <c r="AD404" s="295" t="n"/>
      <c r="AE404" s="286" t="n"/>
    </row>
    <row r="405">
      <c r="B405" s="287" t="n"/>
      <c r="C405" s="288" t="n"/>
      <c r="D405" s="295" t="n"/>
      <c r="E405" s="295" t="n"/>
      <c r="F405" s="295" t="n"/>
      <c r="G405" s="290" t="n"/>
      <c r="H405" s="295" t="n"/>
      <c r="I405" s="295" t="n"/>
      <c r="J405" s="290" t="n"/>
      <c r="K405" s="347" t="n"/>
      <c r="L405" s="295" t="n"/>
      <c r="M405" s="348" t="n"/>
      <c r="N405" s="295" t="n"/>
      <c r="O405" s="293" t="n"/>
      <c r="P405" s="295" t="n"/>
      <c r="Q405" s="295" t="n"/>
      <c r="R405" s="290" t="n"/>
      <c r="S405" s="295" t="n"/>
      <c r="T405" s="295" t="n"/>
      <c r="U405" s="293" t="n"/>
      <c r="V405" s="295" t="n"/>
      <c r="W405" s="290" t="n"/>
      <c r="X405" s="295" t="n"/>
      <c r="Y405" s="295" t="n"/>
      <c r="Z405" s="295" t="n"/>
      <c r="AA405" s="295" t="n"/>
      <c r="AB405" s="293" t="n"/>
      <c r="AC405" s="295" t="n"/>
      <c r="AD405" s="295" t="n"/>
      <c r="AE405" s="294" t="n"/>
    </row>
    <row r="406">
      <c r="B406" s="279" t="n"/>
      <c r="C406" s="280" t="n"/>
      <c r="D406" s="295" t="n"/>
      <c r="E406" s="295" t="n"/>
      <c r="F406" s="295" t="n"/>
      <c r="G406" s="282" t="n"/>
      <c r="H406" s="295" t="n"/>
      <c r="I406" s="295" t="n"/>
      <c r="J406" s="282" t="n"/>
      <c r="K406" s="345" t="n"/>
      <c r="L406" s="295" t="n"/>
      <c r="M406" s="346" t="n"/>
      <c r="N406" s="295" t="n"/>
      <c r="O406" s="285" t="n"/>
      <c r="P406" s="295" t="n"/>
      <c r="Q406" s="295" t="n"/>
      <c r="R406" s="282" t="n"/>
      <c r="S406" s="295" t="n"/>
      <c r="T406" s="295" t="n"/>
      <c r="U406" s="285" t="n"/>
      <c r="V406" s="295" t="n"/>
      <c r="W406" s="282" t="n"/>
      <c r="X406" s="295" t="n"/>
      <c r="Y406" s="295" t="n"/>
      <c r="Z406" s="295" t="n"/>
      <c r="AA406" s="295" t="n"/>
      <c r="AB406" s="285" t="n"/>
      <c r="AC406" s="295" t="n"/>
      <c r="AD406" s="295" t="n"/>
      <c r="AE406" s="286" t="n"/>
    </row>
    <row r="407">
      <c r="B407" s="287" t="n"/>
      <c r="C407" s="288" t="n"/>
      <c r="D407" s="295" t="n"/>
      <c r="E407" s="295" t="n"/>
      <c r="F407" s="295" t="n"/>
      <c r="G407" s="290" t="n"/>
      <c r="H407" s="295" t="n"/>
      <c r="I407" s="295" t="n"/>
      <c r="J407" s="290" t="n"/>
      <c r="K407" s="347" t="n"/>
      <c r="L407" s="295" t="n"/>
      <c r="M407" s="348" t="n"/>
      <c r="N407" s="295" t="n"/>
      <c r="O407" s="293" t="n"/>
      <c r="P407" s="295" t="n"/>
      <c r="Q407" s="295" t="n"/>
      <c r="R407" s="290" t="n"/>
      <c r="S407" s="295" t="n"/>
      <c r="T407" s="295" t="n"/>
      <c r="U407" s="293" t="n"/>
      <c r="V407" s="295" t="n"/>
      <c r="W407" s="290" t="n"/>
      <c r="X407" s="295" t="n"/>
      <c r="Y407" s="295" t="n"/>
      <c r="Z407" s="295" t="n"/>
      <c r="AA407" s="295" t="n"/>
      <c r="AB407" s="293" t="n"/>
      <c r="AC407" s="295" t="n"/>
      <c r="AD407" s="295" t="n"/>
      <c r="AE407" s="294" t="n"/>
    </row>
    <row r="408">
      <c r="B408" s="279" t="n"/>
      <c r="C408" s="280" t="n"/>
      <c r="D408" s="295" t="n"/>
      <c r="E408" s="295" t="n"/>
      <c r="F408" s="295" t="n"/>
      <c r="G408" s="282" t="n"/>
      <c r="H408" s="295" t="n"/>
      <c r="I408" s="295" t="n"/>
      <c r="J408" s="282" t="n"/>
      <c r="K408" s="345" t="n"/>
      <c r="L408" s="295" t="n"/>
      <c r="M408" s="346" t="n"/>
      <c r="N408" s="295" t="n"/>
      <c r="O408" s="285" t="n"/>
      <c r="P408" s="295" t="n"/>
      <c r="Q408" s="295" t="n"/>
      <c r="R408" s="282" t="n"/>
      <c r="S408" s="295" t="n"/>
      <c r="T408" s="295" t="n"/>
      <c r="U408" s="285" t="n"/>
      <c r="V408" s="295" t="n"/>
      <c r="W408" s="282" t="n"/>
      <c r="X408" s="295" t="n"/>
      <c r="Y408" s="295" t="n"/>
      <c r="Z408" s="295" t="n"/>
      <c r="AA408" s="295" t="n"/>
      <c r="AB408" s="285" t="n"/>
      <c r="AC408" s="295" t="n"/>
      <c r="AD408" s="295" t="n"/>
      <c r="AE408" s="286" t="n"/>
    </row>
    <row r="409">
      <c r="B409" s="287" t="n"/>
      <c r="C409" s="288" t="n"/>
      <c r="D409" s="295" t="n"/>
      <c r="E409" s="295" t="n"/>
      <c r="F409" s="295" t="n"/>
      <c r="G409" s="290" t="n"/>
      <c r="H409" s="295" t="n"/>
      <c r="I409" s="295" t="n"/>
      <c r="J409" s="290" t="n"/>
      <c r="K409" s="347" t="n"/>
      <c r="L409" s="295" t="n"/>
      <c r="M409" s="348" t="n"/>
      <c r="N409" s="295" t="n"/>
      <c r="O409" s="293" t="n"/>
      <c r="P409" s="295" t="n"/>
      <c r="Q409" s="295" t="n"/>
      <c r="R409" s="290" t="n"/>
      <c r="S409" s="295" t="n"/>
      <c r="T409" s="295" t="n"/>
      <c r="U409" s="293" t="n"/>
      <c r="V409" s="295" t="n"/>
      <c r="W409" s="290" t="n"/>
      <c r="X409" s="295" t="n"/>
      <c r="Y409" s="295" t="n"/>
      <c r="Z409" s="295" t="n"/>
      <c r="AA409" s="295" t="n"/>
      <c r="AB409" s="293" t="n"/>
      <c r="AC409" s="295" t="n"/>
      <c r="AD409" s="295" t="n"/>
      <c r="AE409" s="294" t="n"/>
    </row>
    <row r="410">
      <c r="B410" s="279" t="n"/>
      <c r="C410" s="280" t="n"/>
      <c r="D410" s="295" t="n"/>
      <c r="E410" s="295" t="n"/>
      <c r="F410" s="295" t="n"/>
      <c r="G410" s="282" t="n"/>
      <c r="H410" s="295" t="n"/>
      <c r="I410" s="295" t="n"/>
      <c r="J410" s="282" t="n"/>
      <c r="K410" s="345" t="n"/>
      <c r="L410" s="295" t="n"/>
      <c r="M410" s="346" t="n"/>
      <c r="N410" s="295" t="n"/>
      <c r="O410" s="285" t="n"/>
      <c r="P410" s="295" t="n"/>
      <c r="Q410" s="295" t="n"/>
      <c r="R410" s="282" t="n"/>
      <c r="S410" s="295" t="n"/>
      <c r="T410" s="295" t="n"/>
      <c r="U410" s="285" t="n"/>
      <c r="V410" s="295" t="n"/>
      <c r="W410" s="282" t="n"/>
      <c r="X410" s="295" t="n"/>
      <c r="Y410" s="295" t="n"/>
      <c r="Z410" s="295" t="n"/>
      <c r="AA410" s="295" t="n"/>
      <c r="AB410" s="285" t="n"/>
      <c r="AC410" s="295" t="n"/>
      <c r="AD410" s="295" t="n"/>
      <c r="AE410" s="286" t="n"/>
    </row>
    <row r="411">
      <c r="B411" s="287" t="n"/>
      <c r="C411" s="288" t="n"/>
      <c r="D411" s="295" t="n"/>
      <c r="E411" s="295" t="n"/>
      <c r="F411" s="295" t="n"/>
      <c r="G411" s="290" t="n"/>
      <c r="H411" s="295" t="n"/>
      <c r="I411" s="295" t="n"/>
      <c r="J411" s="290" t="n"/>
      <c r="K411" s="347" t="n"/>
      <c r="L411" s="295" t="n"/>
      <c r="M411" s="348" t="n"/>
      <c r="N411" s="295" t="n"/>
      <c r="O411" s="293" t="n"/>
      <c r="P411" s="295" t="n"/>
      <c r="Q411" s="295" t="n"/>
      <c r="R411" s="290" t="n"/>
      <c r="S411" s="295" t="n"/>
      <c r="T411" s="295" t="n"/>
      <c r="U411" s="293" t="n"/>
      <c r="V411" s="295" t="n"/>
      <c r="W411" s="290" t="n"/>
      <c r="X411" s="295" t="n"/>
      <c r="Y411" s="295" t="n"/>
      <c r="Z411" s="295" t="n"/>
      <c r="AA411" s="295" t="n"/>
      <c r="AB411" s="293" t="n"/>
      <c r="AC411" s="295" t="n"/>
      <c r="AD411" s="295" t="n"/>
      <c r="AE411" s="294" t="n"/>
    </row>
    <row r="412">
      <c r="B412" s="279" t="n"/>
      <c r="C412" s="280" t="n"/>
      <c r="D412" s="295" t="n"/>
      <c r="E412" s="295" t="n"/>
      <c r="F412" s="295" t="n"/>
      <c r="G412" s="282" t="n"/>
      <c r="H412" s="295" t="n"/>
      <c r="I412" s="295" t="n"/>
      <c r="J412" s="282" t="n"/>
      <c r="K412" s="345" t="n"/>
      <c r="L412" s="295" t="n"/>
      <c r="M412" s="346" t="n"/>
      <c r="N412" s="295" t="n"/>
      <c r="O412" s="285" t="n"/>
      <c r="P412" s="295" t="n"/>
      <c r="Q412" s="295" t="n"/>
      <c r="R412" s="282" t="n"/>
      <c r="S412" s="295" t="n"/>
      <c r="T412" s="295" t="n"/>
      <c r="U412" s="285" t="n"/>
      <c r="V412" s="295" t="n"/>
      <c r="W412" s="282" t="n"/>
      <c r="X412" s="295" t="n"/>
      <c r="Y412" s="295" t="n"/>
      <c r="Z412" s="295" t="n"/>
      <c r="AA412" s="295" t="n"/>
      <c r="AB412" s="285" t="n"/>
      <c r="AC412" s="295" t="n"/>
      <c r="AD412" s="295" t="n"/>
      <c r="AE412" s="286" t="n"/>
    </row>
    <row r="413">
      <c r="B413" s="287" t="n"/>
      <c r="C413" s="288" t="n"/>
      <c r="D413" s="295" t="n"/>
      <c r="E413" s="295" t="n"/>
      <c r="F413" s="295" t="n"/>
      <c r="G413" s="290" t="n"/>
      <c r="H413" s="295" t="n"/>
      <c r="I413" s="295" t="n"/>
      <c r="J413" s="290" t="n"/>
      <c r="K413" s="347" t="n"/>
      <c r="L413" s="295" t="n"/>
      <c r="M413" s="348" t="n"/>
      <c r="N413" s="295" t="n"/>
      <c r="O413" s="293" t="n"/>
      <c r="P413" s="295" t="n"/>
      <c r="Q413" s="295" t="n"/>
      <c r="R413" s="290" t="n"/>
      <c r="S413" s="295" t="n"/>
      <c r="T413" s="295" t="n"/>
      <c r="U413" s="293" t="n"/>
      <c r="V413" s="295" t="n"/>
      <c r="W413" s="290" t="n"/>
      <c r="X413" s="295" t="n"/>
      <c r="Y413" s="295" t="n"/>
      <c r="Z413" s="295" t="n"/>
      <c r="AA413" s="295" t="n"/>
      <c r="AB413" s="293" t="n"/>
      <c r="AC413" s="295" t="n"/>
      <c r="AD413" s="295" t="n"/>
      <c r="AE413" s="294" t="n"/>
    </row>
    <row r="414">
      <c r="B414" s="279" t="n"/>
      <c r="C414" s="280" t="n"/>
      <c r="D414" s="295" t="n"/>
      <c r="E414" s="295" t="n"/>
      <c r="F414" s="295" t="n"/>
      <c r="G414" s="282" t="n"/>
      <c r="H414" s="295" t="n"/>
      <c r="I414" s="295" t="n"/>
      <c r="J414" s="282" t="n"/>
      <c r="K414" s="345" t="n"/>
      <c r="L414" s="295" t="n"/>
      <c r="M414" s="346" t="n"/>
      <c r="N414" s="295" t="n"/>
      <c r="O414" s="285" t="n"/>
      <c r="P414" s="295" t="n"/>
      <c r="Q414" s="295" t="n"/>
      <c r="R414" s="282" t="n"/>
      <c r="S414" s="295" t="n"/>
      <c r="T414" s="295" t="n"/>
      <c r="U414" s="285" t="n"/>
      <c r="V414" s="295" t="n"/>
      <c r="W414" s="282" t="n"/>
      <c r="X414" s="295" t="n"/>
      <c r="Y414" s="295" t="n"/>
      <c r="Z414" s="295" t="n"/>
      <c r="AA414" s="295" t="n"/>
      <c r="AB414" s="285" t="n"/>
      <c r="AC414" s="295" t="n"/>
      <c r="AD414" s="295" t="n"/>
      <c r="AE414" s="286" t="n"/>
    </row>
    <row r="415">
      <c r="B415" s="287" t="n"/>
      <c r="C415" s="288" t="n"/>
      <c r="D415" s="295" t="n"/>
      <c r="E415" s="295" t="n"/>
      <c r="F415" s="295" t="n"/>
      <c r="G415" s="290" t="n"/>
      <c r="H415" s="295" t="n"/>
      <c r="I415" s="295" t="n"/>
      <c r="J415" s="290" t="n"/>
      <c r="K415" s="347" t="n"/>
      <c r="L415" s="295" t="n"/>
      <c r="M415" s="348" t="n"/>
      <c r="N415" s="295" t="n"/>
      <c r="O415" s="293" t="n"/>
      <c r="P415" s="295" t="n"/>
      <c r="Q415" s="295" t="n"/>
      <c r="R415" s="290" t="n"/>
      <c r="S415" s="295" t="n"/>
      <c r="T415" s="295" t="n"/>
      <c r="U415" s="293" t="n"/>
      <c r="V415" s="295" t="n"/>
      <c r="W415" s="290" t="n"/>
      <c r="X415" s="295" t="n"/>
      <c r="Y415" s="295" t="n"/>
      <c r="Z415" s="295" t="n"/>
      <c r="AA415" s="295" t="n"/>
      <c r="AB415" s="293" t="n"/>
      <c r="AC415" s="295" t="n"/>
      <c r="AD415" s="295" t="n"/>
      <c r="AE415" s="294" t="n"/>
    </row>
    <row r="416">
      <c r="B416" s="279" t="n"/>
      <c r="C416" s="280" t="n"/>
      <c r="D416" s="295" t="n"/>
      <c r="E416" s="295" t="n"/>
      <c r="F416" s="295" t="n"/>
      <c r="G416" s="282" t="n"/>
      <c r="H416" s="295" t="n"/>
      <c r="I416" s="295" t="n"/>
      <c r="J416" s="282" t="n"/>
      <c r="K416" s="345" t="n"/>
      <c r="L416" s="295" t="n"/>
      <c r="M416" s="346" t="n"/>
      <c r="N416" s="295" t="n"/>
      <c r="O416" s="285" t="n"/>
      <c r="P416" s="295" t="n"/>
      <c r="Q416" s="295" t="n"/>
      <c r="R416" s="282" t="n"/>
      <c r="S416" s="295" t="n"/>
      <c r="T416" s="295" t="n"/>
      <c r="U416" s="285" t="n"/>
      <c r="V416" s="295" t="n"/>
      <c r="W416" s="282" t="n"/>
      <c r="X416" s="295" t="n"/>
      <c r="Y416" s="295" t="n"/>
      <c r="Z416" s="295" t="n"/>
      <c r="AA416" s="295" t="n"/>
      <c r="AB416" s="285" t="n"/>
      <c r="AC416" s="295" t="n"/>
      <c r="AD416" s="295" t="n"/>
      <c r="AE416" s="286" t="n"/>
    </row>
    <row r="417">
      <c r="B417" s="287" t="n"/>
      <c r="C417" s="288" t="n"/>
      <c r="D417" s="295" t="n"/>
      <c r="E417" s="295" t="n"/>
      <c r="F417" s="295" t="n"/>
      <c r="G417" s="290" t="n"/>
      <c r="H417" s="295" t="n"/>
      <c r="I417" s="295" t="n"/>
      <c r="J417" s="290" t="n"/>
      <c r="K417" s="347" t="n"/>
      <c r="L417" s="295" t="n"/>
      <c r="M417" s="348" t="n"/>
      <c r="N417" s="295" t="n"/>
      <c r="O417" s="293" t="n"/>
      <c r="P417" s="295" t="n"/>
      <c r="Q417" s="295" t="n"/>
      <c r="R417" s="290" t="n"/>
      <c r="S417" s="295" t="n"/>
      <c r="T417" s="295" t="n"/>
      <c r="U417" s="293" t="n"/>
      <c r="V417" s="295" t="n"/>
      <c r="W417" s="290" t="n"/>
      <c r="X417" s="295" t="n"/>
      <c r="Y417" s="295" t="n"/>
      <c r="Z417" s="295" t="n"/>
      <c r="AA417" s="295" t="n"/>
      <c r="AB417" s="293" t="n"/>
      <c r="AC417" s="295" t="n"/>
      <c r="AD417" s="295" t="n"/>
      <c r="AE417" s="294" t="n"/>
    </row>
    <row r="418">
      <c r="B418" s="279" t="n"/>
      <c r="C418" s="280" t="n"/>
      <c r="D418" s="295" t="n"/>
      <c r="E418" s="295" t="n"/>
      <c r="F418" s="295" t="n"/>
      <c r="G418" s="282" t="n"/>
      <c r="H418" s="295" t="n"/>
      <c r="I418" s="295" t="n"/>
      <c r="J418" s="282" t="n"/>
      <c r="K418" s="345" t="n"/>
      <c r="L418" s="295" t="n"/>
      <c r="M418" s="346" t="n"/>
      <c r="N418" s="295" t="n"/>
      <c r="O418" s="285" t="n"/>
      <c r="P418" s="295" t="n"/>
      <c r="Q418" s="295" t="n"/>
      <c r="R418" s="282" t="n"/>
      <c r="S418" s="295" t="n"/>
      <c r="T418" s="295" t="n"/>
      <c r="U418" s="285" t="n"/>
      <c r="V418" s="295" t="n"/>
      <c r="W418" s="282" t="n"/>
      <c r="X418" s="295" t="n"/>
      <c r="Y418" s="295" t="n"/>
      <c r="Z418" s="295" t="n"/>
      <c r="AA418" s="295" t="n"/>
      <c r="AB418" s="285" t="n"/>
      <c r="AC418" s="295" t="n"/>
      <c r="AD418" s="295" t="n"/>
      <c r="AE418" s="286" t="n"/>
    </row>
    <row r="419">
      <c r="B419" s="287" t="n"/>
      <c r="C419" s="288" t="n"/>
      <c r="D419" s="295" t="n"/>
      <c r="E419" s="295" t="n"/>
      <c r="F419" s="295" t="n"/>
      <c r="G419" s="290" t="n"/>
      <c r="H419" s="295" t="n"/>
      <c r="I419" s="295" t="n"/>
      <c r="J419" s="290" t="n"/>
      <c r="K419" s="347" t="n"/>
      <c r="L419" s="295" t="n"/>
      <c r="M419" s="348" t="n"/>
      <c r="N419" s="295" t="n"/>
      <c r="O419" s="293" t="n"/>
      <c r="P419" s="295" t="n"/>
      <c r="Q419" s="295" t="n"/>
      <c r="R419" s="290" t="n"/>
      <c r="S419" s="295" t="n"/>
      <c r="T419" s="295" t="n"/>
      <c r="U419" s="293" t="n"/>
      <c r="V419" s="295" t="n"/>
      <c r="W419" s="290" t="n"/>
      <c r="X419" s="295" t="n"/>
      <c r="Y419" s="295" t="n"/>
      <c r="Z419" s="295" t="n"/>
      <c r="AA419" s="295" t="n"/>
      <c r="AB419" s="293" t="n"/>
      <c r="AC419" s="295" t="n"/>
      <c r="AD419" s="295" t="n"/>
      <c r="AE419" s="294" t="n"/>
    </row>
    <row r="420">
      <c r="B420" s="279" t="n"/>
      <c r="C420" s="280" t="n"/>
      <c r="D420" s="295" t="n"/>
      <c r="E420" s="295" t="n"/>
      <c r="F420" s="295" t="n"/>
      <c r="G420" s="282" t="n"/>
      <c r="H420" s="295" t="n"/>
      <c r="I420" s="295" t="n"/>
      <c r="J420" s="282" t="n"/>
      <c r="K420" s="345" t="n"/>
      <c r="L420" s="295" t="n"/>
      <c r="M420" s="346" t="n"/>
      <c r="N420" s="295" t="n"/>
      <c r="O420" s="285" t="n"/>
      <c r="P420" s="295" t="n"/>
      <c r="Q420" s="295" t="n"/>
      <c r="R420" s="282" t="n"/>
      <c r="S420" s="295" t="n"/>
      <c r="T420" s="295" t="n"/>
      <c r="U420" s="285" t="n"/>
      <c r="V420" s="295" t="n"/>
      <c r="W420" s="282" t="n"/>
      <c r="X420" s="295" t="n"/>
      <c r="Y420" s="295" t="n"/>
      <c r="Z420" s="295" t="n"/>
      <c r="AA420" s="295" t="n"/>
      <c r="AB420" s="285" t="n"/>
      <c r="AC420" s="295" t="n"/>
      <c r="AD420" s="295" t="n"/>
      <c r="AE420" s="286" t="n"/>
    </row>
    <row r="421">
      <c r="B421" s="287" t="n"/>
      <c r="C421" s="288" t="n"/>
      <c r="D421" s="295" t="n"/>
      <c r="E421" s="295" t="n"/>
      <c r="F421" s="295" t="n"/>
      <c r="G421" s="290" t="n"/>
      <c r="H421" s="295" t="n"/>
      <c r="I421" s="295" t="n"/>
      <c r="J421" s="290" t="n"/>
      <c r="K421" s="347" t="n"/>
      <c r="L421" s="295" t="n"/>
      <c r="M421" s="348" t="n"/>
      <c r="N421" s="295" t="n"/>
      <c r="O421" s="293" t="n"/>
      <c r="P421" s="295" t="n"/>
      <c r="Q421" s="295" t="n"/>
      <c r="R421" s="290" t="n"/>
      <c r="S421" s="295" t="n"/>
      <c r="T421" s="295" t="n"/>
      <c r="U421" s="293" t="n"/>
      <c r="V421" s="295" t="n"/>
      <c r="W421" s="290" t="n"/>
      <c r="X421" s="295" t="n"/>
      <c r="Y421" s="295" t="n"/>
      <c r="Z421" s="295" t="n"/>
      <c r="AA421" s="295" t="n"/>
      <c r="AB421" s="293" t="n"/>
      <c r="AC421" s="295" t="n"/>
      <c r="AD421" s="295" t="n"/>
      <c r="AE421" s="294" t="n"/>
    </row>
    <row r="422">
      <c r="B422" s="279" t="n"/>
      <c r="C422" s="280" t="n"/>
      <c r="D422" s="295" t="n"/>
      <c r="E422" s="295" t="n"/>
      <c r="F422" s="295" t="n"/>
      <c r="G422" s="282" t="n"/>
      <c r="H422" s="295" t="n"/>
      <c r="I422" s="295" t="n"/>
      <c r="J422" s="282" t="n"/>
      <c r="K422" s="345" t="n"/>
      <c r="L422" s="295" t="n"/>
      <c r="M422" s="346" t="n"/>
      <c r="N422" s="295" t="n"/>
      <c r="O422" s="285" t="n"/>
      <c r="P422" s="295" t="n"/>
      <c r="Q422" s="295" t="n"/>
      <c r="R422" s="282" t="n"/>
      <c r="S422" s="295" t="n"/>
      <c r="T422" s="295" t="n"/>
      <c r="U422" s="285" t="n"/>
      <c r="V422" s="295" t="n"/>
      <c r="W422" s="282" t="n"/>
      <c r="X422" s="295" t="n"/>
      <c r="Y422" s="295" t="n"/>
      <c r="Z422" s="295" t="n"/>
      <c r="AA422" s="295" t="n"/>
      <c r="AB422" s="285" t="n"/>
      <c r="AC422" s="295" t="n"/>
      <c r="AD422" s="295" t="n"/>
      <c r="AE422" s="286" t="n"/>
    </row>
    <row r="423">
      <c r="B423" s="287" t="n"/>
      <c r="C423" s="288" t="n"/>
      <c r="D423" s="295" t="n"/>
      <c r="E423" s="295" t="n"/>
      <c r="F423" s="295" t="n"/>
      <c r="G423" s="290" t="n"/>
      <c r="H423" s="295" t="n"/>
      <c r="I423" s="295" t="n"/>
      <c r="J423" s="290" t="n"/>
      <c r="K423" s="347" t="n"/>
      <c r="L423" s="295" t="n"/>
      <c r="M423" s="348" t="n"/>
      <c r="N423" s="295" t="n"/>
      <c r="O423" s="293" t="n"/>
      <c r="P423" s="295" t="n"/>
      <c r="Q423" s="295" t="n"/>
      <c r="R423" s="290" t="n"/>
      <c r="S423" s="295" t="n"/>
      <c r="T423" s="295" t="n"/>
      <c r="U423" s="293" t="n"/>
      <c r="V423" s="295" t="n"/>
      <c r="W423" s="290" t="n"/>
      <c r="X423" s="295" t="n"/>
      <c r="Y423" s="295" t="n"/>
      <c r="Z423" s="295" t="n"/>
      <c r="AA423" s="295" t="n"/>
      <c r="AB423" s="293" t="n"/>
      <c r="AC423" s="295" t="n"/>
      <c r="AD423" s="295" t="n"/>
      <c r="AE423" s="294" t="n"/>
    </row>
    <row r="424">
      <c r="B424" s="279" t="n"/>
      <c r="C424" s="280" t="n"/>
      <c r="D424" s="295" t="n"/>
      <c r="E424" s="295" t="n"/>
      <c r="F424" s="295" t="n"/>
      <c r="G424" s="282" t="n"/>
      <c r="H424" s="295" t="n"/>
      <c r="I424" s="295" t="n"/>
      <c r="J424" s="282" t="n"/>
      <c r="K424" s="345" t="n"/>
      <c r="L424" s="295" t="n"/>
      <c r="M424" s="346" t="n"/>
      <c r="N424" s="295" t="n"/>
      <c r="O424" s="285" t="n"/>
      <c r="P424" s="295" t="n"/>
      <c r="Q424" s="295" t="n"/>
      <c r="R424" s="282" t="n"/>
      <c r="S424" s="295" t="n"/>
      <c r="T424" s="295" t="n"/>
      <c r="U424" s="285" t="n"/>
      <c r="V424" s="295" t="n"/>
      <c r="W424" s="282" t="n"/>
      <c r="X424" s="295" t="n"/>
      <c r="Y424" s="295" t="n"/>
      <c r="Z424" s="295" t="n"/>
      <c r="AA424" s="295" t="n"/>
      <c r="AB424" s="285" t="n"/>
      <c r="AC424" s="295" t="n"/>
      <c r="AD424" s="295" t="n"/>
      <c r="AE424" s="286" t="n"/>
    </row>
    <row r="425">
      <c r="B425" s="287" t="n"/>
      <c r="C425" s="288" t="n"/>
      <c r="D425" s="295" t="n"/>
      <c r="E425" s="295" t="n"/>
      <c r="F425" s="295" t="n"/>
      <c r="G425" s="290" t="n"/>
      <c r="H425" s="295" t="n"/>
      <c r="I425" s="295" t="n"/>
      <c r="J425" s="290" t="n"/>
      <c r="K425" s="347" t="n"/>
      <c r="L425" s="295" t="n"/>
      <c r="M425" s="348" t="n"/>
      <c r="N425" s="295" t="n"/>
      <c r="O425" s="293" t="n"/>
      <c r="P425" s="295" t="n"/>
      <c r="Q425" s="295" t="n"/>
      <c r="R425" s="290" t="n"/>
      <c r="S425" s="295" t="n"/>
      <c r="T425" s="295" t="n"/>
      <c r="U425" s="293" t="n"/>
      <c r="V425" s="295" t="n"/>
      <c r="W425" s="290" t="n"/>
      <c r="X425" s="295" t="n"/>
      <c r="Y425" s="295" t="n"/>
      <c r="Z425" s="295" t="n"/>
      <c r="AA425" s="295" t="n"/>
      <c r="AB425" s="293" t="n"/>
      <c r="AC425" s="295" t="n"/>
      <c r="AD425" s="295" t="n"/>
      <c r="AE425" s="294" t="n"/>
    </row>
    <row r="426">
      <c r="B426" s="279" t="n"/>
      <c r="C426" s="280" t="n"/>
      <c r="D426" s="295" t="n"/>
      <c r="E426" s="295" t="n"/>
      <c r="F426" s="295" t="n"/>
      <c r="G426" s="282" t="n"/>
      <c r="H426" s="295" t="n"/>
      <c r="I426" s="295" t="n"/>
      <c r="J426" s="282" t="n"/>
      <c r="K426" s="345" t="n"/>
      <c r="L426" s="295" t="n"/>
      <c r="M426" s="346" t="n"/>
      <c r="N426" s="295" t="n"/>
      <c r="O426" s="285" t="n"/>
      <c r="P426" s="295" t="n"/>
      <c r="Q426" s="295" t="n"/>
      <c r="R426" s="282" t="n"/>
      <c r="S426" s="295" t="n"/>
      <c r="T426" s="295" t="n"/>
      <c r="U426" s="285" t="n"/>
      <c r="V426" s="295" t="n"/>
      <c r="W426" s="282" t="n"/>
      <c r="X426" s="295" t="n"/>
      <c r="Y426" s="295" t="n"/>
      <c r="Z426" s="295" t="n"/>
      <c r="AA426" s="295" t="n"/>
      <c r="AB426" s="285" t="n"/>
      <c r="AC426" s="295" t="n"/>
      <c r="AD426" s="295" t="n"/>
      <c r="AE426" s="286" t="n"/>
    </row>
    <row r="427">
      <c r="B427" s="287" t="n"/>
      <c r="C427" s="288" t="n"/>
      <c r="D427" s="295" t="n"/>
      <c r="E427" s="295" t="n"/>
      <c r="F427" s="295" t="n"/>
      <c r="G427" s="290" t="n"/>
      <c r="H427" s="295" t="n"/>
      <c r="I427" s="295" t="n"/>
      <c r="J427" s="290" t="n"/>
      <c r="K427" s="347" t="n"/>
      <c r="L427" s="295" t="n"/>
      <c r="M427" s="348" t="n"/>
      <c r="N427" s="295" t="n"/>
      <c r="O427" s="293" t="n"/>
      <c r="P427" s="295" t="n"/>
      <c r="Q427" s="295" t="n"/>
      <c r="R427" s="290" t="n"/>
      <c r="S427" s="295" t="n"/>
      <c r="T427" s="295" t="n"/>
      <c r="U427" s="293" t="n"/>
      <c r="V427" s="295" t="n"/>
      <c r="W427" s="290" t="n"/>
      <c r="X427" s="295" t="n"/>
      <c r="Y427" s="295" t="n"/>
      <c r="Z427" s="295" t="n"/>
      <c r="AA427" s="295" t="n"/>
      <c r="AB427" s="293" t="n"/>
      <c r="AC427" s="295" t="n"/>
      <c r="AD427" s="295" t="n"/>
      <c r="AE427" s="294" t="n"/>
    </row>
    <row r="428">
      <c r="B428" s="279" t="n"/>
      <c r="C428" s="280" t="n"/>
      <c r="D428" s="295" t="n"/>
      <c r="E428" s="295" t="n"/>
      <c r="F428" s="295" t="n"/>
      <c r="G428" s="282" t="n"/>
      <c r="H428" s="295" t="n"/>
      <c r="I428" s="295" t="n"/>
      <c r="J428" s="282" t="n"/>
      <c r="K428" s="345" t="n"/>
      <c r="L428" s="295" t="n"/>
      <c r="M428" s="346" t="n"/>
      <c r="N428" s="295" t="n"/>
      <c r="O428" s="285" t="n"/>
      <c r="P428" s="295" t="n"/>
      <c r="Q428" s="295" t="n"/>
      <c r="R428" s="282" t="n"/>
      <c r="S428" s="295" t="n"/>
      <c r="T428" s="295" t="n"/>
      <c r="U428" s="285" t="n"/>
      <c r="V428" s="295" t="n"/>
      <c r="W428" s="282" t="n"/>
      <c r="X428" s="295" t="n"/>
      <c r="Y428" s="295" t="n"/>
      <c r="Z428" s="295" t="n"/>
      <c r="AA428" s="295" t="n"/>
      <c r="AB428" s="285" t="n"/>
      <c r="AC428" s="295" t="n"/>
      <c r="AD428" s="295" t="n"/>
      <c r="AE428" s="286" t="n"/>
    </row>
    <row r="429">
      <c r="B429" s="287" t="n"/>
      <c r="C429" s="288" t="n"/>
      <c r="D429" s="295" t="n"/>
      <c r="E429" s="295" t="n"/>
      <c r="F429" s="295" t="n"/>
      <c r="G429" s="290" t="n"/>
      <c r="H429" s="295" t="n"/>
      <c r="I429" s="295" t="n"/>
      <c r="J429" s="290" t="n"/>
      <c r="K429" s="347" t="n"/>
      <c r="L429" s="295" t="n"/>
      <c r="M429" s="348" t="n"/>
      <c r="N429" s="295" t="n"/>
      <c r="O429" s="293" t="n"/>
      <c r="P429" s="295" t="n"/>
      <c r="Q429" s="295" t="n"/>
      <c r="R429" s="290" t="n"/>
      <c r="S429" s="295" t="n"/>
      <c r="T429" s="295" t="n"/>
      <c r="U429" s="293" t="n"/>
      <c r="V429" s="295" t="n"/>
      <c r="W429" s="290" t="n"/>
      <c r="X429" s="295" t="n"/>
      <c r="Y429" s="295" t="n"/>
      <c r="Z429" s="295" t="n"/>
      <c r="AA429" s="295" t="n"/>
      <c r="AB429" s="293" t="n"/>
      <c r="AC429" s="295" t="n"/>
      <c r="AD429" s="295" t="n"/>
      <c r="AE429" s="294" t="n"/>
    </row>
    <row r="430">
      <c r="B430" s="279" t="n"/>
      <c r="C430" s="280" t="n"/>
      <c r="D430" s="295" t="n"/>
      <c r="E430" s="295" t="n"/>
      <c r="F430" s="295" t="n"/>
      <c r="G430" s="282" t="n"/>
      <c r="H430" s="295" t="n"/>
      <c r="I430" s="295" t="n"/>
      <c r="J430" s="282" t="n"/>
      <c r="K430" s="345" t="n"/>
      <c r="L430" s="295" t="n"/>
      <c r="M430" s="346" t="n"/>
      <c r="N430" s="295" t="n"/>
      <c r="O430" s="285" t="n"/>
      <c r="P430" s="295" t="n"/>
      <c r="Q430" s="295" t="n"/>
      <c r="R430" s="282" t="n"/>
      <c r="S430" s="295" t="n"/>
      <c r="T430" s="295" t="n"/>
      <c r="U430" s="285" t="n"/>
      <c r="V430" s="295" t="n"/>
      <c r="W430" s="282" t="n"/>
      <c r="X430" s="295" t="n"/>
      <c r="Y430" s="295" t="n"/>
      <c r="Z430" s="295" t="n"/>
      <c r="AA430" s="295" t="n"/>
      <c r="AB430" s="285" t="n"/>
      <c r="AC430" s="295" t="n"/>
      <c r="AD430" s="295" t="n"/>
      <c r="AE430" s="286" t="n"/>
    </row>
    <row r="431">
      <c r="B431" s="287" t="n"/>
      <c r="C431" s="288" t="n"/>
      <c r="D431" s="295" t="n"/>
      <c r="E431" s="295" t="n"/>
      <c r="F431" s="295" t="n"/>
      <c r="G431" s="290" t="n"/>
      <c r="H431" s="295" t="n"/>
      <c r="I431" s="295" t="n"/>
      <c r="J431" s="290" t="n"/>
      <c r="K431" s="347" t="n"/>
      <c r="L431" s="295" t="n"/>
      <c r="M431" s="348" t="n"/>
      <c r="N431" s="295" t="n"/>
      <c r="O431" s="293" t="n"/>
      <c r="P431" s="295" t="n"/>
      <c r="Q431" s="295" t="n"/>
      <c r="R431" s="290" t="n"/>
      <c r="S431" s="295" t="n"/>
      <c r="T431" s="295" t="n"/>
      <c r="U431" s="293" t="n"/>
      <c r="V431" s="295" t="n"/>
      <c r="W431" s="290" t="n"/>
      <c r="X431" s="295" t="n"/>
      <c r="Y431" s="295" t="n"/>
      <c r="Z431" s="295" t="n"/>
      <c r="AA431" s="295" t="n"/>
      <c r="AB431" s="293" t="n"/>
      <c r="AC431" s="295" t="n"/>
      <c r="AD431" s="295" t="n"/>
      <c r="AE431" s="294" t="n"/>
    </row>
    <row r="432">
      <c r="B432" s="279" t="n"/>
      <c r="C432" s="280" t="n"/>
      <c r="D432" s="295" t="n"/>
      <c r="E432" s="295" t="n"/>
      <c r="F432" s="295" t="n"/>
      <c r="G432" s="282" t="n"/>
      <c r="H432" s="295" t="n"/>
      <c r="I432" s="295" t="n"/>
      <c r="J432" s="282" t="n"/>
      <c r="K432" s="345" t="n"/>
      <c r="L432" s="295" t="n"/>
      <c r="M432" s="346" t="n"/>
      <c r="N432" s="295" t="n"/>
      <c r="O432" s="285" t="n"/>
      <c r="P432" s="295" t="n"/>
      <c r="Q432" s="295" t="n"/>
      <c r="R432" s="282" t="n"/>
      <c r="S432" s="295" t="n"/>
      <c r="T432" s="295" t="n"/>
      <c r="U432" s="285" t="n"/>
      <c r="V432" s="295" t="n"/>
      <c r="W432" s="282" t="n"/>
      <c r="X432" s="295" t="n"/>
      <c r="Y432" s="295" t="n"/>
      <c r="Z432" s="295" t="n"/>
      <c r="AA432" s="295" t="n"/>
      <c r="AB432" s="285" t="n"/>
      <c r="AC432" s="295" t="n"/>
      <c r="AD432" s="295" t="n"/>
      <c r="AE432" s="286" t="n"/>
    </row>
    <row r="433">
      <c r="B433" s="287" t="n"/>
      <c r="C433" s="288" t="n"/>
      <c r="D433" s="295" t="n"/>
      <c r="E433" s="295" t="n"/>
      <c r="F433" s="295" t="n"/>
      <c r="G433" s="290" t="n"/>
      <c r="H433" s="295" t="n"/>
      <c r="I433" s="295" t="n"/>
      <c r="J433" s="290" t="n"/>
      <c r="K433" s="347" t="n"/>
      <c r="L433" s="295" t="n"/>
      <c r="M433" s="348" t="n"/>
      <c r="N433" s="295" t="n"/>
      <c r="O433" s="293" t="n"/>
      <c r="P433" s="295" t="n"/>
      <c r="Q433" s="295" t="n"/>
      <c r="R433" s="290" t="n"/>
      <c r="S433" s="295" t="n"/>
      <c r="T433" s="295" t="n"/>
      <c r="U433" s="293" t="n"/>
      <c r="V433" s="295" t="n"/>
      <c r="W433" s="290" t="n"/>
      <c r="X433" s="295" t="n"/>
      <c r="Y433" s="295" t="n"/>
      <c r="Z433" s="295" t="n"/>
      <c r="AA433" s="295" t="n"/>
      <c r="AB433" s="293" t="n"/>
      <c r="AC433" s="295" t="n"/>
      <c r="AD433" s="295" t="n"/>
      <c r="AE433" s="294" t="n"/>
    </row>
    <row r="434">
      <c r="B434" s="279" t="n"/>
      <c r="C434" s="280" t="n"/>
      <c r="D434" s="295" t="n"/>
      <c r="E434" s="295" t="n"/>
      <c r="F434" s="295" t="n"/>
      <c r="G434" s="282" t="n"/>
      <c r="H434" s="295" t="n"/>
      <c r="I434" s="295" t="n"/>
      <c r="J434" s="282" t="n"/>
      <c r="K434" s="345" t="n"/>
      <c r="L434" s="295" t="n"/>
      <c r="M434" s="346" t="n"/>
      <c r="N434" s="295" t="n"/>
      <c r="O434" s="285" t="n"/>
      <c r="P434" s="295" t="n"/>
      <c r="Q434" s="295" t="n"/>
      <c r="R434" s="282" t="n"/>
      <c r="S434" s="295" t="n"/>
      <c r="T434" s="295" t="n"/>
      <c r="U434" s="285" t="n"/>
      <c r="V434" s="295" t="n"/>
      <c r="W434" s="282" t="n"/>
      <c r="X434" s="295" t="n"/>
      <c r="Y434" s="295" t="n"/>
      <c r="Z434" s="295" t="n"/>
      <c r="AA434" s="295" t="n"/>
      <c r="AB434" s="285" t="n"/>
      <c r="AC434" s="295" t="n"/>
      <c r="AD434" s="295" t="n"/>
      <c r="AE434" s="286" t="n"/>
    </row>
    <row r="435">
      <c r="B435" s="287" t="n"/>
      <c r="C435" s="288" t="n"/>
      <c r="D435" s="295" t="n"/>
      <c r="E435" s="295" t="n"/>
      <c r="F435" s="295" t="n"/>
      <c r="G435" s="290" t="n"/>
      <c r="H435" s="295" t="n"/>
      <c r="I435" s="295" t="n"/>
      <c r="J435" s="290" t="n"/>
      <c r="K435" s="347" t="n"/>
      <c r="L435" s="295" t="n"/>
      <c r="M435" s="348" t="n"/>
      <c r="N435" s="295" t="n"/>
      <c r="O435" s="293" t="n"/>
      <c r="P435" s="295" t="n"/>
      <c r="Q435" s="295" t="n"/>
      <c r="R435" s="290" t="n"/>
      <c r="S435" s="295" t="n"/>
      <c r="T435" s="295" t="n"/>
      <c r="U435" s="293" t="n"/>
      <c r="V435" s="295" t="n"/>
      <c r="W435" s="290" t="n"/>
      <c r="X435" s="295" t="n"/>
      <c r="Y435" s="295" t="n"/>
      <c r="Z435" s="295" t="n"/>
      <c r="AA435" s="295" t="n"/>
      <c r="AB435" s="293" t="n"/>
      <c r="AC435" s="295" t="n"/>
      <c r="AD435" s="295" t="n"/>
      <c r="AE435" s="294" t="n"/>
    </row>
    <row r="436">
      <c r="B436" s="279" t="n"/>
      <c r="C436" s="280" t="n"/>
      <c r="D436" s="295" t="n"/>
      <c r="E436" s="295" t="n"/>
      <c r="F436" s="295" t="n"/>
      <c r="G436" s="282" t="n"/>
      <c r="H436" s="295" t="n"/>
      <c r="I436" s="295" t="n"/>
      <c r="J436" s="282" t="n"/>
      <c r="K436" s="345" t="n"/>
      <c r="L436" s="295" t="n"/>
      <c r="M436" s="346" t="n"/>
      <c r="N436" s="295" t="n"/>
      <c r="O436" s="285" t="n"/>
      <c r="P436" s="295" t="n"/>
      <c r="Q436" s="295" t="n"/>
      <c r="R436" s="282" t="n"/>
      <c r="S436" s="295" t="n"/>
      <c r="T436" s="295" t="n"/>
      <c r="U436" s="285" t="n"/>
      <c r="V436" s="295" t="n"/>
      <c r="W436" s="282" t="n"/>
      <c r="X436" s="295" t="n"/>
      <c r="Y436" s="295" t="n"/>
      <c r="Z436" s="295" t="n"/>
      <c r="AA436" s="295" t="n"/>
      <c r="AB436" s="285" t="n"/>
      <c r="AC436" s="295" t="n"/>
      <c r="AD436" s="295" t="n"/>
      <c r="AE436" s="286" t="n"/>
    </row>
    <row r="437">
      <c r="B437" s="287" t="n"/>
      <c r="C437" s="288" t="n"/>
      <c r="D437" s="295" t="n"/>
      <c r="E437" s="295" t="n"/>
      <c r="F437" s="295" t="n"/>
      <c r="G437" s="290" t="n"/>
      <c r="H437" s="295" t="n"/>
      <c r="I437" s="295" t="n"/>
      <c r="J437" s="290" t="n"/>
      <c r="K437" s="347" t="n"/>
      <c r="L437" s="295" t="n"/>
      <c r="M437" s="348" t="n"/>
      <c r="N437" s="295" t="n"/>
      <c r="O437" s="293" t="n"/>
      <c r="P437" s="295" t="n"/>
      <c r="Q437" s="295" t="n"/>
      <c r="R437" s="290" t="n"/>
      <c r="S437" s="295" t="n"/>
      <c r="T437" s="295" t="n"/>
      <c r="U437" s="293" t="n"/>
      <c r="V437" s="295" t="n"/>
      <c r="W437" s="290" t="n"/>
      <c r="X437" s="295" t="n"/>
      <c r="Y437" s="295" t="n"/>
      <c r="Z437" s="295" t="n"/>
      <c r="AA437" s="295" t="n"/>
      <c r="AB437" s="293" t="n"/>
      <c r="AC437" s="295" t="n"/>
      <c r="AD437" s="295" t="n"/>
      <c r="AE437" s="294" t="n"/>
    </row>
    <row r="438">
      <c r="B438" s="279" t="n"/>
      <c r="C438" s="280" t="n"/>
      <c r="D438" s="295" t="n"/>
      <c r="E438" s="295" t="n"/>
      <c r="F438" s="295" t="n"/>
      <c r="G438" s="282" t="n"/>
      <c r="H438" s="295" t="n"/>
      <c r="I438" s="295" t="n"/>
      <c r="J438" s="282" t="n"/>
      <c r="K438" s="345" t="n"/>
      <c r="L438" s="295" t="n"/>
      <c r="M438" s="346" t="n"/>
      <c r="N438" s="295" t="n"/>
      <c r="O438" s="285" t="n"/>
      <c r="P438" s="295" t="n"/>
      <c r="Q438" s="295" t="n"/>
      <c r="R438" s="282" t="n"/>
      <c r="S438" s="295" t="n"/>
      <c r="T438" s="295" t="n"/>
      <c r="U438" s="285" t="n"/>
      <c r="V438" s="295" t="n"/>
      <c r="W438" s="282" t="n"/>
      <c r="X438" s="295" t="n"/>
      <c r="Y438" s="295" t="n"/>
      <c r="Z438" s="295" t="n"/>
      <c r="AA438" s="295" t="n"/>
      <c r="AB438" s="285" t="n"/>
      <c r="AC438" s="295" t="n"/>
      <c r="AD438" s="295" t="n"/>
      <c r="AE438" s="286" t="n"/>
    </row>
    <row r="439">
      <c r="B439" s="287" t="n"/>
      <c r="C439" s="288" t="n"/>
      <c r="D439" s="295" t="n"/>
      <c r="E439" s="295" t="n"/>
      <c r="F439" s="295" t="n"/>
      <c r="G439" s="290" t="n"/>
      <c r="H439" s="295" t="n"/>
      <c r="I439" s="295" t="n"/>
      <c r="J439" s="290" t="n"/>
      <c r="K439" s="347" t="n"/>
      <c r="L439" s="295" t="n"/>
      <c r="M439" s="348" t="n"/>
      <c r="N439" s="295" t="n"/>
      <c r="O439" s="293" t="n"/>
      <c r="P439" s="295" t="n"/>
      <c r="Q439" s="295" t="n"/>
      <c r="R439" s="290" t="n"/>
      <c r="S439" s="295" t="n"/>
      <c r="T439" s="295" t="n"/>
      <c r="U439" s="293" t="n"/>
      <c r="V439" s="295" t="n"/>
      <c r="W439" s="290" t="n"/>
      <c r="X439" s="295" t="n"/>
      <c r="Y439" s="295" t="n"/>
      <c r="Z439" s="295" t="n"/>
      <c r="AA439" s="295" t="n"/>
      <c r="AB439" s="293" t="n"/>
      <c r="AC439" s="295" t="n"/>
      <c r="AD439" s="295" t="n"/>
      <c r="AE439" s="294" t="n"/>
    </row>
    <row r="440">
      <c r="B440" s="279" t="n"/>
      <c r="C440" s="280" t="n"/>
      <c r="D440" s="295" t="n"/>
      <c r="E440" s="295" t="n"/>
      <c r="F440" s="295" t="n"/>
      <c r="G440" s="282" t="n"/>
      <c r="H440" s="295" t="n"/>
      <c r="I440" s="295" t="n"/>
      <c r="J440" s="282" t="n"/>
      <c r="K440" s="345" t="n"/>
      <c r="L440" s="295" t="n"/>
      <c r="M440" s="346" t="n"/>
      <c r="N440" s="295" t="n"/>
      <c r="O440" s="285" t="n"/>
      <c r="P440" s="295" t="n"/>
      <c r="Q440" s="295" t="n"/>
      <c r="R440" s="282" t="n"/>
      <c r="S440" s="295" t="n"/>
      <c r="T440" s="295" t="n"/>
      <c r="U440" s="285" t="n"/>
      <c r="V440" s="295" t="n"/>
      <c r="W440" s="282" t="n"/>
      <c r="X440" s="295" t="n"/>
      <c r="Y440" s="295" t="n"/>
      <c r="Z440" s="295" t="n"/>
      <c r="AA440" s="295" t="n"/>
      <c r="AB440" s="285" t="n"/>
      <c r="AC440" s="295" t="n"/>
      <c r="AD440" s="295" t="n"/>
      <c r="AE440" s="286" t="n"/>
    </row>
    <row r="441">
      <c r="B441" s="287" t="n"/>
      <c r="C441" s="288" t="n"/>
      <c r="D441" s="295" t="n"/>
      <c r="E441" s="295" t="n"/>
      <c r="F441" s="295" t="n"/>
      <c r="G441" s="290" t="n"/>
      <c r="H441" s="295" t="n"/>
      <c r="I441" s="295" t="n"/>
      <c r="J441" s="290" t="n"/>
      <c r="K441" s="347" t="n"/>
      <c r="L441" s="295" t="n"/>
      <c r="M441" s="348" t="n"/>
      <c r="N441" s="295" t="n"/>
      <c r="O441" s="293" t="n"/>
      <c r="P441" s="295" t="n"/>
      <c r="Q441" s="295" t="n"/>
      <c r="R441" s="290" t="n"/>
      <c r="S441" s="295" t="n"/>
      <c r="T441" s="295" t="n"/>
      <c r="U441" s="293" t="n"/>
      <c r="V441" s="295" t="n"/>
      <c r="W441" s="290" t="n"/>
      <c r="X441" s="295" t="n"/>
      <c r="Y441" s="295" t="n"/>
      <c r="Z441" s="295" t="n"/>
      <c r="AA441" s="295" t="n"/>
      <c r="AB441" s="293" t="n"/>
      <c r="AC441" s="295" t="n"/>
      <c r="AD441" s="295" t="n"/>
      <c r="AE441" s="294" t="n"/>
    </row>
    <row r="442">
      <c r="B442" s="279" t="n"/>
      <c r="C442" s="280" t="n"/>
      <c r="D442" s="295" t="n"/>
      <c r="E442" s="295" t="n"/>
      <c r="F442" s="295" t="n"/>
      <c r="G442" s="282" t="n"/>
      <c r="H442" s="295" t="n"/>
      <c r="I442" s="295" t="n"/>
      <c r="J442" s="282" t="n"/>
      <c r="K442" s="345" t="n"/>
      <c r="L442" s="295" t="n"/>
      <c r="M442" s="346" t="n"/>
      <c r="N442" s="295" t="n"/>
      <c r="O442" s="285" t="n"/>
      <c r="P442" s="295" t="n"/>
      <c r="Q442" s="295" t="n"/>
      <c r="R442" s="282" t="n"/>
      <c r="S442" s="295" t="n"/>
      <c r="T442" s="295" t="n"/>
      <c r="U442" s="285" t="n"/>
      <c r="V442" s="295" t="n"/>
      <c r="W442" s="282" t="n"/>
      <c r="X442" s="295" t="n"/>
      <c r="Y442" s="295" t="n"/>
      <c r="Z442" s="295" t="n"/>
      <c r="AA442" s="295" t="n"/>
      <c r="AB442" s="285" t="n"/>
      <c r="AC442" s="295" t="n"/>
      <c r="AD442" s="295" t="n"/>
      <c r="AE442" s="286" t="n"/>
    </row>
    <row r="443">
      <c r="B443" s="287" t="n"/>
      <c r="C443" s="288" t="n"/>
      <c r="D443" s="295" t="n"/>
      <c r="E443" s="295" t="n"/>
      <c r="F443" s="295" t="n"/>
      <c r="G443" s="290" t="n"/>
      <c r="H443" s="295" t="n"/>
      <c r="I443" s="295" t="n"/>
      <c r="J443" s="290" t="n"/>
      <c r="K443" s="347" t="n"/>
      <c r="L443" s="295" t="n"/>
      <c r="M443" s="348" t="n"/>
      <c r="N443" s="295" t="n"/>
      <c r="O443" s="293" t="n"/>
      <c r="P443" s="295" t="n"/>
      <c r="Q443" s="295" t="n"/>
      <c r="R443" s="290" t="n"/>
      <c r="S443" s="295" t="n"/>
      <c r="T443" s="295" t="n"/>
      <c r="U443" s="293" t="n"/>
      <c r="V443" s="295" t="n"/>
      <c r="W443" s="290" t="n"/>
      <c r="X443" s="295" t="n"/>
      <c r="Y443" s="295" t="n"/>
      <c r="Z443" s="295" t="n"/>
      <c r="AA443" s="295" t="n"/>
      <c r="AB443" s="293" t="n"/>
      <c r="AC443" s="295" t="n"/>
      <c r="AD443" s="295" t="n"/>
      <c r="AE443" s="294" t="n"/>
    </row>
    <row r="444">
      <c r="B444" s="279" t="n"/>
      <c r="C444" s="280" t="n"/>
      <c r="D444" s="295" t="n"/>
      <c r="E444" s="295" t="n"/>
      <c r="F444" s="295" t="n"/>
      <c r="G444" s="282" t="n"/>
      <c r="H444" s="295" t="n"/>
      <c r="I444" s="295" t="n"/>
      <c r="J444" s="282" t="n"/>
      <c r="K444" s="345" t="n"/>
      <c r="L444" s="295" t="n"/>
      <c r="M444" s="346" t="n"/>
      <c r="N444" s="295" t="n"/>
      <c r="O444" s="285" t="n"/>
      <c r="P444" s="295" t="n"/>
      <c r="Q444" s="295" t="n"/>
      <c r="R444" s="282" t="n"/>
      <c r="S444" s="295" t="n"/>
      <c r="T444" s="295" t="n"/>
      <c r="U444" s="285" t="n"/>
      <c r="V444" s="295" t="n"/>
      <c r="W444" s="282" t="n"/>
      <c r="X444" s="295" t="n"/>
      <c r="Y444" s="295" t="n"/>
      <c r="Z444" s="295" t="n"/>
      <c r="AA444" s="295" t="n"/>
      <c r="AB444" s="285" t="n"/>
      <c r="AC444" s="295" t="n"/>
      <c r="AD444" s="295" t="n"/>
      <c r="AE444" s="286" t="n"/>
    </row>
    <row r="445">
      <c r="B445" s="279" t="n"/>
      <c r="C445" s="280" t="n"/>
      <c r="D445" s="295" t="n"/>
      <c r="E445" s="295" t="n"/>
      <c r="F445" s="295" t="n"/>
      <c r="G445" s="282" t="n"/>
      <c r="H445" s="295" t="n"/>
      <c r="I445" s="295" t="n"/>
      <c r="J445" s="282" t="n"/>
      <c r="K445" s="345" t="n"/>
      <c r="L445" s="295" t="n"/>
      <c r="M445" s="346" t="n"/>
      <c r="N445" s="295" t="n"/>
      <c r="O445" s="285" t="n"/>
      <c r="P445" s="295" t="n"/>
      <c r="Q445" s="295" t="n"/>
      <c r="R445" s="282" t="n"/>
      <c r="S445" s="295" t="n"/>
      <c r="T445" s="295" t="n"/>
      <c r="U445" s="285" t="n"/>
      <c r="V445" s="295" t="n"/>
      <c r="W445" s="282" t="n"/>
      <c r="X445" s="295" t="n"/>
      <c r="Y445" s="295" t="n"/>
      <c r="Z445" s="295" t="n"/>
      <c r="AA445" s="295" t="n"/>
      <c r="AB445" s="285" t="n"/>
      <c r="AC445" s="295" t="n"/>
      <c r="AD445" s="295" t="n"/>
      <c r="AE445" s="286" t="n"/>
    </row>
    <row r="446">
      <c r="B446" s="287" t="n"/>
      <c r="C446" s="288" t="n"/>
      <c r="D446" s="295" t="n"/>
      <c r="E446" s="295" t="n"/>
      <c r="F446" s="295" t="n"/>
      <c r="G446" s="290" t="n"/>
      <c r="H446" s="295" t="n"/>
      <c r="I446" s="295" t="n"/>
      <c r="J446" s="290" t="n"/>
      <c r="K446" s="347" t="n"/>
      <c r="L446" s="295" t="n"/>
      <c r="M446" s="348" t="n"/>
      <c r="N446" s="295" t="n"/>
      <c r="O446" s="293" t="n"/>
      <c r="P446" s="295" t="n"/>
      <c r="Q446" s="295" t="n"/>
      <c r="R446" s="290" t="n"/>
      <c r="S446" s="295" t="n"/>
      <c r="T446" s="295" t="n"/>
      <c r="U446" s="293" t="n"/>
      <c r="V446" s="295" t="n"/>
      <c r="W446" s="290" t="n"/>
      <c r="X446" s="295" t="n"/>
      <c r="Y446" s="295" t="n"/>
      <c r="Z446" s="295" t="n"/>
      <c r="AA446" s="295" t="n"/>
      <c r="AB446" s="293" t="n"/>
      <c r="AC446" s="295" t="n"/>
      <c r="AD446" s="295" t="n"/>
      <c r="AE446" s="294" t="n"/>
    </row>
    <row r="447">
      <c r="B447" s="279" t="n"/>
      <c r="C447" s="280" t="n"/>
      <c r="D447" s="295" t="n"/>
      <c r="E447" s="295" t="n"/>
      <c r="F447" s="295" t="n"/>
      <c r="G447" s="282" t="n"/>
      <c r="H447" s="295" t="n"/>
      <c r="I447" s="295" t="n"/>
      <c r="J447" s="282" t="n"/>
      <c r="K447" s="345" t="n"/>
      <c r="L447" s="295" t="n"/>
      <c r="M447" s="346" t="n"/>
      <c r="N447" s="295" t="n"/>
      <c r="O447" s="285" t="n"/>
      <c r="P447" s="295" t="n"/>
      <c r="Q447" s="295" t="n"/>
      <c r="R447" s="282" t="n"/>
      <c r="S447" s="295" t="n"/>
      <c r="T447" s="295" t="n"/>
      <c r="U447" s="285" t="n"/>
      <c r="V447" s="295" t="n"/>
      <c r="W447" s="282" t="n"/>
      <c r="X447" s="295" t="n"/>
      <c r="Y447" s="295" t="n"/>
      <c r="Z447" s="295" t="n"/>
      <c r="AA447" s="295" t="n"/>
      <c r="AB447" s="285" t="n"/>
      <c r="AC447" s="295" t="n"/>
      <c r="AD447" s="295" t="n"/>
      <c r="AE447" s="286" t="n"/>
    </row>
    <row r="448">
      <c r="B448" s="287" t="n"/>
      <c r="C448" s="288" t="n"/>
      <c r="D448" s="295" t="n"/>
      <c r="E448" s="295" t="n"/>
      <c r="F448" s="295" t="n"/>
      <c r="G448" s="290" t="n"/>
      <c r="H448" s="295" t="n"/>
      <c r="I448" s="295" t="n"/>
      <c r="J448" s="290" t="n"/>
      <c r="K448" s="347" t="n"/>
      <c r="L448" s="295" t="n"/>
      <c r="M448" s="348" t="n"/>
      <c r="N448" s="295" t="n"/>
      <c r="O448" s="293" t="n"/>
      <c r="P448" s="295" t="n"/>
      <c r="Q448" s="295" t="n"/>
      <c r="R448" s="290" t="n"/>
      <c r="S448" s="295" t="n"/>
      <c r="T448" s="295" t="n"/>
      <c r="U448" s="293" t="n"/>
      <c r="V448" s="295" t="n"/>
      <c r="W448" s="290" t="n"/>
      <c r="X448" s="295" t="n"/>
      <c r="Y448" s="295" t="n"/>
      <c r="Z448" s="295" t="n"/>
      <c r="AA448" s="295" t="n"/>
      <c r="AB448" s="293" t="n"/>
      <c r="AC448" s="295" t="n"/>
      <c r="AD448" s="295" t="n"/>
      <c r="AE448" s="294" t="n"/>
    </row>
    <row r="449">
      <c r="B449" s="279" t="n"/>
      <c r="C449" s="280" t="n"/>
      <c r="D449" s="295" t="n"/>
      <c r="E449" s="295" t="n"/>
      <c r="F449" s="295" t="n"/>
      <c r="G449" s="282" t="n"/>
      <c r="H449" s="295" t="n"/>
      <c r="I449" s="295" t="n"/>
      <c r="J449" s="282" t="n"/>
      <c r="K449" s="345" t="n"/>
      <c r="L449" s="295" t="n"/>
      <c r="M449" s="346" t="n"/>
      <c r="N449" s="295" t="n"/>
      <c r="O449" s="285" t="n"/>
      <c r="P449" s="295" t="n"/>
      <c r="Q449" s="295" t="n"/>
      <c r="R449" s="282" t="n"/>
      <c r="S449" s="295" t="n"/>
      <c r="T449" s="295" t="n"/>
      <c r="U449" s="285" t="n"/>
      <c r="V449" s="295" t="n"/>
      <c r="W449" s="282" t="n"/>
      <c r="X449" s="295" t="n"/>
      <c r="Y449" s="295" t="n"/>
      <c r="Z449" s="295" t="n"/>
      <c r="AA449" s="295" t="n"/>
      <c r="AB449" s="285" t="n"/>
      <c r="AC449" s="295" t="n"/>
      <c r="AD449" s="295" t="n"/>
      <c r="AE449" s="286" t="n"/>
    </row>
    <row r="450">
      <c r="B450" s="287" t="n"/>
      <c r="C450" s="288" t="n"/>
      <c r="D450" s="295" t="n"/>
      <c r="E450" s="295" t="n"/>
      <c r="F450" s="295" t="n"/>
      <c r="G450" s="290" t="n"/>
      <c r="H450" s="295" t="n"/>
      <c r="I450" s="295" t="n"/>
      <c r="J450" s="290" t="n"/>
      <c r="K450" s="347" t="n"/>
      <c r="L450" s="295" t="n"/>
      <c r="M450" s="348" t="n"/>
      <c r="N450" s="295" t="n"/>
      <c r="O450" s="293" t="n"/>
      <c r="P450" s="295" t="n"/>
      <c r="Q450" s="295" t="n"/>
      <c r="R450" s="290" t="n"/>
      <c r="S450" s="295" t="n"/>
      <c r="T450" s="295" t="n"/>
      <c r="U450" s="293" t="n"/>
      <c r="V450" s="295" t="n"/>
      <c r="W450" s="290" t="n"/>
      <c r="X450" s="295" t="n"/>
      <c r="Y450" s="295" t="n"/>
      <c r="Z450" s="295" t="n"/>
      <c r="AA450" s="295" t="n"/>
      <c r="AB450" s="293" t="n"/>
      <c r="AC450" s="295" t="n"/>
      <c r="AD450" s="295" t="n"/>
      <c r="AE450" s="294" t="n"/>
    </row>
    <row r="451">
      <c r="B451" s="279" t="n"/>
      <c r="C451" s="280" t="n"/>
      <c r="D451" s="295" t="n"/>
      <c r="E451" s="295" t="n"/>
      <c r="F451" s="295" t="n"/>
      <c r="G451" s="282" t="n"/>
      <c r="H451" s="295" t="n"/>
      <c r="I451" s="295" t="n"/>
      <c r="J451" s="282" t="n"/>
      <c r="K451" s="345" t="n"/>
      <c r="L451" s="295" t="n"/>
      <c r="M451" s="346" t="n"/>
      <c r="N451" s="295" t="n"/>
      <c r="O451" s="285" t="n"/>
      <c r="P451" s="295" t="n"/>
      <c r="Q451" s="295" t="n"/>
      <c r="R451" s="282" t="n"/>
      <c r="S451" s="295" t="n"/>
      <c r="T451" s="295" t="n"/>
      <c r="U451" s="285" t="n"/>
      <c r="V451" s="295" t="n"/>
      <c r="W451" s="282" t="n"/>
      <c r="X451" s="295" t="n"/>
      <c r="Y451" s="295" t="n"/>
      <c r="Z451" s="295" t="n"/>
      <c r="AA451" s="295" t="n"/>
      <c r="AB451" s="285" t="n"/>
      <c r="AC451" s="295" t="n"/>
      <c r="AD451" s="295" t="n"/>
      <c r="AE451" s="286" t="n"/>
    </row>
    <row r="452">
      <c r="B452" s="287" t="n"/>
      <c r="C452" s="288" t="n"/>
      <c r="D452" s="295" t="n"/>
      <c r="E452" s="295" t="n"/>
      <c r="F452" s="295" t="n"/>
      <c r="G452" s="290" t="n"/>
      <c r="H452" s="295" t="n"/>
      <c r="I452" s="295" t="n"/>
      <c r="J452" s="290" t="n"/>
      <c r="K452" s="347" t="n"/>
      <c r="L452" s="295" t="n"/>
      <c r="M452" s="348" t="n"/>
      <c r="N452" s="295" t="n"/>
      <c r="O452" s="293" t="n"/>
      <c r="P452" s="295" t="n"/>
      <c r="Q452" s="295" t="n"/>
      <c r="R452" s="290" t="n"/>
      <c r="S452" s="295" t="n"/>
      <c r="T452" s="295" t="n"/>
      <c r="U452" s="293" t="n"/>
      <c r="V452" s="295" t="n"/>
      <c r="W452" s="290" t="n"/>
      <c r="X452" s="295" t="n"/>
      <c r="Y452" s="295" t="n"/>
      <c r="Z452" s="295" t="n"/>
      <c r="AA452" s="295" t="n"/>
      <c r="AB452" s="293" t="n"/>
      <c r="AC452" s="295" t="n"/>
      <c r="AD452" s="295" t="n"/>
      <c r="AE452" s="294" t="n"/>
    </row>
    <row r="453">
      <c r="B453" s="279" t="n"/>
      <c r="C453" s="280" t="n"/>
      <c r="D453" s="295" t="n"/>
      <c r="E453" s="295" t="n"/>
      <c r="F453" s="295" t="n"/>
      <c r="G453" s="282" t="n"/>
      <c r="H453" s="295" t="n"/>
      <c r="I453" s="295" t="n"/>
      <c r="J453" s="282" t="n"/>
      <c r="K453" s="345" t="n"/>
      <c r="L453" s="295" t="n"/>
      <c r="M453" s="346" t="n"/>
      <c r="N453" s="295" t="n"/>
      <c r="O453" s="285" t="n"/>
      <c r="P453" s="295" t="n"/>
      <c r="Q453" s="295" t="n"/>
      <c r="R453" s="282" t="n"/>
      <c r="S453" s="295" t="n"/>
      <c r="T453" s="295" t="n"/>
      <c r="U453" s="285" t="n"/>
      <c r="V453" s="295" t="n"/>
      <c r="W453" s="282" t="n"/>
      <c r="X453" s="295" t="n"/>
      <c r="Y453" s="295" t="n"/>
      <c r="Z453" s="295" t="n"/>
      <c r="AA453" s="295" t="n"/>
      <c r="AB453" s="285" t="n"/>
      <c r="AC453" s="295" t="n"/>
      <c r="AD453" s="295" t="n"/>
      <c r="AE453" s="286" t="n"/>
    </row>
    <row r="454">
      <c r="B454" s="287" t="n"/>
      <c r="C454" s="288" t="n"/>
      <c r="D454" s="295" t="n"/>
      <c r="E454" s="295" t="n"/>
      <c r="F454" s="295" t="n"/>
      <c r="G454" s="290" t="n"/>
      <c r="H454" s="295" t="n"/>
      <c r="I454" s="295" t="n"/>
      <c r="J454" s="290" t="n"/>
      <c r="K454" s="347" t="n"/>
      <c r="L454" s="295" t="n"/>
      <c r="M454" s="348" t="n"/>
      <c r="N454" s="295" t="n"/>
      <c r="O454" s="293" t="n"/>
      <c r="P454" s="295" t="n"/>
      <c r="Q454" s="295" t="n"/>
      <c r="R454" s="290" t="n"/>
      <c r="S454" s="295" t="n"/>
      <c r="T454" s="295" t="n"/>
      <c r="U454" s="293" t="n"/>
      <c r="V454" s="295" t="n"/>
      <c r="W454" s="290" t="n"/>
      <c r="X454" s="295" t="n"/>
      <c r="Y454" s="295" t="n"/>
      <c r="Z454" s="295" t="n"/>
      <c r="AA454" s="295" t="n"/>
      <c r="AB454" s="293" t="n"/>
      <c r="AC454" s="295" t="n"/>
      <c r="AD454" s="295" t="n"/>
      <c r="AE454" s="294" t="n"/>
    </row>
    <row r="455">
      <c r="B455" s="279" t="n"/>
      <c r="C455" s="280" t="n"/>
      <c r="D455" s="295" t="n"/>
      <c r="E455" s="295" t="n"/>
      <c r="F455" s="295" t="n"/>
      <c r="G455" s="282" t="n"/>
      <c r="H455" s="295" t="n"/>
      <c r="I455" s="295" t="n"/>
      <c r="J455" s="282" t="n"/>
      <c r="K455" s="345" t="n"/>
      <c r="L455" s="295" t="n"/>
      <c r="M455" s="346" t="n"/>
      <c r="N455" s="295" t="n"/>
      <c r="O455" s="285" t="n"/>
      <c r="P455" s="295" t="n"/>
      <c r="Q455" s="295" t="n"/>
      <c r="R455" s="282" t="n"/>
      <c r="S455" s="295" t="n"/>
      <c r="T455" s="295" t="n"/>
      <c r="U455" s="285" t="n"/>
      <c r="V455" s="295" t="n"/>
      <c r="W455" s="282" t="n"/>
      <c r="X455" s="295" t="n"/>
      <c r="Y455" s="295" t="n"/>
      <c r="Z455" s="295" t="n"/>
      <c r="AA455" s="295" t="n"/>
      <c r="AB455" s="285" t="n"/>
      <c r="AC455" s="295" t="n"/>
      <c r="AD455" s="295" t="n"/>
      <c r="AE455" s="286" t="n"/>
    </row>
    <row r="456">
      <c r="B456" s="152" t="n"/>
      <c r="C456" s="153" t="n"/>
      <c r="G456" s="155" t="n"/>
      <c r="J456" s="155" t="n"/>
      <c r="K456" s="349" t="n"/>
      <c r="M456" s="350" t="n"/>
      <c r="O456" s="158" t="n"/>
      <c r="R456" s="155" t="n"/>
      <c r="U456" s="158" t="n"/>
      <c r="W456" s="155" t="n"/>
      <c r="AB456" s="158" t="n"/>
      <c r="AE456" s="159" t="n"/>
    </row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71"/>
  <mergeCells count="1765">
    <mergeCell ref="U420:V420"/>
    <mergeCell ref="R415:T415"/>
    <mergeCell ref="G288:I288"/>
    <mergeCell ref="W367:AA367"/>
    <mergeCell ref="G323:I323"/>
    <mergeCell ref="G298:I298"/>
    <mergeCell ref="U291:V291"/>
    <mergeCell ref="W359:AA359"/>
    <mergeCell ref="G412:I412"/>
    <mergeCell ref="W369:AA369"/>
    <mergeCell ref="R440:T440"/>
    <mergeCell ref="K302:L302"/>
    <mergeCell ref="P158:Q158"/>
    <mergeCell ref="M358:N358"/>
    <mergeCell ref="U293:V293"/>
    <mergeCell ref="U415:V415"/>
    <mergeCell ref="R439:T439"/>
    <mergeCell ref="G443:I443"/>
    <mergeCell ref="U292:V292"/>
    <mergeCell ref="AB430:AD430"/>
    <mergeCell ref="M366:N366"/>
    <mergeCell ref="M360:N360"/>
    <mergeCell ref="R441:T441"/>
    <mergeCell ref="C368:F368"/>
    <mergeCell ref="R435:T435"/>
    <mergeCell ref="U317:V317"/>
    <mergeCell ref="R312:T312"/>
    <mergeCell ref="M361:N361"/>
    <mergeCell ref="C364:F364"/>
    <mergeCell ref="O425:Q425"/>
    <mergeCell ref="K328:L328"/>
    <mergeCell ref="U319:V319"/>
    <mergeCell ref="U318:V318"/>
    <mergeCell ref="W405:AA405"/>
    <mergeCell ref="M392:N392"/>
    <mergeCell ref="U312:V312"/>
    <mergeCell ref="M386:N386"/>
    <mergeCell ref="D219:F219"/>
    <mergeCell ref="W293:AA293"/>
    <mergeCell ref="U320:V320"/>
    <mergeCell ref="W407:AA407"/>
    <mergeCell ref="M394:N394"/>
    <mergeCell ref="U314:V314"/>
    <mergeCell ref="G367:I367"/>
    <mergeCell ref="M387:N387"/>
    <mergeCell ref="W438:AA438"/>
    <mergeCell ref="R365:T365"/>
    <mergeCell ref="O295:Q295"/>
    <mergeCell ref="G369:I369"/>
    <mergeCell ref="R454:T454"/>
    <mergeCell ref="C419:F419"/>
    <mergeCell ref="AB355:AD355"/>
    <mergeCell ref="G368:I368"/>
    <mergeCell ref="W439:AA439"/>
    <mergeCell ref="W433:AA433"/>
    <mergeCell ref="K341:L341"/>
    <mergeCell ref="G364:I364"/>
    <mergeCell ref="M316:N316"/>
    <mergeCell ref="U373:V373"/>
    <mergeCell ref="W435:AA435"/>
    <mergeCell ref="M405:N405"/>
    <mergeCell ref="AB356:AD356"/>
    <mergeCell ref="R376:T376"/>
    <mergeCell ref="U389:V389"/>
    <mergeCell ref="R378:T378"/>
    <mergeCell ref="O341:Q341"/>
    <mergeCell ref="M157:Q157"/>
    <mergeCell ref="U384:V384"/>
    <mergeCell ref="G408:I408"/>
    <mergeCell ref="W365:AA365"/>
    <mergeCell ref="C279:F279"/>
    <mergeCell ref="K273:L273"/>
    <mergeCell ref="U386:V386"/>
    <mergeCell ref="G410:I410"/>
    <mergeCell ref="C281:F281"/>
    <mergeCell ref="G439:I439"/>
    <mergeCell ref="F192:I192"/>
    <mergeCell ref="M331:N331"/>
    <mergeCell ref="L50:M50"/>
    <mergeCell ref="L25:M25"/>
    <mergeCell ref="O395:Q395"/>
    <mergeCell ref="R437:T437"/>
    <mergeCell ref="O367:Q367"/>
    <mergeCell ref="AB428:AD428"/>
    <mergeCell ref="G441:I441"/>
    <mergeCell ref="G435:I435"/>
    <mergeCell ref="L52:M52"/>
    <mergeCell ref="G312:I312"/>
    <mergeCell ref="G434:I434"/>
    <mergeCell ref="O396:Q396"/>
    <mergeCell ref="O390:Q390"/>
    <mergeCell ref="K413:L413"/>
    <mergeCell ref="AB423:AD423"/>
    <mergeCell ref="G436:I436"/>
    <mergeCell ref="U404:V404"/>
    <mergeCell ref="O398:Q398"/>
    <mergeCell ref="W376:AA376"/>
    <mergeCell ref="H256:I256"/>
    <mergeCell ref="K415:L415"/>
    <mergeCell ref="U397:V397"/>
    <mergeCell ref="U316:V316"/>
    <mergeCell ref="W378:AA378"/>
    <mergeCell ref="U310:V310"/>
    <mergeCell ref="K286:L286"/>
    <mergeCell ref="AB297:AD297"/>
    <mergeCell ref="AB299:AD299"/>
    <mergeCell ref="K410:L410"/>
    <mergeCell ref="O414:Q414"/>
    <mergeCell ref="O291:Q291"/>
    <mergeCell ref="R450:T450"/>
    <mergeCell ref="AB292:AD292"/>
    <mergeCell ref="G454:I454"/>
    <mergeCell ref="O293:Q293"/>
    <mergeCell ref="R452:T452"/>
    <mergeCell ref="AB294:AD294"/>
    <mergeCell ref="O409:Q409"/>
    <mergeCell ref="K337:L337"/>
    <mergeCell ref="K312:L312"/>
    <mergeCell ref="AB404:AD404"/>
    <mergeCell ref="H267:I267"/>
    <mergeCell ref="G449:I449"/>
    <mergeCell ref="K339:L339"/>
    <mergeCell ref="K314:L314"/>
    <mergeCell ref="M401:N401"/>
    <mergeCell ref="M395:N395"/>
    <mergeCell ref="U452:V452"/>
    <mergeCell ref="L2:M2"/>
    <mergeCell ref="C380:F380"/>
    <mergeCell ref="U329:V329"/>
    <mergeCell ref="M403:N403"/>
    <mergeCell ref="W432:AA432"/>
    <mergeCell ref="L3:M3"/>
    <mergeCell ref="C434:F434"/>
    <mergeCell ref="M398:N398"/>
    <mergeCell ref="L5:M5"/>
    <mergeCell ref="U380:V380"/>
    <mergeCell ref="M423:N423"/>
    <mergeCell ref="K350:L350"/>
    <mergeCell ref="W450:AA450"/>
    <mergeCell ref="U382:V382"/>
    <mergeCell ref="U357:V357"/>
    <mergeCell ref="M431:N431"/>
    <mergeCell ref="K352:L352"/>
    <mergeCell ref="M414:N414"/>
    <mergeCell ref="C277:F277"/>
    <mergeCell ref="M424:N424"/>
    <mergeCell ref="L21:M21"/>
    <mergeCell ref="C276:F276"/>
    <mergeCell ref="M416:N416"/>
    <mergeCell ref="C278:F278"/>
    <mergeCell ref="K376:L376"/>
    <mergeCell ref="O392:Q392"/>
    <mergeCell ref="L16:M16"/>
    <mergeCell ref="K384:L384"/>
    <mergeCell ref="K378:L378"/>
    <mergeCell ref="O394:Q394"/>
    <mergeCell ref="U393:V393"/>
    <mergeCell ref="M442:N442"/>
    <mergeCell ref="C288:F288"/>
    <mergeCell ref="K379:L379"/>
    <mergeCell ref="U395:V395"/>
    <mergeCell ref="R273:T273"/>
    <mergeCell ref="K406:L406"/>
    <mergeCell ref="G277:I277"/>
    <mergeCell ref="I33:J33"/>
    <mergeCell ref="U426:V426"/>
    <mergeCell ref="O376:Q376"/>
    <mergeCell ref="L44:M44"/>
    <mergeCell ref="K437:L437"/>
    <mergeCell ref="C291:F291"/>
    <mergeCell ref="M284:N284"/>
    <mergeCell ref="AB290:AD290"/>
    <mergeCell ref="O378:Q378"/>
    <mergeCell ref="O405:Q405"/>
    <mergeCell ref="U421:V421"/>
    <mergeCell ref="G445:I445"/>
    <mergeCell ref="C347:F347"/>
    <mergeCell ref="O407:Q407"/>
    <mergeCell ref="K310:L310"/>
    <mergeCell ref="K432:L432"/>
    <mergeCell ref="U423:V423"/>
    <mergeCell ref="K424:L424"/>
    <mergeCell ref="C342:F342"/>
    <mergeCell ref="R292:T292"/>
    <mergeCell ref="C344:F344"/>
    <mergeCell ref="O433:Q433"/>
    <mergeCell ref="K450:L450"/>
    <mergeCell ref="O435:Q435"/>
    <mergeCell ref="W273:AA273"/>
    <mergeCell ref="K452:L452"/>
    <mergeCell ref="AB334:AD334"/>
    <mergeCell ref="G347:I347"/>
    <mergeCell ref="AB336:AD336"/>
    <mergeCell ref="AB329:AD329"/>
    <mergeCell ref="W413:AA413"/>
    <mergeCell ref="AB337:AD337"/>
    <mergeCell ref="AB331:AD331"/>
    <mergeCell ref="K380:L380"/>
    <mergeCell ref="W415:AA415"/>
    <mergeCell ref="M438:N438"/>
    <mergeCell ref="W286:AA286"/>
    <mergeCell ref="K375:L375"/>
    <mergeCell ref="C417:F417"/>
    <mergeCell ref="M440:N440"/>
    <mergeCell ref="C383:F383"/>
    <mergeCell ref="R358:T358"/>
    <mergeCell ref="G362:I362"/>
    <mergeCell ref="M435:N435"/>
    <mergeCell ref="R360:T360"/>
    <mergeCell ref="C287:F287"/>
    <mergeCell ref="G414:I414"/>
    <mergeCell ref="M280:N280"/>
    <mergeCell ref="U417:V417"/>
    <mergeCell ref="C289:F289"/>
    <mergeCell ref="K393:L393"/>
    <mergeCell ref="G416:I416"/>
    <mergeCell ref="U419:V419"/>
    <mergeCell ref="M275:N275"/>
    <mergeCell ref="M311:N311"/>
    <mergeCell ref="C314:F314"/>
    <mergeCell ref="O347:Q347"/>
    <mergeCell ref="C313:F313"/>
    <mergeCell ref="M277:N277"/>
    <mergeCell ref="AB279:AD279"/>
    <mergeCell ref="AB401:AD401"/>
    <mergeCell ref="G286:I286"/>
    <mergeCell ref="C315:F315"/>
    <mergeCell ref="O429:Q429"/>
    <mergeCell ref="R290:T290"/>
    <mergeCell ref="AB281:AD281"/>
    <mergeCell ref="AB403:AD403"/>
    <mergeCell ref="O431:Q431"/>
    <mergeCell ref="AB274:AD274"/>
    <mergeCell ref="G287:I287"/>
    <mergeCell ref="E192:E193"/>
    <mergeCell ref="U430:V430"/>
    <mergeCell ref="W358:AA358"/>
    <mergeCell ref="U290:V290"/>
    <mergeCell ref="R285:T285"/>
    <mergeCell ref="G289:I289"/>
    <mergeCell ref="K416:L416"/>
    <mergeCell ref="W360:AA360"/>
    <mergeCell ref="R316:T316"/>
    <mergeCell ref="G314:I314"/>
    <mergeCell ref="C326:F326"/>
    <mergeCell ref="AB300:AD300"/>
    <mergeCell ref="R274:T274"/>
    <mergeCell ref="O273:Q273"/>
    <mergeCell ref="G305:I305"/>
    <mergeCell ref="R311:T311"/>
    <mergeCell ref="H247:I247"/>
    <mergeCell ref="AB327:AD327"/>
    <mergeCell ref="U308:V308"/>
    <mergeCell ref="O442:Q442"/>
    <mergeCell ref="R303:T303"/>
    <mergeCell ref="W411:AA411"/>
    <mergeCell ref="W282:AA282"/>
    <mergeCell ref="AB447:AD447"/>
    <mergeCell ref="U309:V309"/>
    <mergeCell ref="C413:F413"/>
    <mergeCell ref="R300:T300"/>
    <mergeCell ref="C379:F379"/>
    <mergeCell ref="W283:AA283"/>
    <mergeCell ref="C415:F415"/>
    <mergeCell ref="R329:T329"/>
    <mergeCell ref="O284:Q284"/>
    <mergeCell ref="G358:I358"/>
    <mergeCell ref="C408:F408"/>
    <mergeCell ref="R295:T295"/>
    <mergeCell ref="R331:T331"/>
    <mergeCell ref="W308:AA308"/>
    <mergeCell ref="O286:Q286"/>
    <mergeCell ref="G360:I360"/>
    <mergeCell ref="C410:F410"/>
    <mergeCell ref="AB346:AD346"/>
    <mergeCell ref="W316:AA316"/>
    <mergeCell ref="G353:I353"/>
    <mergeCell ref="W310:AA310"/>
    <mergeCell ref="W309:AA309"/>
    <mergeCell ref="C397:F397"/>
    <mergeCell ref="AB371:AD371"/>
    <mergeCell ref="G384:I384"/>
    <mergeCell ref="W311:AA311"/>
    <mergeCell ref="R382:T382"/>
    <mergeCell ref="C426:F426"/>
    <mergeCell ref="M273:N273"/>
    <mergeCell ref="AB372:AD372"/>
    <mergeCell ref="C428:F428"/>
    <mergeCell ref="M302:N302"/>
    <mergeCell ref="K358:L358"/>
    <mergeCell ref="AB374:AD374"/>
    <mergeCell ref="AB399:AD399"/>
    <mergeCell ref="W452:AA452"/>
    <mergeCell ref="G283:I283"/>
    <mergeCell ref="M299:N299"/>
    <mergeCell ref="G253:G254"/>
    <mergeCell ref="G285:I285"/>
    <mergeCell ref="C454:F454"/>
    <mergeCell ref="M328:N328"/>
    <mergeCell ref="R393:T393"/>
    <mergeCell ref="G397:I397"/>
    <mergeCell ref="AB425:AD425"/>
    <mergeCell ref="W324:AA324"/>
    <mergeCell ref="R401:T401"/>
    <mergeCell ref="R395:T395"/>
    <mergeCell ref="AB296:AD296"/>
    <mergeCell ref="AB427:AD427"/>
    <mergeCell ref="W380:AA380"/>
    <mergeCell ref="O358:Q358"/>
    <mergeCell ref="L51:M51"/>
    <mergeCell ref="M317:N317"/>
    <mergeCell ref="AB298:AD298"/>
    <mergeCell ref="G311:I311"/>
    <mergeCell ref="R396:T396"/>
    <mergeCell ref="AB456:AD456"/>
    <mergeCell ref="W382:AA382"/>
    <mergeCell ref="K430:L430"/>
    <mergeCell ref="U272:V272"/>
    <mergeCell ref="M346:N346"/>
    <mergeCell ref="G296:I296"/>
    <mergeCell ref="M318:N318"/>
    <mergeCell ref="K283:L283"/>
    <mergeCell ref="AB443:AD443"/>
    <mergeCell ref="M312:N312"/>
    <mergeCell ref="R421:T421"/>
    <mergeCell ref="U299:V299"/>
    <mergeCell ref="U274:V274"/>
    <mergeCell ref="M348:N348"/>
    <mergeCell ref="W377:AA377"/>
    <mergeCell ref="K285:L285"/>
    <mergeCell ref="M347:N347"/>
    <mergeCell ref="M314:N314"/>
    <mergeCell ref="R325:T325"/>
    <mergeCell ref="R456:T456"/>
    <mergeCell ref="G451:I451"/>
    <mergeCell ref="G329:I329"/>
    <mergeCell ref="AB438:AD438"/>
    <mergeCell ref="C352:F352"/>
    <mergeCell ref="K272:L272"/>
    <mergeCell ref="R327:T327"/>
    <mergeCell ref="G322:I322"/>
    <mergeCell ref="AB440:AD440"/>
    <mergeCell ref="C381:F381"/>
    <mergeCell ref="W393:AA393"/>
    <mergeCell ref="M374:N374"/>
    <mergeCell ref="K301:L301"/>
    <mergeCell ref="G324:I324"/>
    <mergeCell ref="W395:AA395"/>
    <mergeCell ref="D255:D256"/>
    <mergeCell ref="U327:V327"/>
    <mergeCell ref="K303:L303"/>
    <mergeCell ref="B192:B193"/>
    <mergeCell ref="U335:V335"/>
    <mergeCell ref="K296:L296"/>
    <mergeCell ref="O308:Q308"/>
    <mergeCell ref="G382:I382"/>
    <mergeCell ref="U328:V328"/>
    <mergeCell ref="O397:Q397"/>
    <mergeCell ref="AB368:AD368"/>
    <mergeCell ref="O310:Q310"/>
    <mergeCell ref="R338:T338"/>
    <mergeCell ref="W421:AA421"/>
    <mergeCell ref="O309:Q309"/>
    <mergeCell ref="K354:L354"/>
    <mergeCell ref="AB370:AD370"/>
    <mergeCell ref="AB364:AD364"/>
    <mergeCell ref="G377:I377"/>
    <mergeCell ref="U345:V345"/>
    <mergeCell ref="R340:T340"/>
    <mergeCell ref="O339:Q339"/>
    <mergeCell ref="W448:AA448"/>
    <mergeCell ref="W423:AA423"/>
    <mergeCell ref="C425:F425"/>
    <mergeCell ref="K356:L356"/>
    <mergeCell ref="M418:N418"/>
    <mergeCell ref="W325:AA325"/>
    <mergeCell ref="K349:L349"/>
    <mergeCell ref="U346:V346"/>
    <mergeCell ref="U340:V340"/>
    <mergeCell ref="C450:F450"/>
    <mergeCell ref="M413:N413"/>
    <mergeCell ref="U348:V348"/>
    <mergeCell ref="C452:F452"/>
    <mergeCell ref="W320:AA320"/>
    <mergeCell ref="L20:M20"/>
    <mergeCell ref="G395:I395"/>
    <mergeCell ref="C451:F451"/>
    <mergeCell ref="M415:N415"/>
    <mergeCell ref="C445:F445"/>
    <mergeCell ref="K382:L382"/>
    <mergeCell ref="L22:M22"/>
    <mergeCell ref="C453:F453"/>
    <mergeCell ref="R392:T392"/>
    <mergeCell ref="O322:Q322"/>
    <mergeCell ref="AB383:AD383"/>
    <mergeCell ref="G396:I396"/>
    <mergeCell ref="G390:I390"/>
    <mergeCell ref="U399:V399"/>
    <mergeCell ref="W338:AA338"/>
    <mergeCell ref="K368:L368"/>
    <mergeCell ref="W373:AA373"/>
    <mergeCell ref="C255:C256"/>
    <mergeCell ref="C375:F375"/>
    <mergeCell ref="M339:N339"/>
    <mergeCell ref="K395:L395"/>
    <mergeCell ref="O411:Q411"/>
    <mergeCell ref="C377:F377"/>
    <mergeCell ref="L35:M35"/>
    <mergeCell ref="U427:V427"/>
    <mergeCell ref="G320:I320"/>
    <mergeCell ref="G295:I295"/>
    <mergeCell ref="G409:I409"/>
    <mergeCell ref="U298:V298"/>
    <mergeCell ref="U418:V418"/>
    <mergeCell ref="U412:V412"/>
    <mergeCell ref="O406:Q406"/>
    <mergeCell ref="H264:I264"/>
    <mergeCell ref="M365:N365"/>
    <mergeCell ref="R430:T430"/>
    <mergeCell ref="M373:N373"/>
    <mergeCell ref="R438:T438"/>
    <mergeCell ref="O393:Q393"/>
    <mergeCell ref="K294:L294"/>
    <mergeCell ref="U413:V413"/>
    <mergeCell ref="O423:Q423"/>
    <mergeCell ref="O422:Q422"/>
    <mergeCell ref="K325:L325"/>
    <mergeCell ref="H255:I255"/>
    <mergeCell ref="U438:V438"/>
    <mergeCell ref="R433:T433"/>
    <mergeCell ref="AB449:AD449"/>
    <mergeCell ref="K318:L318"/>
    <mergeCell ref="O424:Q424"/>
    <mergeCell ref="C390:F390"/>
    <mergeCell ref="M383:N383"/>
    <mergeCell ref="U440:V440"/>
    <mergeCell ref="G333:I333"/>
    <mergeCell ref="K320:L320"/>
    <mergeCell ref="U342:V342"/>
    <mergeCell ref="M385:N385"/>
    <mergeCell ref="M384:N384"/>
    <mergeCell ref="U344:V344"/>
    <mergeCell ref="M411:N411"/>
    <mergeCell ref="R364:T364"/>
    <mergeCell ref="G359:I359"/>
    <mergeCell ref="W430:AA430"/>
    <mergeCell ref="W290:AA290"/>
    <mergeCell ref="K338:L338"/>
    <mergeCell ref="O354:Q354"/>
    <mergeCell ref="O348:Q348"/>
    <mergeCell ref="U370:V370"/>
    <mergeCell ref="O320:Q320"/>
    <mergeCell ref="K340:L340"/>
    <mergeCell ref="M437:N437"/>
    <mergeCell ref="K333:L333"/>
    <mergeCell ref="U355:V355"/>
    <mergeCell ref="U365:V365"/>
    <mergeCell ref="K366:L366"/>
    <mergeCell ref="M397:N397"/>
    <mergeCell ref="M310:N310"/>
    <mergeCell ref="L29:M29"/>
    <mergeCell ref="G448:I448"/>
    <mergeCell ref="L4:M4"/>
    <mergeCell ref="O374:Q374"/>
    <mergeCell ref="K391:L391"/>
    <mergeCell ref="W274:AA274"/>
    <mergeCell ref="W301:AA301"/>
    <mergeCell ref="O382:Q382"/>
    <mergeCell ref="L31:M31"/>
    <mergeCell ref="O375:Q375"/>
    <mergeCell ref="M455:N455"/>
    <mergeCell ref="W303:AA303"/>
    <mergeCell ref="K392:L392"/>
    <mergeCell ref="U383:V383"/>
    <mergeCell ref="O377:Q377"/>
    <mergeCell ref="K394:L394"/>
    <mergeCell ref="M450:N450"/>
    <mergeCell ref="U385:V385"/>
    <mergeCell ref="W357:AA357"/>
    <mergeCell ref="L57:M57"/>
    <mergeCell ref="AB276:AD276"/>
    <mergeCell ref="M452:N452"/>
    <mergeCell ref="C304:F304"/>
    <mergeCell ref="AB278:AD278"/>
    <mergeCell ref="L42:M42"/>
    <mergeCell ref="H251:I251"/>
    <mergeCell ref="R429:T429"/>
    <mergeCell ref="O359:Q359"/>
    <mergeCell ref="K404:L404"/>
    <mergeCell ref="G433:I433"/>
    <mergeCell ref="U305:V305"/>
    <mergeCell ref="U436:V436"/>
    <mergeCell ref="R431:T431"/>
    <mergeCell ref="M292:N292"/>
    <mergeCell ref="K316:L316"/>
    <mergeCell ref="U313:V313"/>
    <mergeCell ref="H246:I246"/>
    <mergeCell ref="U307:V307"/>
    <mergeCell ref="K405:L405"/>
    <mergeCell ref="C330:F330"/>
    <mergeCell ref="M380:N380"/>
    <mergeCell ref="U437:V437"/>
    <mergeCell ref="H248:I248"/>
    <mergeCell ref="K407:L407"/>
    <mergeCell ref="AB418:AD418"/>
    <mergeCell ref="C332:F332"/>
    <mergeCell ref="I59:J59"/>
    <mergeCell ref="O446:Q446"/>
    <mergeCell ref="M382:N382"/>
    <mergeCell ref="AB420:AD420"/>
    <mergeCell ref="O448:Q448"/>
    <mergeCell ref="AB291:AD291"/>
    <mergeCell ref="U447:V447"/>
    <mergeCell ref="R302:T302"/>
    <mergeCell ref="U455:V455"/>
    <mergeCell ref="U449:V449"/>
    <mergeCell ref="C343:F343"/>
    <mergeCell ref="K331:L331"/>
    <mergeCell ref="M393:N393"/>
    <mergeCell ref="R291:T291"/>
    <mergeCell ref="U450:V450"/>
    <mergeCell ref="C345:F345"/>
    <mergeCell ref="R284:T284"/>
    <mergeCell ref="W299:AA299"/>
    <mergeCell ref="C272:F272"/>
    <mergeCell ref="K357:L357"/>
    <mergeCell ref="O373:Q373"/>
    <mergeCell ref="M421:N421"/>
    <mergeCell ref="O301:Q301"/>
    <mergeCell ref="AB362:AD362"/>
    <mergeCell ref="W302:AA302"/>
    <mergeCell ref="C275:F275"/>
    <mergeCell ref="L55:M55"/>
    <mergeCell ref="O389:Q389"/>
    <mergeCell ref="C427:F427"/>
    <mergeCell ref="AB363:AD363"/>
    <mergeCell ref="W327:AA327"/>
    <mergeCell ref="O391:Q391"/>
    <mergeCell ref="O357:Q357"/>
    <mergeCell ref="K401:L401"/>
    <mergeCell ref="W284:AA284"/>
    <mergeCell ref="R399:T399"/>
    <mergeCell ref="G272:I272"/>
    <mergeCell ref="C295:F295"/>
    <mergeCell ref="C409:F409"/>
    <mergeCell ref="K403:L403"/>
    <mergeCell ref="C328:F328"/>
    <mergeCell ref="U276:V276"/>
    <mergeCell ref="AB287:AD287"/>
    <mergeCell ref="C323:F323"/>
    <mergeCell ref="U278:V278"/>
    <mergeCell ref="W340:AA340"/>
    <mergeCell ref="AB289:AD289"/>
    <mergeCell ref="G302:I302"/>
    <mergeCell ref="K307:L307"/>
    <mergeCell ref="K429:L429"/>
    <mergeCell ref="K431:L431"/>
    <mergeCell ref="R412:T412"/>
    <mergeCell ref="AB313:AD313"/>
    <mergeCell ref="U446:V446"/>
    <mergeCell ref="AB444:AD444"/>
    <mergeCell ref="C341:F341"/>
    <mergeCell ref="AB321:AD321"/>
    <mergeCell ref="AB315:AD315"/>
    <mergeCell ref="G328:I328"/>
    <mergeCell ref="U448:V448"/>
    <mergeCell ref="O430:Q430"/>
    <mergeCell ref="K447:L447"/>
    <mergeCell ref="C370:F370"/>
    <mergeCell ref="M363:N363"/>
    <mergeCell ref="W392:AA392"/>
    <mergeCell ref="AB316:AD316"/>
    <mergeCell ref="M329:N329"/>
    <mergeCell ref="W394:AA394"/>
    <mergeCell ref="K442:L442"/>
    <mergeCell ref="C367:F367"/>
    <mergeCell ref="R342:T342"/>
    <mergeCell ref="O272:Q272"/>
    <mergeCell ref="AB455:AD455"/>
    <mergeCell ref="C369:F369"/>
    <mergeCell ref="C396:F396"/>
    <mergeCell ref="R344:T344"/>
    <mergeCell ref="AB326:AD326"/>
    <mergeCell ref="O299:Q299"/>
    <mergeCell ref="O274:Q274"/>
    <mergeCell ref="C398:F398"/>
    <mergeCell ref="R337:T337"/>
    <mergeCell ref="G341:I341"/>
    <mergeCell ref="K284:L284"/>
    <mergeCell ref="W412:AA412"/>
    <mergeCell ref="R339:T339"/>
    <mergeCell ref="K372:L372"/>
    <mergeCell ref="R326:T326"/>
    <mergeCell ref="M430:N430"/>
    <mergeCell ref="O327:Q327"/>
    <mergeCell ref="M290:N290"/>
    <mergeCell ref="C293:F293"/>
    <mergeCell ref="R355:T355"/>
    <mergeCell ref="AB387:AD387"/>
    <mergeCell ref="R357:T357"/>
    <mergeCell ref="O356:Q356"/>
    <mergeCell ref="C294:F294"/>
    <mergeCell ref="W336:AA336"/>
    <mergeCell ref="G273:I273"/>
    <mergeCell ref="AB382:AD382"/>
    <mergeCell ref="U363:V363"/>
    <mergeCell ref="M272:N272"/>
    <mergeCell ref="W337:AA337"/>
    <mergeCell ref="R383:T383"/>
    <mergeCell ref="M274:N274"/>
    <mergeCell ref="O338:Q338"/>
    <mergeCell ref="W339:AA339"/>
    <mergeCell ref="R410:T410"/>
    <mergeCell ref="C312:F312"/>
    <mergeCell ref="O340:Q340"/>
    <mergeCell ref="R287:T287"/>
    <mergeCell ref="AB400:AD400"/>
    <mergeCell ref="G413:I413"/>
    <mergeCell ref="G407:I407"/>
    <mergeCell ref="W364:AA364"/>
    <mergeCell ref="P159:Q159"/>
    <mergeCell ref="R411:T411"/>
    <mergeCell ref="G284:I284"/>
    <mergeCell ref="C307:F307"/>
    <mergeCell ref="AB402:AD402"/>
    <mergeCell ref="G415:I415"/>
    <mergeCell ref="M300:N300"/>
    <mergeCell ref="W355:AA355"/>
    <mergeCell ref="U287:V287"/>
    <mergeCell ref="R282:T282"/>
    <mergeCell ref="U289:V289"/>
    <mergeCell ref="U411:V411"/>
    <mergeCell ref="R307:T307"/>
    <mergeCell ref="K440:L440"/>
    <mergeCell ref="AB426:AD426"/>
    <mergeCell ref="W350:AA350"/>
    <mergeCell ref="C392:F392"/>
    <mergeCell ref="M356:N356"/>
    <mergeCell ref="AB453:AD453"/>
    <mergeCell ref="C394:F394"/>
    <mergeCell ref="R308:T308"/>
    <mergeCell ref="AB330:AD330"/>
    <mergeCell ref="G337:I337"/>
    <mergeCell ref="R422:T422"/>
    <mergeCell ref="K280:L280"/>
    <mergeCell ref="W408:AA408"/>
    <mergeCell ref="U315:V315"/>
    <mergeCell ref="R335:T335"/>
    <mergeCell ref="R310:T310"/>
    <mergeCell ref="H253:I254"/>
    <mergeCell ref="G339:I339"/>
    <mergeCell ref="M372:N372"/>
    <mergeCell ref="K309:L309"/>
    <mergeCell ref="W403:AA403"/>
    <mergeCell ref="R449:T449"/>
    <mergeCell ref="C376:F376"/>
    <mergeCell ref="W434:AA434"/>
    <mergeCell ref="C378:F378"/>
    <mergeCell ref="O439:Q439"/>
    <mergeCell ref="AB352:AD352"/>
    <mergeCell ref="G365:I365"/>
    <mergeCell ref="W305:AA305"/>
    <mergeCell ref="C407:F407"/>
    <mergeCell ref="U326:V326"/>
    <mergeCell ref="M400:N400"/>
    <mergeCell ref="G350:I350"/>
    <mergeCell ref="W307:AA307"/>
    <mergeCell ref="W429:AA429"/>
    <mergeCell ref="AB353:AD353"/>
    <mergeCell ref="R348:T348"/>
    <mergeCell ref="W437:AA437"/>
    <mergeCell ref="W431:AA431"/>
    <mergeCell ref="U361:V361"/>
    <mergeCell ref="R379:T379"/>
    <mergeCell ref="W422:AA422"/>
    <mergeCell ref="U354:V354"/>
    <mergeCell ref="C433:F433"/>
    <mergeCell ref="W335:AA335"/>
    <mergeCell ref="R381:T381"/>
    <mergeCell ref="G376:I376"/>
    <mergeCell ref="O336:Q336"/>
    <mergeCell ref="U356:V356"/>
    <mergeCell ref="W447:AA447"/>
    <mergeCell ref="R380:T380"/>
    <mergeCell ref="C435:F435"/>
    <mergeCell ref="R374:T374"/>
    <mergeCell ref="K355:L355"/>
    <mergeCell ref="G378:I378"/>
    <mergeCell ref="O365:Q365"/>
    <mergeCell ref="W449:AA449"/>
    <mergeCell ref="O337:Q337"/>
    <mergeCell ref="G411:I411"/>
    <mergeCell ref="O331:Q331"/>
    <mergeCell ref="M296:N296"/>
    <mergeCell ref="W442:AA442"/>
    <mergeCell ref="O366:Q366"/>
    <mergeCell ref="M298:N298"/>
    <mergeCell ref="M325:N325"/>
    <mergeCell ref="M456:N456"/>
    <mergeCell ref="G406:I406"/>
    <mergeCell ref="W346:AA346"/>
    <mergeCell ref="G307:I307"/>
    <mergeCell ref="M327:N327"/>
    <mergeCell ref="L46:M46"/>
    <mergeCell ref="O363:Q363"/>
    <mergeCell ref="AB424:AD424"/>
    <mergeCell ref="G437:I437"/>
    <mergeCell ref="W348:AA348"/>
    <mergeCell ref="O355:Q355"/>
    <mergeCell ref="L48:M48"/>
    <mergeCell ref="AB295:AD295"/>
    <mergeCell ref="G308:I308"/>
    <mergeCell ref="G422:I422"/>
    <mergeCell ref="U311:V311"/>
    <mergeCell ref="R306:T306"/>
    <mergeCell ref="K281:L281"/>
    <mergeCell ref="G310:I310"/>
    <mergeCell ref="U400:V400"/>
    <mergeCell ref="R420:T420"/>
    <mergeCell ref="W372:AA372"/>
    <mergeCell ref="L43:M43"/>
    <mergeCell ref="H252:I252"/>
    <mergeCell ref="K411:L411"/>
    <mergeCell ref="W374:AA374"/>
    <mergeCell ref="U306:V306"/>
    <mergeCell ref="K282:L282"/>
    <mergeCell ref="U297:V297"/>
    <mergeCell ref="M340:N340"/>
    <mergeCell ref="O404:Q404"/>
    <mergeCell ref="R446:T446"/>
    <mergeCell ref="O323:Q323"/>
    <mergeCell ref="G450:I450"/>
    <mergeCell ref="O437:Q437"/>
    <mergeCell ref="R448:T448"/>
    <mergeCell ref="G452:I452"/>
    <mergeCell ref="U330:V330"/>
    <mergeCell ref="H263:I263"/>
    <mergeCell ref="U324:V324"/>
    <mergeCell ref="R319:T319"/>
    <mergeCell ref="K422:L422"/>
    <mergeCell ref="W427:AA427"/>
    <mergeCell ref="K335:L335"/>
    <mergeCell ref="H265:I265"/>
    <mergeCell ref="W298:AA298"/>
    <mergeCell ref="O305:Q305"/>
    <mergeCell ref="U325:V325"/>
    <mergeCell ref="M399:N399"/>
    <mergeCell ref="G372:I372"/>
    <mergeCell ref="O307:Q307"/>
    <mergeCell ref="C431:F431"/>
    <mergeCell ref="K351:L351"/>
    <mergeCell ref="G380:I380"/>
    <mergeCell ref="O300:Q300"/>
    <mergeCell ref="G374:I374"/>
    <mergeCell ref="W445:AA445"/>
    <mergeCell ref="C432:F432"/>
    <mergeCell ref="K346:L346"/>
    <mergeCell ref="G375:I375"/>
    <mergeCell ref="U343:V343"/>
    <mergeCell ref="W446:AA446"/>
    <mergeCell ref="W440:AA440"/>
    <mergeCell ref="K348:L348"/>
    <mergeCell ref="D245:G245"/>
    <mergeCell ref="C273:F273"/>
    <mergeCell ref="W317:AA317"/>
    <mergeCell ref="L17:M17"/>
    <mergeCell ref="U338:V338"/>
    <mergeCell ref="M412:N412"/>
    <mergeCell ref="C442:F442"/>
    <mergeCell ref="L19:M19"/>
    <mergeCell ref="C414:F414"/>
    <mergeCell ref="R389:T389"/>
    <mergeCell ref="L12:M12"/>
    <mergeCell ref="G393:I393"/>
    <mergeCell ref="K374:L374"/>
    <mergeCell ref="U396:V396"/>
    <mergeCell ref="R385:T385"/>
    <mergeCell ref="L39:M39"/>
    <mergeCell ref="L14:M14"/>
    <mergeCell ref="K276:L276"/>
    <mergeCell ref="U398:V398"/>
    <mergeCell ref="K278:L278"/>
    <mergeCell ref="U391:V391"/>
    <mergeCell ref="C286:F286"/>
    <mergeCell ref="M336:N336"/>
    <mergeCell ref="O372:Q372"/>
    <mergeCell ref="G446:I446"/>
    <mergeCell ref="O408:Q408"/>
    <mergeCell ref="O402:Q402"/>
    <mergeCell ref="O401:Q401"/>
    <mergeCell ref="K418:L418"/>
    <mergeCell ref="U409:V409"/>
    <mergeCell ref="O403:Q403"/>
    <mergeCell ref="H261:I261"/>
    <mergeCell ref="M362:N362"/>
    <mergeCell ref="K420:L420"/>
    <mergeCell ref="U321:V321"/>
    <mergeCell ref="M364:N364"/>
    <mergeCell ref="K291:L291"/>
    <mergeCell ref="U323:V323"/>
    <mergeCell ref="W385:AA385"/>
    <mergeCell ref="AB304:AD304"/>
    <mergeCell ref="O421:Q421"/>
    <mergeCell ref="K446:L446"/>
    <mergeCell ref="O456:Q456"/>
    <mergeCell ref="K317:L317"/>
    <mergeCell ref="C64:H64"/>
    <mergeCell ref="K448:L448"/>
    <mergeCell ref="K319:L319"/>
    <mergeCell ref="G373:I373"/>
    <mergeCell ref="C358:F358"/>
    <mergeCell ref="D2:D3"/>
    <mergeCell ref="R272:T272"/>
    <mergeCell ref="U334:V334"/>
    <mergeCell ref="AB332:AD332"/>
    <mergeCell ref="O447:Q447"/>
    <mergeCell ref="C351:F351"/>
    <mergeCell ref="U336:V336"/>
    <mergeCell ref="L8:M8"/>
    <mergeCell ref="K370:L370"/>
    <mergeCell ref="W280:AA280"/>
    <mergeCell ref="L10:M10"/>
    <mergeCell ref="C384:F384"/>
    <mergeCell ref="C441:F441"/>
    <mergeCell ref="M434:N434"/>
    <mergeCell ref="U362:V362"/>
    <mergeCell ref="M436:N436"/>
    <mergeCell ref="AB343:AD343"/>
    <mergeCell ref="K373:L373"/>
    <mergeCell ref="U364:V364"/>
    <mergeCell ref="R354:T354"/>
    <mergeCell ref="AB345:AD345"/>
    <mergeCell ref="K388:L388"/>
    <mergeCell ref="R356:T356"/>
    <mergeCell ref="C283:F283"/>
    <mergeCell ref="M276:N276"/>
    <mergeCell ref="W300:AA300"/>
    <mergeCell ref="C285:F285"/>
    <mergeCell ref="W272:AA272"/>
    <mergeCell ref="K389:L389"/>
    <mergeCell ref="K383:L383"/>
    <mergeCell ref="M278:N278"/>
    <mergeCell ref="O399:Q399"/>
    <mergeCell ref="L23:M23"/>
    <mergeCell ref="K385:L385"/>
    <mergeCell ref="M447:N447"/>
    <mergeCell ref="R372:T372"/>
    <mergeCell ref="P160:Q160"/>
    <mergeCell ref="L54:M54"/>
    <mergeCell ref="U444:V444"/>
    <mergeCell ref="C309:F309"/>
    <mergeCell ref="M449:N449"/>
    <mergeCell ref="C301:F301"/>
    <mergeCell ref="L56:M56"/>
    <mergeCell ref="AB275:AD275"/>
    <mergeCell ref="K386:L386"/>
    <mergeCell ref="C311:F311"/>
    <mergeCell ref="U402:V402"/>
    <mergeCell ref="R426:T426"/>
    <mergeCell ref="C303:F303"/>
    <mergeCell ref="L49:M49"/>
    <mergeCell ref="G430:I430"/>
    <mergeCell ref="AB277:AD277"/>
    <mergeCell ref="U433:V433"/>
    <mergeCell ref="O427:Q427"/>
    <mergeCell ref="K444:L444"/>
    <mergeCell ref="W354:AA354"/>
    <mergeCell ref="U435:V435"/>
    <mergeCell ref="M291:N291"/>
    <mergeCell ref="O412:Q412"/>
    <mergeCell ref="U434:V434"/>
    <mergeCell ref="U428:V428"/>
    <mergeCell ref="W356:AA356"/>
    <mergeCell ref="AB328:AD328"/>
    <mergeCell ref="O443:Q443"/>
    <mergeCell ref="R298:T298"/>
    <mergeCell ref="C322:F322"/>
    <mergeCell ref="AB417:AD417"/>
    <mergeCell ref="R297:T297"/>
    <mergeCell ref="O445:Q445"/>
    <mergeCell ref="AB288:AD288"/>
    <mergeCell ref="G301:I301"/>
    <mergeCell ref="C349:F349"/>
    <mergeCell ref="C324:F324"/>
    <mergeCell ref="AB419:AD419"/>
    <mergeCell ref="O438:Q438"/>
    <mergeCell ref="U304:V304"/>
    <mergeCell ref="R299:T299"/>
    <mergeCell ref="G303:I303"/>
    <mergeCell ref="K455:L455"/>
    <mergeCell ref="O440:Q440"/>
    <mergeCell ref="W278:AA278"/>
    <mergeCell ref="R296:T296"/>
    <mergeCell ref="U358:V358"/>
    <mergeCell ref="C411:F411"/>
    <mergeCell ref="U360:V360"/>
    <mergeCell ref="AB347:AD347"/>
    <mergeCell ref="O280:Q280"/>
    <mergeCell ref="AB341:AD341"/>
    <mergeCell ref="G354:I354"/>
    <mergeCell ref="O282:Q282"/>
    <mergeCell ref="G356:I356"/>
    <mergeCell ref="W296:AA296"/>
    <mergeCell ref="C406:F406"/>
    <mergeCell ref="AB342:AD342"/>
    <mergeCell ref="G349:I349"/>
    <mergeCell ref="W306:AA306"/>
    <mergeCell ref="O370:Q370"/>
    <mergeCell ref="W420:AA420"/>
    <mergeCell ref="AB344:AD344"/>
    <mergeCell ref="C393:F393"/>
    <mergeCell ref="W297:AA297"/>
    <mergeCell ref="W291:AA291"/>
    <mergeCell ref="R368:T368"/>
    <mergeCell ref="C422:F422"/>
    <mergeCell ref="U371:V371"/>
    <mergeCell ref="AB369:AD369"/>
    <mergeCell ref="C388:F388"/>
    <mergeCell ref="C424:F424"/>
    <mergeCell ref="R363:T363"/>
    <mergeCell ref="L47:M47"/>
    <mergeCell ref="W319:AA319"/>
    <mergeCell ref="M287:N287"/>
    <mergeCell ref="C325:F325"/>
    <mergeCell ref="G423:I423"/>
    <mergeCell ref="R391:T391"/>
    <mergeCell ref="C318:F318"/>
    <mergeCell ref="M282:N282"/>
    <mergeCell ref="AB388:AD388"/>
    <mergeCell ref="AB413:AD413"/>
    <mergeCell ref="G297:I297"/>
    <mergeCell ref="C320:F320"/>
    <mergeCell ref="AB415:AD415"/>
    <mergeCell ref="M313:N313"/>
    <mergeCell ref="C356:F356"/>
    <mergeCell ref="G299:I299"/>
    <mergeCell ref="AB408:AD408"/>
    <mergeCell ref="G293:I293"/>
    <mergeCell ref="K426:L426"/>
    <mergeCell ref="M342:N342"/>
    <mergeCell ref="G292:I292"/>
    <mergeCell ref="AB410:AD410"/>
    <mergeCell ref="K428:L428"/>
    <mergeCell ref="M308:N308"/>
    <mergeCell ref="W363:AA363"/>
    <mergeCell ref="AB439:AD439"/>
    <mergeCell ref="M344:N344"/>
    <mergeCell ref="R409:T409"/>
    <mergeCell ref="G294:I294"/>
    <mergeCell ref="AB441:AD441"/>
    <mergeCell ref="C338:F338"/>
    <mergeCell ref="R321:T321"/>
    <mergeCell ref="AB312:AD312"/>
    <mergeCell ref="G325:I325"/>
    <mergeCell ref="AB434:AD434"/>
    <mergeCell ref="R404:T404"/>
    <mergeCell ref="C340:F340"/>
    <mergeCell ref="R323:T323"/>
    <mergeCell ref="G318:I318"/>
    <mergeCell ref="O278:Q278"/>
    <mergeCell ref="AB314:AD314"/>
    <mergeCell ref="AB436:AD436"/>
    <mergeCell ref="W389:AA389"/>
    <mergeCell ref="C333:F333"/>
    <mergeCell ref="K297:L297"/>
    <mergeCell ref="M326:N326"/>
    <mergeCell ref="AB307:AD307"/>
    <mergeCell ref="U288:V288"/>
    <mergeCell ref="W391:AA391"/>
    <mergeCell ref="K299:L299"/>
    <mergeCell ref="K293:L293"/>
    <mergeCell ref="O449:Q449"/>
    <mergeCell ref="M355:N355"/>
    <mergeCell ref="M357:N357"/>
    <mergeCell ref="R305:T305"/>
    <mergeCell ref="O296:Q296"/>
    <mergeCell ref="C359:F359"/>
    <mergeCell ref="AB454:AD454"/>
    <mergeCell ref="C420:F420"/>
    <mergeCell ref="C395:F395"/>
    <mergeCell ref="O306:Q306"/>
    <mergeCell ref="R334:T334"/>
    <mergeCell ref="G363:I363"/>
    <mergeCell ref="G338:I338"/>
    <mergeCell ref="AB366:AD366"/>
    <mergeCell ref="O297:Q297"/>
    <mergeCell ref="R336:T336"/>
    <mergeCell ref="O335:Q335"/>
    <mergeCell ref="G340:I340"/>
    <mergeCell ref="AB351:AD351"/>
    <mergeCell ref="W321:AA321"/>
    <mergeCell ref="W315:AA315"/>
    <mergeCell ref="W404:AA404"/>
    <mergeCell ref="G366:I366"/>
    <mergeCell ref="W323:AA323"/>
    <mergeCell ref="C448:F448"/>
    <mergeCell ref="AB384:AD384"/>
    <mergeCell ref="O317:Q317"/>
    <mergeCell ref="AB378:AD378"/>
    <mergeCell ref="G391:I391"/>
    <mergeCell ref="D260:E260"/>
    <mergeCell ref="M289:N289"/>
    <mergeCell ref="C439:F439"/>
    <mergeCell ref="O325:Q325"/>
    <mergeCell ref="O319:Q319"/>
    <mergeCell ref="W333:AA333"/>
    <mergeCell ref="C405:F405"/>
    <mergeCell ref="K363:L363"/>
    <mergeCell ref="AB379:AD379"/>
    <mergeCell ref="G392:I392"/>
    <mergeCell ref="G386:I386"/>
    <mergeCell ref="K365:L365"/>
    <mergeCell ref="AB381:AD381"/>
    <mergeCell ref="G394:I394"/>
    <mergeCell ref="W334:AA334"/>
    <mergeCell ref="M315:N315"/>
    <mergeCell ref="M429:N429"/>
    <mergeCell ref="AB437:AD437"/>
    <mergeCell ref="L30:M30"/>
    <mergeCell ref="G321:I321"/>
    <mergeCell ref="M335:N335"/>
    <mergeCell ref="R400:T400"/>
    <mergeCell ref="AB397:AD397"/>
    <mergeCell ref="G404:I404"/>
    <mergeCell ref="AB432:AD432"/>
    <mergeCell ref="R408:T408"/>
    <mergeCell ref="C373:F373"/>
    <mergeCell ref="R402:T402"/>
    <mergeCell ref="AB309:AD309"/>
    <mergeCell ref="M322:N322"/>
    <mergeCell ref="G316:I316"/>
    <mergeCell ref="U284:V284"/>
    <mergeCell ref="W387:AA387"/>
    <mergeCell ref="G405:I405"/>
    <mergeCell ref="M324:N324"/>
    <mergeCell ref="M351:N351"/>
    <mergeCell ref="U286:V286"/>
    <mergeCell ref="U408:V408"/>
    <mergeCell ref="C360:F360"/>
    <mergeCell ref="U279:V279"/>
    <mergeCell ref="M353:N353"/>
    <mergeCell ref="U410:V410"/>
    <mergeCell ref="R434:T434"/>
    <mergeCell ref="R428:T428"/>
    <mergeCell ref="K290:L290"/>
    <mergeCell ref="AB450:AD450"/>
    <mergeCell ref="M319:N319"/>
    <mergeCell ref="C355:F355"/>
    <mergeCell ref="U281:V281"/>
    <mergeCell ref="C391:F391"/>
    <mergeCell ref="O302:Q302"/>
    <mergeCell ref="R436:T436"/>
    <mergeCell ref="G334:I334"/>
    <mergeCell ref="AB452:AD452"/>
    <mergeCell ref="M354:N354"/>
    <mergeCell ref="C357:F357"/>
    <mergeCell ref="K321:L321"/>
    <mergeCell ref="O418:Q418"/>
    <mergeCell ref="AB451:AD451"/>
    <mergeCell ref="AB445:AD445"/>
    <mergeCell ref="G336:I336"/>
    <mergeCell ref="O420:Q420"/>
    <mergeCell ref="C386:F386"/>
    <mergeCell ref="K323:L323"/>
    <mergeCell ref="K279:L279"/>
    <mergeCell ref="M379:N379"/>
    <mergeCell ref="U339:V339"/>
    <mergeCell ref="W400:AA400"/>
    <mergeCell ref="M381:N381"/>
    <mergeCell ref="K308:L308"/>
    <mergeCell ref="G331:I331"/>
    <mergeCell ref="K274:L274"/>
    <mergeCell ref="W402:AA402"/>
    <mergeCell ref="W401:AA401"/>
    <mergeCell ref="O349:Q349"/>
    <mergeCell ref="R447:T447"/>
    <mergeCell ref="M338:N338"/>
    <mergeCell ref="K305:L305"/>
    <mergeCell ref="O321:Q321"/>
    <mergeCell ref="O315:Q315"/>
    <mergeCell ref="W426:AA426"/>
    <mergeCell ref="K334:L334"/>
    <mergeCell ref="G357:I357"/>
    <mergeCell ref="O344:Q344"/>
    <mergeCell ref="K300:L300"/>
    <mergeCell ref="W428:AA428"/>
    <mergeCell ref="O316:Q316"/>
    <mergeCell ref="K361:L361"/>
    <mergeCell ref="K336:L336"/>
    <mergeCell ref="U352:V352"/>
    <mergeCell ref="U351:V351"/>
    <mergeCell ref="M425:N425"/>
    <mergeCell ref="E255:E256"/>
    <mergeCell ref="U353:V353"/>
    <mergeCell ref="M427:N427"/>
    <mergeCell ref="W456:AA456"/>
    <mergeCell ref="M306:N306"/>
    <mergeCell ref="R371:T371"/>
    <mergeCell ref="O326:Q326"/>
    <mergeCell ref="M420:N420"/>
    <mergeCell ref="O334:Q334"/>
    <mergeCell ref="L27:M27"/>
    <mergeCell ref="O364:Q364"/>
    <mergeCell ref="M451:N451"/>
    <mergeCell ref="G401:I401"/>
    <mergeCell ref="M295:N295"/>
    <mergeCell ref="U379:V379"/>
    <mergeCell ref="M453:N453"/>
    <mergeCell ref="AB390:AD390"/>
    <mergeCell ref="G403:I403"/>
    <mergeCell ref="M446:N446"/>
    <mergeCell ref="U406:V406"/>
    <mergeCell ref="U381:V381"/>
    <mergeCell ref="B157:B158"/>
    <mergeCell ref="G432:I432"/>
    <mergeCell ref="AB421:AD421"/>
    <mergeCell ref="G428:I428"/>
    <mergeCell ref="M448:N448"/>
    <mergeCell ref="L45:M45"/>
    <mergeCell ref="R432:T432"/>
    <mergeCell ref="AB414:AD414"/>
    <mergeCell ref="O362:Q362"/>
    <mergeCell ref="L38:M38"/>
    <mergeCell ref="C302:F302"/>
    <mergeCell ref="AB416:AD416"/>
    <mergeCell ref="G429:I429"/>
    <mergeCell ref="O385:Q385"/>
    <mergeCell ref="L40:M40"/>
    <mergeCell ref="G421:I421"/>
    <mergeCell ref="H249:I249"/>
    <mergeCell ref="U432:V432"/>
    <mergeCell ref="R427:T427"/>
    <mergeCell ref="G300:I300"/>
    <mergeCell ref="K408:L408"/>
    <mergeCell ref="K402:L402"/>
    <mergeCell ref="G431:I431"/>
    <mergeCell ref="W371:AA371"/>
    <mergeCell ref="U303:V303"/>
    <mergeCell ref="M377:N377"/>
    <mergeCell ref="U425:V425"/>
    <mergeCell ref="R443:T443"/>
    <mergeCell ref="G447:I447"/>
    <mergeCell ref="R445:T445"/>
    <mergeCell ref="O444:Q444"/>
    <mergeCell ref="K330:L330"/>
    <mergeCell ref="W424:AA424"/>
    <mergeCell ref="G442:I442"/>
    <mergeCell ref="K332:L332"/>
    <mergeCell ref="U451:V451"/>
    <mergeCell ref="H262:I262"/>
    <mergeCell ref="U445:V445"/>
    <mergeCell ref="K421:L421"/>
    <mergeCell ref="U322:V322"/>
    <mergeCell ref="K456:L456"/>
    <mergeCell ref="M396:N396"/>
    <mergeCell ref="U453:V453"/>
    <mergeCell ref="M390:N390"/>
    <mergeCell ref="W425:AA425"/>
    <mergeCell ref="K327:L327"/>
    <mergeCell ref="M389:N389"/>
    <mergeCell ref="AB305:AD305"/>
    <mergeCell ref="G371:I371"/>
    <mergeCell ref="R280:T280"/>
    <mergeCell ref="M391:N391"/>
    <mergeCell ref="O455:Q455"/>
    <mergeCell ref="C423:F423"/>
    <mergeCell ref="K343:L343"/>
    <mergeCell ref="AB359:AD359"/>
    <mergeCell ref="W443:AA443"/>
    <mergeCell ref="U375:V375"/>
    <mergeCell ref="K345:L345"/>
    <mergeCell ref="U377:V377"/>
    <mergeCell ref="M409:N409"/>
    <mergeCell ref="M444:N444"/>
    <mergeCell ref="O386:Q386"/>
    <mergeCell ref="O352:Q352"/>
    <mergeCell ref="L9:M9"/>
    <mergeCell ref="M404:N404"/>
    <mergeCell ref="W279:AA279"/>
    <mergeCell ref="K371:L371"/>
    <mergeCell ref="G425:I425"/>
    <mergeCell ref="O387:Q387"/>
    <mergeCell ref="O381:Q381"/>
    <mergeCell ref="L11:M11"/>
    <mergeCell ref="AB361:AD361"/>
    <mergeCell ref="O353:Q353"/>
    <mergeCell ref="K398:L398"/>
    <mergeCell ref="U388:V388"/>
    <mergeCell ref="G456:I456"/>
    <mergeCell ref="K399:L399"/>
    <mergeCell ref="U390:V390"/>
    <mergeCell ref="U302:V302"/>
    <mergeCell ref="C284:F284"/>
    <mergeCell ref="O371:Q371"/>
    <mergeCell ref="AB283:AD283"/>
    <mergeCell ref="G438:I438"/>
    <mergeCell ref="AB285:AD285"/>
    <mergeCell ref="O400:Q400"/>
    <mergeCell ref="H258:I258"/>
    <mergeCell ref="U416:V416"/>
    <mergeCell ref="K417:L417"/>
    <mergeCell ref="G440:I440"/>
    <mergeCell ref="K427:L427"/>
    <mergeCell ref="K298:L298"/>
    <mergeCell ref="AB301:AD301"/>
    <mergeCell ref="K412:L412"/>
    <mergeCell ref="C337:F337"/>
    <mergeCell ref="R276:T276"/>
    <mergeCell ref="O451:Q451"/>
    <mergeCell ref="AB311:AD311"/>
    <mergeCell ref="AB303:AD303"/>
    <mergeCell ref="K443:L443"/>
    <mergeCell ref="C339:F339"/>
    <mergeCell ref="C366:F366"/>
    <mergeCell ref="O453:Q453"/>
    <mergeCell ref="O428:Q428"/>
    <mergeCell ref="G309:I309"/>
    <mergeCell ref="K445:L445"/>
    <mergeCell ref="K438:L438"/>
    <mergeCell ref="U454:V454"/>
    <mergeCell ref="J192:J193"/>
    <mergeCell ref="AB322:AD322"/>
    <mergeCell ref="C350:F350"/>
    <mergeCell ref="M343:N343"/>
    <mergeCell ref="AB324:AD324"/>
    <mergeCell ref="K367:L367"/>
    <mergeCell ref="L7:M7"/>
    <mergeCell ref="O290:Q290"/>
    <mergeCell ref="K369:L369"/>
    <mergeCell ref="R322:T322"/>
    <mergeCell ref="U359:V359"/>
    <mergeCell ref="M433:N433"/>
    <mergeCell ref="W281:AA281"/>
    <mergeCell ref="K364:L364"/>
    <mergeCell ref="M426:N426"/>
    <mergeCell ref="R351:T351"/>
    <mergeCell ref="R317:T317"/>
    <mergeCell ref="M428:N428"/>
    <mergeCell ref="R353:T353"/>
    <mergeCell ref="C280:F280"/>
    <mergeCell ref="C274:F274"/>
    <mergeCell ref="C282:F282"/>
    <mergeCell ref="AB272:AD272"/>
    <mergeCell ref="R406:T406"/>
    <mergeCell ref="G279:I279"/>
    <mergeCell ref="C308:F308"/>
    <mergeCell ref="R283:T283"/>
    <mergeCell ref="R277:T277"/>
    <mergeCell ref="AB396:AD396"/>
    <mergeCell ref="F253:F254"/>
    <mergeCell ref="G281:I281"/>
    <mergeCell ref="C310:F310"/>
    <mergeCell ref="K439:L439"/>
    <mergeCell ref="G280:I280"/>
    <mergeCell ref="G274:I274"/>
    <mergeCell ref="AB398:AD398"/>
    <mergeCell ref="K441:L441"/>
    <mergeCell ref="W351:AA351"/>
    <mergeCell ref="U283:V283"/>
    <mergeCell ref="R278:T278"/>
    <mergeCell ref="M288:N288"/>
    <mergeCell ref="G282:I282"/>
    <mergeCell ref="K434:L434"/>
    <mergeCell ref="W353:AA353"/>
    <mergeCell ref="U285:V285"/>
    <mergeCell ref="AB325:AD325"/>
    <mergeCell ref="K436:L436"/>
    <mergeCell ref="R425:T425"/>
    <mergeCell ref="R419:T419"/>
    <mergeCell ref="C346:F346"/>
    <mergeCell ref="AB320:AD320"/>
    <mergeCell ref="R418:T418"/>
    <mergeCell ref="AB409:AD409"/>
    <mergeCell ref="C348:F348"/>
    <mergeCell ref="G335:I335"/>
    <mergeCell ref="W275:AA275"/>
    <mergeCell ref="W406:AA406"/>
    <mergeCell ref="K454:L454"/>
    <mergeCell ref="U296:V296"/>
    <mergeCell ref="M370:N370"/>
    <mergeCell ref="W277:AA277"/>
    <mergeCell ref="W399:AA399"/>
    <mergeCell ref="AB323:AD323"/>
    <mergeCell ref="C372:F372"/>
    <mergeCell ref="W276:AA276"/>
    <mergeCell ref="R347:T347"/>
    <mergeCell ref="K449:L449"/>
    <mergeCell ref="AB338:AD338"/>
    <mergeCell ref="G351:I351"/>
    <mergeCell ref="C374:F374"/>
    <mergeCell ref="C401:F401"/>
    <mergeCell ref="R288:T288"/>
    <mergeCell ref="R349:T349"/>
    <mergeCell ref="R324:T324"/>
    <mergeCell ref="O279:Q279"/>
    <mergeCell ref="AB340:AD340"/>
    <mergeCell ref="C403:F403"/>
    <mergeCell ref="G346:I346"/>
    <mergeCell ref="AB333:AD333"/>
    <mergeCell ref="O281:Q281"/>
    <mergeCell ref="W417:AA417"/>
    <mergeCell ref="G348:I348"/>
    <mergeCell ref="W419:AA419"/>
    <mergeCell ref="R375:T375"/>
    <mergeCell ref="W418:AA418"/>
    <mergeCell ref="E157:E158"/>
    <mergeCell ref="R377:T377"/>
    <mergeCell ref="C421:F421"/>
    <mergeCell ref="O332:Q332"/>
    <mergeCell ref="R370:T370"/>
    <mergeCell ref="AB392:AD392"/>
    <mergeCell ref="AB367:AD367"/>
    <mergeCell ref="C306:F306"/>
    <mergeCell ref="R362:T362"/>
    <mergeCell ref="O361:Q361"/>
    <mergeCell ref="G276:I276"/>
    <mergeCell ref="C416:F416"/>
    <mergeCell ref="AB394:AD394"/>
    <mergeCell ref="C335:F335"/>
    <mergeCell ref="W322:AA322"/>
    <mergeCell ref="W347:AA347"/>
    <mergeCell ref="G278:I278"/>
    <mergeCell ref="U368:V368"/>
    <mergeCell ref="W288:AA288"/>
    <mergeCell ref="C447:F447"/>
    <mergeCell ref="W349:AA349"/>
    <mergeCell ref="M321:N321"/>
    <mergeCell ref="W342:AA342"/>
    <mergeCell ref="M323:N323"/>
    <mergeCell ref="R388:T388"/>
    <mergeCell ref="M279:N279"/>
    <mergeCell ref="W344:AA344"/>
    <mergeCell ref="O351:Q351"/>
    <mergeCell ref="R390:T390"/>
    <mergeCell ref="C317:F317"/>
    <mergeCell ref="M281:N281"/>
    <mergeCell ref="O345:Q345"/>
    <mergeCell ref="G419:I419"/>
    <mergeCell ref="AB405:AD405"/>
    <mergeCell ref="W375:AA375"/>
    <mergeCell ref="G418:I418"/>
    <mergeCell ref="C319:F319"/>
    <mergeCell ref="O380:Q380"/>
    <mergeCell ref="K277:L277"/>
    <mergeCell ref="AB293:AD293"/>
    <mergeCell ref="G306:I306"/>
    <mergeCell ref="W368:AA368"/>
    <mergeCell ref="O346:Q346"/>
    <mergeCell ref="AB407:AD407"/>
    <mergeCell ref="G420:I420"/>
    <mergeCell ref="M305:N305"/>
    <mergeCell ref="M341:N341"/>
    <mergeCell ref="G291:I291"/>
    <mergeCell ref="W370:AA370"/>
    <mergeCell ref="M307:N307"/>
    <mergeCell ref="W362:AA362"/>
    <mergeCell ref="U294:V294"/>
    <mergeCell ref="R289:T289"/>
    <mergeCell ref="R318:T318"/>
    <mergeCell ref="R320:T320"/>
    <mergeCell ref="O275:Q275"/>
    <mergeCell ref="R314:T314"/>
    <mergeCell ref="AB433:AD433"/>
    <mergeCell ref="C399:F399"/>
    <mergeCell ref="R286:T286"/>
    <mergeCell ref="R444:T444"/>
    <mergeCell ref="G342:I342"/>
    <mergeCell ref="G317:I317"/>
    <mergeCell ref="O277:Q277"/>
    <mergeCell ref="K419:L419"/>
    <mergeCell ref="AB435:AD435"/>
    <mergeCell ref="W388:AA388"/>
    <mergeCell ref="O276:Q276"/>
    <mergeCell ref="R315:T315"/>
    <mergeCell ref="G344:I344"/>
    <mergeCell ref="G319:I319"/>
    <mergeCell ref="W390:AA390"/>
    <mergeCell ref="W383:AA383"/>
    <mergeCell ref="R373:T373"/>
    <mergeCell ref="O303:Q303"/>
    <mergeCell ref="W410:AA410"/>
    <mergeCell ref="C389:F389"/>
    <mergeCell ref="K347:L347"/>
    <mergeCell ref="AB357:AD357"/>
    <mergeCell ref="G370:I370"/>
    <mergeCell ref="R333:T333"/>
    <mergeCell ref="R455:T455"/>
    <mergeCell ref="O288:Q288"/>
    <mergeCell ref="W441:AA441"/>
    <mergeCell ref="D157:D158"/>
    <mergeCell ref="C418:F418"/>
    <mergeCell ref="O304:Q304"/>
    <mergeCell ref="C412:F412"/>
    <mergeCell ref="AB365:AD365"/>
    <mergeCell ref="O298:Q298"/>
    <mergeCell ref="W318:AA318"/>
    <mergeCell ref="G355:I355"/>
    <mergeCell ref="W312:AA312"/>
    <mergeCell ref="K342:L342"/>
    <mergeCell ref="U333:V333"/>
    <mergeCell ref="C443:F443"/>
    <mergeCell ref="M407:N407"/>
    <mergeCell ref="W314:AA314"/>
    <mergeCell ref="W436:AA436"/>
    <mergeCell ref="K344:L344"/>
    <mergeCell ref="AB360:AD360"/>
    <mergeCell ref="U366:V366"/>
    <mergeCell ref="U341:V341"/>
    <mergeCell ref="W313:AA313"/>
    <mergeCell ref="W444:AA444"/>
    <mergeCell ref="R384:T384"/>
    <mergeCell ref="L13:M13"/>
    <mergeCell ref="G388:I388"/>
    <mergeCell ref="M408:N408"/>
    <mergeCell ref="C438:F438"/>
    <mergeCell ref="M402:N402"/>
    <mergeCell ref="R386:T386"/>
    <mergeCell ref="L15:M15"/>
    <mergeCell ref="C446:F446"/>
    <mergeCell ref="M410:N410"/>
    <mergeCell ref="C440:F440"/>
    <mergeCell ref="AB376:AD376"/>
    <mergeCell ref="G389:I389"/>
    <mergeCell ref="G383:I383"/>
    <mergeCell ref="U392:V392"/>
    <mergeCell ref="K326:L326"/>
    <mergeCell ref="R387:T387"/>
    <mergeCell ref="W454:AA454"/>
    <mergeCell ref="O342:Q342"/>
    <mergeCell ref="K362:L362"/>
    <mergeCell ref="G385:I385"/>
    <mergeCell ref="M301:N301"/>
    <mergeCell ref="M337:N337"/>
    <mergeCell ref="U394:V394"/>
    <mergeCell ref="W366:AA366"/>
    <mergeCell ref="M309:N309"/>
    <mergeCell ref="M303:N303"/>
    <mergeCell ref="M330:N330"/>
    <mergeCell ref="W455:AA455"/>
    <mergeCell ref="U387:V387"/>
    <mergeCell ref="W326:AA326"/>
    <mergeCell ref="M332:N332"/>
    <mergeCell ref="R397:T397"/>
    <mergeCell ref="C430:F430"/>
    <mergeCell ref="M304:N304"/>
    <mergeCell ref="O368:Q368"/>
    <mergeCell ref="AB429:AD429"/>
    <mergeCell ref="L53:M53"/>
    <mergeCell ref="L28:M28"/>
    <mergeCell ref="H260:K260"/>
    <mergeCell ref="G313:I313"/>
    <mergeCell ref="AB431:AD431"/>
    <mergeCell ref="W384:AA384"/>
    <mergeCell ref="K292:L292"/>
    <mergeCell ref="G315:I315"/>
    <mergeCell ref="U405:V405"/>
    <mergeCell ref="H257:I257"/>
    <mergeCell ref="W386:AA386"/>
    <mergeCell ref="M350:N350"/>
    <mergeCell ref="U407:V407"/>
    <mergeCell ref="W379:AA379"/>
    <mergeCell ref="K287:L287"/>
    <mergeCell ref="M352:N352"/>
    <mergeCell ref="W381:AA381"/>
    <mergeCell ref="O388:Q388"/>
    <mergeCell ref="K289:L289"/>
    <mergeCell ref="M345:N345"/>
    <mergeCell ref="R451:T451"/>
    <mergeCell ref="O328:Q328"/>
    <mergeCell ref="AB442:AD442"/>
    <mergeCell ref="G455:I455"/>
    <mergeCell ref="AB302:AD302"/>
    <mergeCell ref="O417:Q417"/>
    <mergeCell ref="O294:Q294"/>
    <mergeCell ref="M376:N376"/>
    <mergeCell ref="R453:T453"/>
    <mergeCell ref="G326:I326"/>
    <mergeCell ref="O383:Q383"/>
    <mergeCell ref="K313:L313"/>
    <mergeCell ref="O419:Q419"/>
    <mergeCell ref="C385:F385"/>
    <mergeCell ref="W397:AA397"/>
    <mergeCell ref="M378:N378"/>
    <mergeCell ref="K315:L315"/>
    <mergeCell ref="U337:V337"/>
    <mergeCell ref="M371:N371"/>
    <mergeCell ref="U331:V331"/>
    <mergeCell ref="C354:F354"/>
    <mergeCell ref="O318:Q318"/>
    <mergeCell ref="O312:Q312"/>
    <mergeCell ref="U332:V332"/>
    <mergeCell ref="M406:N406"/>
    <mergeCell ref="C436:F436"/>
    <mergeCell ref="G379:I379"/>
    <mergeCell ref="O314:Q314"/>
    <mergeCell ref="C444:F444"/>
    <mergeCell ref="O313:Q313"/>
    <mergeCell ref="L6:M6"/>
    <mergeCell ref="R352:T352"/>
    <mergeCell ref="G387:I387"/>
    <mergeCell ref="G381:I381"/>
    <mergeCell ref="K360:L360"/>
    <mergeCell ref="M422:N422"/>
    <mergeCell ref="W451:AA451"/>
    <mergeCell ref="M432:N432"/>
    <mergeCell ref="K353:L353"/>
    <mergeCell ref="U350:V350"/>
    <mergeCell ref="W453:AA453"/>
    <mergeCell ref="M417:N417"/>
    <mergeCell ref="O369:Q369"/>
    <mergeCell ref="L24:M24"/>
    <mergeCell ref="L18:M18"/>
    <mergeCell ref="C455:F455"/>
    <mergeCell ref="M419:N419"/>
    <mergeCell ref="C449:F449"/>
    <mergeCell ref="L26:M26"/>
    <mergeCell ref="U401:V401"/>
    <mergeCell ref="U376:V376"/>
    <mergeCell ref="G444:I444"/>
    <mergeCell ref="K387:L387"/>
    <mergeCell ref="K381:L381"/>
    <mergeCell ref="M443:N443"/>
    <mergeCell ref="U403:V403"/>
    <mergeCell ref="U378:V378"/>
    <mergeCell ref="M445:N445"/>
    <mergeCell ref="C297:F297"/>
    <mergeCell ref="W352:AA352"/>
    <mergeCell ref="R423:T423"/>
    <mergeCell ref="C299:F299"/>
    <mergeCell ref="K397:L397"/>
    <mergeCell ref="G426:I426"/>
    <mergeCell ref="AB273:AD273"/>
    <mergeCell ref="O413:Q413"/>
    <mergeCell ref="L37:M37"/>
    <mergeCell ref="C292:F292"/>
    <mergeCell ref="U429:V429"/>
    <mergeCell ref="R424:T424"/>
    <mergeCell ref="O415:Q415"/>
    <mergeCell ref="U300:V300"/>
    <mergeCell ref="U431:V431"/>
    <mergeCell ref="U414:V414"/>
    <mergeCell ref="K311:L311"/>
    <mergeCell ref="H266:I266"/>
    <mergeCell ref="M367:N367"/>
    <mergeCell ref="U424:V424"/>
    <mergeCell ref="K425:L425"/>
    <mergeCell ref="K400:L400"/>
    <mergeCell ref="O410:Q410"/>
    <mergeCell ref="U301:V301"/>
    <mergeCell ref="M375:N375"/>
    <mergeCell ref="M369:N369"/>
    <mergeCell ref="R294:T294"/>
    <mergeCell ref="O441:Q441"/>
    <mergeCell ref="AB284:AD284"/>
    <mergeCell ref="O434:Q434"/>
    <mergeCell ref="AB286:AD286"/>
    <mergeCell ref="O426:Q426"/>
    <mergeCell ref="K451:L451"/>
    <mergeCell ref="K329:L329"/>
    <mergeCell ref="G352:I352"/>
    <mergeCell ref="U442:V442"/>
    <mergeCell ref="O436:Q436"/>
    <mergeCell ref="K295:L295"/>
    <mergeCell ref="K322:L322"/>
    <mergeCell ref="K453:L453"/>
    <mergeCell ref="M359:N359"/>
    <mergeCell ref="K324:L324"/>
    <mergeCell ref="U443:V443"/>
    <mergeCell ref="C363:F363"/>
    <mergeCell ref="M388:N388"/>
    <mergeCell ref="R313:T313"/>
    <mergeCell ref="R279:T279"/>
    <mergeCell ref="AB339:AD339"/>
    <mergeCell ref="O454:Q454"/>
    <mergeCell ref="W292:AA292"/>
    <mergeCell ref="R281:T281"/>
    <mergeCell ref="U372:V372"/>
    <mergeCell ref="W294:AA294"/>
    <mergeCell ref="K377:L377"/>
    <mergeCell ref="M439:N439"/>
    <mergeCell ref="W287:AA287"/>
    <mergeCell ref="U374:V374"/>
    <mergeCell ref="M441:N441"/>
    <mergeCell ref="W289:AA289"/>
    <mergeCell ref="R366:T366"/>
    <mergeCell ref="U369:V369"/>
    <mergeCell ref="AB350:AD350"/>
    <mergeCell ref="O384:Q384"/>
    <mergeCell ref="R361:T361"/>
    <mergeCell ref="AB358:AD358"/>
    <mergeCell ref="O350:Q350"/>
    <mergeCell ref="G424:I424"/>
    <mergeCell ref="C290:F290"/>
    <mergeCell ref="M283:N283"/>
    <mergeCell ref="O379:Q379"/>
    <mergeCell ref="G453:I453"/>
    <mergeCell ref="K396:L396"/>
    <mergeCell ref="U456:V456"/>
    <mergeCell ref="K390:L390"/>
    <mergeCell ref="C321:F321"/>
    <mergeCell ref="C404:F404"/>
    <mergeCell ref="M454:N454"/>
    <mergeCell ref="AB280:AD280"/>
    <mergeCell ref="C316:F316"/>
    <mergeCell ref="AB411:AD411"/>
    <mergeCell ref="K423:L423"/>
    <mergeCell ref="AB282:AD282"/>
    <mergeCell ref="O432:Q432"/>
    <mergeCell ref="K414:L414"/>
    <mergeCell ref="AB406:AD406"/>
    <mergeCell ref="R405:T405"/>
    <mergeCell ref="G290:I290"/>
    <mergeCell ref="U439:V439"/>
    <mergeCell ref="H250:I250"/>
    <mergeCell ref="W361:AA361"/>
    <mergeCell ref="K409:L409"/>
    <mergeCell ref="C334:F334"/>
    <mergeCell ref="AB308:AD308"/>
    <mergeCell ref="U441:V441"/>
    <mergeCell ref="R309:T309"/>
    <mergeCell ref="M297:N297"/>
    <mergeCell ref="AB422:AD422"/>
    <mergeCell ref="C336:F336"/>
    <mergeCell ref="R275:T275"/>
    <mergeCell ref="AB335:AD335"/>
    <mergeCell ref="O450:Q450"/>
    <mergeCell ref="AB310:AD310"/>
    <mergeCell ref="C329:F329"/>
    <mergeCell ref="C365:F365"/>
    <mergeCell ref="R304:T304"/>
    <mergeCell ref="O452:Q452"/>
    <mergeCell ref="C157:C158"/>
    <mergeCell ref="C331:F331"/>
    <mergeCell ref="C362:F362"/>
    <mergeCell ref="R301:T301"/>
    <mergeCell ref="W285:AA285"/>
    <mergeCell ref="O292:Q292"/>
    <mergeCell ref="R330:T330"/>
    <mergeCell ref="R332:T332"/>
    <mergeCell ref="AB354:AD354"/>
    <mergeCell ref="O287:Q287"/>
    <mergeCell ref="AB348:AD348"/>
    <mergeCell ref="G361:I361"/>
    <mergeCell ref="O289:Q289"/>
    <mergeCell ref="K359:L359"/>
    <mergeCell ref="AB349:AD349"/>
    <mergeCell ref="C400:F400"/>
    <mergeCell ref="AB380:AD380"/>
    <mergeCell ref="W304:AA304"/>
    <mergeCell ref="M285:N285"/>
    <mergeCell ref="R350:T350"/>
    <mergeCell ref="C429:F429"/>
    <mergeCell ref="R343:T343"/>
    <mergeCell ref="W329:AA329"/>
    <mergeCell ref="C437:F437"/>
    <mergeCell ref="AB375:AD375"/>
    <mergeCell ref="R345:T345"/>
    <mergeCell ref="W331:AA331"/>
    <mergeCell ref="AB377:AD377"/>
    <mergeCell ref="W330:AA330"/>
    <mergeCell ref="W332:AA332"/>
    <mergeCell ref="D192:D193"/>
    <mergeCell ref="R403:T403"/>
    <mergeCell ref="C305:F305"/>
    <mergeCell ref="O333:Q333"/>
    <mergeCell ref="AB393:AD393"/>
    <mergeCell ref="G400:I400"/>
    <mergeCell ref="AB306:AD306"/>
    <mergeCell ref="R398:T398"/>
    <mergeCell ref="C300:F300"/>
    <mergeCell ref="AB395:AD395"/>
    <mergeCell ref="G402:I402"/>
    <mergeCell ref="C361:F361"/>
    <mergeCell ref="U280:V280"/>
    <mergeCell ref="G304:I304"/>
    <mergeCell ref="C327:F327"/>
    <mergeCell ref="O416:Q416"/>
    <mergeCell ref="U282:V282"/>
    <mergeCell ref="K433:L433"/>
    <mergeCell ref="W343:AA343"/>
    <mergeCell ref="U275:V275"/>
    <mergeCell ref="M349:N349"/>
    <mergeCell ref="R414:T414"/>
    <mergeCell ref="AB446:AD446"/>
    <mergeCell ref="K435:L435"/>
    <mergeCell ref="W345:AA345"/>
    <mergeCell ref="U277:V277"/>
    <mergeCell ref="C387:F387"/>
    <mergeCell ref="R416:T416"/>
    <mergeCell ref="AB317:AD317"/>
    <mergeCell ref="G330:I330"/>
    <mergeCell ref="AB448:AD448"/>
    <mergeCell ref="C353:F353"/>
    <mergeCell ref="R328:T328"/>
    <mergeCell ref="O283:Q283"/>
    <mergeCell ref="AB319:AD319"/>
    <mergeCell ref="G332:I332"/>
    <mergeCell ref="U422:V422"/>
    <mergeCell ref="R417:T417"/>
    <mergeCell ref="C382:F382"/>
    <mergeCell ref="K275:L275"/>
    <mergeCell ref="AB318:AD318"/>
    <mergeCell ref="O285:Q285"/>
    <mergeCell ref="W396:AA396"/>
    <mergeCell ref="R442:T442"/>
    <mergeCell ref="K304:L304"/>
    <mergeCell ref="M333:N333"/>
    <mergeCell ref="G327:I327"/>
    <mergeCell ref="U295:V295"/>
    <mergeCell ref="W398:AA398"/>
    <mergeCell ref="K306:L306"/>
    <mergeCell ref="M368:N368"/>
    <mergeCell ref="C371:F371"/>
    <mergeCell ref="R346:T346"/>
    <mergeCell ref="M334:N334"/>
    <mergeCell ref="O311:Q311"/>
    <mergeCell ref="C192:C193"/>
    <mergeCell ref="G343:I343"/>
    <mergeCell ref="C402:F402"/>
    <mergeCell ref="W414:AA414"/>
    <mergeCell ref="R341:T341"/>
    <mergeCell ref="G345:I345"/>
    <mergeCell ref="AB373:AD373"/>
    <mergeCell ref="K288:L288"/>
    <mergeCell ref="W416:AA416"/>
    <mergeCell ref="W295:AA295"/>
    <mergeCell ref="U347:V347"/>
    <mergeCell ref="W409:AA409"/>
    <mergeCell ref="W328:AA328"/>
    <mergeCell ref="O329:Q329"/>
    <mergeCell ref="U349:V349"/>
    <mergeCell ref="R367:T367"/>
    <mergeCell ref="AB389:AD389"/>
    <mergeCell ref="F157:J157"/>
    <mergeCell ref="M294:N294"/>
    <mergeCell ref="R359:T359"/>
    <mergeCell ref="R394:T394"/>
    <mergeCell ref="O330:Q330"/>
    <mergeCell ref="R369:T369"/>
    <mergeCell ref="C296:F296"/>
    <mergeCell ref="O324:Q324"/>
    <mergeCell ref="AB391:AD391"/>
    <mergeCell ref="AB385:AD385"/>
    <mergeCell ref="G398:I398"/>
    <mergeCell ref="O360:Q360"/>
    <mergeCell ref="G275:I275"/>
    <mergeCell ref="C298:F298"/>
    <mergeCell ref="G427:I427"/>
    <mergeCell ref="C456:F456"/>
    <mergeCell ref="AB386:AD386"/>
    <mergeCell ref="G399:I399"/>
    <mergeCell ref="U367:V367"/>
    <mergeCell ref="M293:N293"/>
    <mergeCell ref="M320:N320"/>
    <mergeCell ref="M286:N286"/>
    <mergeCell ref="W341:AA341"/>
    <mergeCell ref="U273:V273"/>
    <mergeCell ref="L41:M41"/>
    <mergeCell ref="R293:T293"/>
    <mergeCell ref="AB412:AD412"/>
    <mergeCell ref="R413:T413"/>
    <mergeCell ref="R407:T407"/>
    <mergeCell ref="O343:Q343"/>
    <mergeCell ref="L36:M36"/>
    <mergeCell ref="G417:I417"/>
  </mergeCells>
  <conditionalFormatting sqref="K4:K31 N4:N31 N37:N57">
    <cfRule type="cellIs" priority="7" operator="lessThan" dxfId="8">
      <formula>0</formula>
    </cfRule>
  </conditionalFormatting>
  <conditionalFormatting sqref="B159:I190">
    <cfRule type="expression" priority="6" dxfId="12">
      <formula>MOD(ROW(),2)=0</formula>
    </cfRule>
  </conditionalFormatting>
  <conditionalFormatting sqref="B194:I216">
    <cfRule type="expression" priority="5" dxfId="12">
      <formula>MOD(ROW(),2)=0</formula>
    </cfRule>
  </conditionalFormatting>
  <conditionalFormatting sqref="D4:N5 D6:L6 D7:N7 D8:L8 D9:K31 D37:N51 D52:L52 D53:N57 L9:M11 L12 L13:M13 L14 L15:M16 L17:L18 L19:M19 L20 L21:M22 L23 L24:M26 L27 L28:M29 L30 L31:M31 N6 N8:N31 N52">
    <cfRule type="expression" priority="4" dxfId="11">
      <formula>MOD(ROW(),2)=0</formula>
    </cfRule>
  </conditionalFormatting>
  <conditionalFormatting sqref="K37:K57">
    <cfRule type="cellIs" priority="1" operator="lessThan" dxfId="8">
      <formula>0</formula>
    </cfRule>
    <cfRule type="cellIs" priority="3" operator="lessThan" dxfId="8">
      <formula>0</formula>
    </cfRule>
  </conditionalFormatting>
  <conditionalFormatting sqref="K4:K30">
    <cfRule type="cellIs" priority="2" operator="lessThan" dxfId="8">
      <formula>0</formula>
    </cfRule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H55"/>
  <sheetViews>
    <sheetView tabSelected="1" workbookViewId="0">
      <selection activeCell="F14" sqref="F14"/>
    </sheetView>
  </sheetViews>
  <sheetFormatPr baseColWidth="10" defaultRowHeight="15"/>
  <cols>
    <col width="11.42578125" customWidth="1" style="295" min="1" max="1"/>
    <col width="25.28515625" bestFit="1" customWidth="1" style="95" min="2" max="2"/>
    <col width="30.28515625" customWidth="1" style="95" min="3" max="3"/>
    <col width="15.7109375" customWidth="1" style="95" min="4" max="4"/>
    <col width="15.28515625" bestFit="1" customWidth="1" style="95" min="5" max="5"/>
    <col width="11.42578125" customWidth="1" style="295" min="6" max="8"/>
    <col width="11.42578125" customWidth="1" style="95" min="9" max="16384"/>
  </cols>
  <sheetData>
    <row r="3">
      <c r="B3" s="149" t="inlineStr">
        <is>
          <t>PRODUCTOS</t>
        </is>
      </c>
      <c r="C3" s="150" t="inlineStr">
        <is>
          <t>TOTAL DIFERENCIA</t>
        </is>
      </c>
      <c r="D3" s="150" t="inlineStr">
        <is>
          <t>PRECIO</t>
        </is>
      </c>
      <c r="E3" s="150" t="inlineStr">
        <is>
          <t>TOTAL DSCTO</t>
        </is>
      </c>
    </row>
    <row r="4">
      <c r="B4" s="316" t="n"/>
      <c r="C4" s="316" t="n"/>
      <c r="D4" s="316" t="n"/>
      <c r="E4" s="316" t="n"/>
    </row>
    <row r="5">
      <c r="B5" s="70" t="inlineStr">
        <is>
          <t>Atún Steak</t>
        </is>
      </c>
      <c r="C5" s="111">
        <f>SUM('S1 Lunes:S1 Viernes'!K4)</f>
        <v/>
      </c>
      <c r="D5" s="351" t="n">
        <v>6950</v>
      </c>
      <c r="E5" s="352">
        <f>IF(0&gt;C5,C5*D5,0)</f>
        <v/>
      </c>
    </row>
    <row r="6">
      <c r="B6" s="70" t="inlineStr">
        <is>
          <t>Atún Trozos</t>
        </is>
      </c>
      <c r="C6" s="111">
        <f>SUM('S1 Lunes:S1 Viernes'!K5)</f>
        <v/>
      </c>
      <c r="D6" s="351" t="n">
        <v>4800</v>
      </c>
      <c r="E6" s="352">
        <f>IF(0&gt;C6,C6*D6,0)</f>
        <v/>
      </c>
    </row>
    <row r="7">
      <c r="B7" s="70" t="inlineStr">
        <is>
          <t>Almejas Julianas</t>
        </is>
      </c>
      <c r="C7" s="111">
        <f>SUM('S1 Lunes:S1 Viernes'!K6)</f>
        <v/>
      </c>
      <c r="D7" s="351" t="n">
        <v>2100</v>
      </c>
      <c r="E7" s="352">
        <f>IF(0&gt;C7,C7*D7,0)</f>
        <v/>
      </c>
    </row>
    <row r="8">
      <c r="B8" s="70" t="inlineStr">
        <is>
          <t>Carpaccio de res</t>
        </is>
      </c>
      <c r="C8" s="111">
        <f>SUM('S1 Lunes:S1 Viernes'!K7)</f>
        <v/>
      </c>
      <c r="D8" s="351" t="n">
        <v>23109</v>
      </c>
      <c r="E8" s="352">
        <f>IF(0&gt;C8,C8*D8,0)</f>
        <v/>
      </c>
    </row>
    <row r="9">
      <c r="B9" s="70" t="inlineStr">
        <is>
          <t>Chupe</t>
        </is>
      </c>
      <c r="C9" s="111">
        <f>SUM('S1 Lunes:S1 Viernes'!K8)</f>
        <v/>
      </c>
      <c r="D9" s="351" t="n">
        <v>1537</v>
      </c>
      <c r="E9" s="352">
        <f>IF(0&gt;C9,C9*D9,0)</f>
        <v/>
      </c>
    </row>
    <row r="10">
      <c r="B10" s="70" t="inlineStr">
        <is>
          <t>Congrio</t>
        </is>
      </c>
      <c r="C10" s="111">
        <f>SUM('S1 Lunes:S1 Viernes'!K9)</f>
        <v/>
      </c>
      <c r="D10" s="351" t="n">
        <v>12600</v>
      </c>
      <c r="E10" s="352">
        <f>IF(0&gt;C10,C10*D10,0)</f>
        <v/>
      </c>
    </row>
    <row r="11">
      <c r="B11" s="70" t="inlineStr">
        <is>
          <t>Filete despunte</t>
        </is>
      </c>
      <c r="C11" s="111">
        <f>SUM('S1 Lunes:S1 Viernes'!K10)</f>
        <v/>
      </c>
      <c r="D11" s="351" t="n">
        <v>5000</v>
      </c>
      <c r="E11" s="352">
        <f>IF(0&gt;C11,C11*D11,0)</f>
        <v/>
      </c>
    </row>
    <row r="12">
      <c r="B12" s="70" t="inlineStr">
        <is>
          <t>Filete para churrasco</t>
        </is>
      </c>
      <c r="C12" s="111">
        <f>SUM('S1 Lunes:S1 Viernes'!K11)</f>
        <v/>
      </c>
      <c r="D12" s="351" t="n">
        <v>7900</v>
      </c>
      <c r="E12" s="352">
        <f>IF(0&gt;C12,C12*D12,0)</f>
        <v/>
      </c>
    </row>
    <row r="13">
      <c r="B13" s="70" t="inlineStr">
        <is>
          <t>Filete para crudo</t>
        </is>
      </c>
      <c r="C13" s="111">
        <f>SUM('S1 Lunes:S1 Viernes'!K12)</f>
        <v/>
      </c>
      <c r="D13" s="351" t="n">
        <v>7900</v>
      </c>
      <c r="E13" s="352">
        <f>IF(0&gt;C13,C13*D13,0)</f>
        <v/>
      </c>
    </row>
    <row r="14">
      <c r="B14" s="70" t="inlineStr">
        <is>
          <t>Filete Salteado</t>
        </is>
      </c>
      <c r="C14" s="111">
        <f>SUM('S1 Lunes:S1 Viernes'!K13)</f>
        <v/>
      </c>
      <c r="D14" s="351" t="n">
        <v>30462</v>
      </c>
      <c r="E14" s="352">
        <f>IF(0&gt;C14,C14*D14,0)</f>
        <v/>
      </c>
    </row>
    <row r="15">
      <c r="B15" s="70" t="inlineStr">
        <is>
          <t>Ganso</t>
        </is>
      </c>
      <c r="C15" s="111">
        <f>SUM('S1 Lunes:S1 Viernes'!K14)</f>
        <v/>
      </c>
      <c r="D15" s="351" t="n">
        <v>10924</v>
      </c>
      <c r="E15" s="352">
        <f>IF(0&gt;C15,C15*D15,0)</f>
        <v/>
      </c>
    </row>
    <row r="16">
      <c r="B16" s="70" t="inlineStr">
        <is>
          <t>Hamburguesas</t>
        </is>
      </c>
      <c r="C16" s="111">
        <f>SUM('S1 Lunes:S1 Viernes'!K15)</f>
        <v/>
      </c>
      <c r="D16" s="351" t="n">
        <v>6990</v>
      </c>
      <c r="E16" s="352">
        <f>IF(0&gt;C16,C16*D16,0)</f>
        <v/>
      </c>
    </row>
    <row r="17">
      <c r="B17" s="70" t="inlineStr">
        <is>
          <t>Jamón serrano</t>
        </is>
      </c>
      <c r="C17" s="111">
        <f>SUM('S1 Lunes:S1 Viernes'!K16)</f>
        <v/>
      </c>
      <c r="D17" s="351" t="n">
        <v>15834</v>
      </c>
      <c r="E17" s="352">
        <f>IF(0&gt;C17,C17*D17,0)</f>
        <v/>
      </c>
    </row>
    <row r="18">
      <c r="B18" s="70" t="inlineStr">
        <is>
          <t>Langostinos</t>
        </is>
      </c>
      <c r="C18" s="111">
        <f>SUM('S1 Lunes:S1 Viernes'!K17)</f>
        <v/>
      </c>
      <c r="D18" s="351" t="n">
        <v>9890</v>
      </c>
      <c r="E18" s="352">
        <f>IF(0&gt;C18,C18*D18,0)</f>
        <v/>
      </c>
    </row>
    <row r="19">
      <c r="B19" s="70" t="inlineStr">
        <is>
          <t>Lasagna de Berenjenas</t>
        </is>
      </c>
      <c r="C19" s="111">
        <f>SUM('S1 Lunes:S1 Viernes'!K18)</f>
        <v/>
      </c>
      <c r="D19" s="351" t="n">
        <v>2998</v>
      </c>
      <c r="E19" s="352">
        <f>IF(0&gt;C19,C19*D19,0)</f>
        <v/>
      </c>
    </row>
    <row r="20">
      <c r="B20" s="70" t="inlineStr">
        <is>
          <t>Locos</t>
        </is>
      </c>
      <c r="C20" s="111">
        <f>SUM('S1 Lunes:S1 Viernes'!K19)</f>
        <v/>
      </c>
      <c r="D20" s="351" t="n">
        <v>23900</v>
      </c>
      <c r="E20" s="352">
        <f>IF(0&gt;C20,C20*D20,0)</f>
        <v/>
      </c>
    </row>
    <row r="21">
      <c r="B21" s="70" t="inlineStr">
        <is>
          <t>Lomo liso</t>
        </is>
      </c>
      <c r="C21" s="111">
        <f>SUM('S1 Lunes:S1 Viernes'!K20)</f>
        <v/>
      </c>
      <c r="D21" s="351" t="n">
        <v>17442</v>
      </c>
      <c r="E21" s="352">
        <f>IF(0&gt;C21,C21*D21,0)</f>
        <v/>
      </c>
    </row>
    <row r="22">
      <c r="B22" s="70" t="inlineStr">
        <is>
          <t>Mejillones</t>
        </is>
      </c>
      <c r="C22" s="111">
        <f>SUM('S1 Lunes:S1 Viernes'!K21)</f>
        <v/>
      </c>
      <c r="D22" s="351" t="n">
        <v>2780</v>
      </c>
      <c r="E22" s="352">
        <f>IF(0&gt;C22,C22*D22,0)</f>
        <v/>
      </c>
    </row>
    <row r="23">
      <c r="B23" s="70" t="inlineStr">
        <is>
          <t>Merluza</t>
        </is>
      </c>
      <c r="C23" s="111">
        <f>SUM('S1 Lunes:S1 Viernes'!K22)</f>
        <v/>
      </c>
      <c r="D23" s="351" t="n">
        <v>9400</v>
      </c>
      <c r="E23" s="352">
        <f>IF(0&gt;C23,C23*D23,0)</f>
        <v/>
      </c>
    </row>
    <row r="24">
      <c r="B24" s="70" t="inlineStr">
        <is>
          <t>Plateada</t>
        </is>
      </c>
      <c r="C24" s="111">
        <f>SUM('S1 Lunes:S1 Viernes'!K23)</f>
        <v/>
      </c>
      <c r="D24" s="351" t="n">
        <v>30252</v>
      </c>
      <c r="E24" s="352">
        <f>IF(0&gt;C24,C24*D24,0)</f>
        <v/>
      </c>
    </row>
    <row r="25">
      <c r="B25" s="27" t="inlineStr">
        <is>
          <t>Pulpo</t>
        </is>
      </c>
      <c r="C25" s="111">
        <f>SUM('S1 Lunes:S1 Viernes'!K24)</f>
        <v/>
      </c>
      <c r="D25" s="351" t="n">
        <v>33902</v>
      </c>
      <c r="E25" s="352">
        <f>IF(0&gt;C25,C25*D25,0)</f>
        <v/>
      </c>
    </row>
    <row r="26">
      <c r="B26" s="70" t="inlineStr">
        <is>
          <t>Ragout Lasagna</t>
        </is>
      </c>
      <c r="C26" s="111">
        <f>SUM('S1 Lunes:S1 Viernes'!K25)</f>
        <v/>
      </c>
      <c r="D26" s="351" t="n">
        <v>14403</v>
      </c>
      <c r="E26" s="352">
        <f>IF(0&gt;C26,C26*D26,0)</f>
        <v/>
      </c>
    </row>
    <row r="27">
      <c r="B27" s="27" t="inlineStr">
        <is>
          <t>Ragout Rigatoni</t>
        </is>
      </c>
      <c r="C27" s="111">
        <f>SUM('S1 Lunes:S1 Viernes'!K26)</f>
        <v/>
      </c>
      <c r="D27" s="351" t="n">
        <v>10591</v>
      </c>
      <c r="E27" s="352">
        <f>IF(0&gt;C27,C27*D27,0)</f>
        <v/>
      </c>
    </row>
    <row r="28">
      <c r="B28" s="27" t="inlineStr">
        <is>
          <t>Reineta</t>
        </is>
      </c>
      <c r="C28" s="111">
        <f>SUM('S1 Lunes:S1 Viernes'!K27)</f>
        <v/>
      </c>
      <c r="D28" s="351" t="n">
        <v>7900</v>
      </c>
      <c r="E28" s="352">
        <f>IF(0&gt;C28,C28*D28,0)</f>
        <v/>
      </c>
    </row>
    <row r="29">
      <c r="B29" s="70" t="inlineStr">
        <is>
          <t>Salmon ahumado en frío</t>
        </is>
      </c>
      <c r="C29" s="111">
        <f>SUM('S1 Lunes:S1 Viernes'!K28)</f>
        <v/>
      </c>
      <c r="D29" s="351" t="n">
        <v>7830</v>
      </c>
      <c r="E29" s="352">
        <f>IF(0&gt;C29,C29*D29,0)</f>
        <v/>
      </c>
    </row>
    <row r="30">
      <c r="B30" s="27" t="inlineStr">
        <is>
          <t>Salmón ahumado en caliente</t>
        </is>
      </c>
      <c r="C30" s="111">
        <f>SUM('S1 Lunes:S1 Viernes'!K29)</f>
        <v/>
      </c>
      <c r="D30" s="351" t="n">
        <v>22059</v>
      </c>
      <c r="E30" s="352">
        <f>IF(0&gt;C30,C30*D30,0)</f>
        <v/>
      </c>
    </row>
    <row r="31">
      <c r="B31" s="70" t="inlineStr">
        <is>
          <t>Salmón cancato</t>
        </is>
      </c>
      <c r="C31" s="111">
        <f>SUM('S1 Lunes:S1 Viernes'!K30)</f>
        <v/>
      </c>
      <c r="D31" s="351" t="n">
        <v>18290</v>
      </c>
      <c r="E31" s="352">
        <f>IF(0&gt;C31,C31*D31,0)</f>
        <v/>
      </c>
    </row>
    <row r="32">
      <c r="B32" s="70" t="inlineStr">
        <is>
          <t>Salmón fresco premium</t>
        </is>
      </c>
      <c r="C32" s="111">
        <f>SUM('S1 Lunes:S1 Viernes'!K31)</f>
        <v/>
      </c>
      <c r="D32" s="351" t="n">
        <v>22969</v>
      </c>
      <c r="E32" s="352">
        <f>IF(0&gt;C32,C32*D32,0)</f>
        <v/>
      </c>
    </row>
    <row r="33">
      <c r="B33" s="70" t="inlineStr">
        <is>
          <t>Brownie Nutella</t>
        </is>
      </c>
      <c r="C33" s="111">
        <f>SUM('S1 Lunes:S1 Viernes'!K37)</f>
        <v/>
      </c>
      <c r="D33" s="351" t="n">
        <v>850</v>
      </c>
      <c r="E33" s="352">
        <f>IF(0&gt;C33,C33*D33,0)</f>
        <v/>
      </c>
    </row>
    <row r="34">
      <c r="B34" s="27" t="inlineStr">
        <is>
          <t>Brownie Vegano</t>
        </is>
      </c>
      <c r="C34" s="111">
        <f>SUM('S1 Lunes:S1 Viernes'!K38)</f>
        <v/>
      </c>
      <c r="D34" s="351" t="n">
        <v>1018</v>
      </c>
      <c r="E34" s="352">
        <f>IF(0&gt;C34,C34*D34,0)</f>
        <v/>
      </c>
    </row>
    <row r="35">
      <c r="B35" s="70" t="inlineStr">
        <is>
          <t>Cheesecake de Berries</t>
        </is>
      </c>
      <c r="C35" s="111">
        <f>SUM('S1 Lunes:S1 Viernes'!K39)</f>
        <v/>
      </c>
      <c r="D35" s="351" t="n">
        <v>774</v>
      </c>
      <c r="E35" s="352">
        <f>IF(0&gt;C35,C35*D35,0)</f>
        <v/>
      </c>
    </row>
    <row r="36" s="95">
      <c r="A36" s="295" t="n"/>
      <c r="B36" s="70" t="inlineStr">
        <is>
          <t>Cheesecake de Limón</t>
        </is>
      </c>
      <c r="C36" s="111">
        <f>SUM('S1 Lunes:S1 Viernes'!K40)</f>
        <v/>
      </c>
      <c r="D36" s="351" t="n">
        <v>1142.6</v>
      </c>
      <c r="E36" s="352">
        <f>IF(0&gt;C36,C36*D36,0)</f>
        <v/>
      </c>
      <c r="F36" s="295" t="n"/>
      <c r="G36" s="295" t="n"/>
      <c r="H36" s="295" t="n"/>
    </row>
    <row r="37" s="95">
      <c r="A37" s="295" t="n"/>
      <c r="B37" s="70" t="inlineStr">
        <is>
          <t>Chocolate Blanco</t>
        </is>
      </c>
      <c r="C37" s="111">
        <f>SUM('S1 Lunes:S1 Viernes'!K41)</f>
        <v/>
      </c>
      <c r="D37" s="351" t="n">
        <v>15140</v>
      </c>
      <c r="E37" s="352">
        <f>IF(0&gt;C37,C37*D37,0)</f>
        <v/>
      </c>
      <c r="F37" s="295" t="n"/>
      <c r="G37" s="295" t="n"/>
      <c r="H37" s="295" t="n"/>
    </row>
    <row r="38" s="95">
      <c r="A38" s="295" t="n"/>
      <c r="B38" s="70" t="inlineStr">
        <is>
          <t>Chocolate Leche</t>
        </is>
      </c>
      <c r="C38" s="111">
        <f>SUM('S1 Lunes:S1 Viernes'!K42)</f>
        <v/>
      </c>
      <c r="D38" s="351" t="n">
        <v>15140</v>
      </c>
      <c r="E38" s="352">
        <f>IF(0&gt;C38,C38*D38,0)</f>
        <v/>
      </c>
      <c r="F38" s="295" t="n"/>
      <c r="G38" s="295" t="n"/>
      <c r="H38" s="295" t="n"/>
    </row>
    <row r="39" s="95">
      <c r="A39" s="295" t="n"/>
      <c r="B39" s="70" t="inlineStr">
        <is>
          <t>Chocolate Negro</t>
        </is>
      </c>
      <c r="C39" s="111">
        <f>SUM('S1 Lunes:S1 Viernes'!K43)</f>
        <v/>
      </c>
      <c r="D39" s="351" t="n">
        <v>14317</v>
      </c>
      <c r="E39" s="352">
        <f>IF(0&gt;C39,C39*D39,0)</f>
        <v/>
      </c>
      <c r="F39" s="295" t="n"/>
      <c r="G39" s="295" t="n"/>
      <c r="H39" s="295" t="n"/>
    </row>
    <row r="40" s="95">
      <c r="A40" s="295" t="n"/>
      <c r="B40" s="70" t="inlineStr">
        <is>
          <t>Chocolate Neucober Cobertura</t>
        </is>
      </c>
      <c r="C40" s="111">
        <f>SUM('S1 Lunes:S1 Viernes'!K44)</f>
        <v/>
      </c>
      <c r="D40" s="351" t="n">
        <v>5430</v>
      </c>
      <c r="E40" s="352">
        <f>IF(0&gt;C40,C40*D40,0)</f>
        <v/>
      </c>
      <c r="F40" s="295" t="n"/>
      <c r="G40" s="295" t="n"/>
      <c r="H40" s="295" t="n"/>
    </row>
    <row r="41" s="95">
      <c r="A41" s="295" t="n"/>
      <c r="B41" s="70" t="inlineStr">
        <is>
          <t>Chocolate Sicao Cobertura</t>
        </is>
      </c>
      <c r="C41" s="111">
        <f>SUM('S1 Lunes:S1 Viernes'!K45)</f>
        <v/>
      </c>
      <c r="D41" s="351" t="n">
        <v>6525</v>
      </c>
      <c r="E41" s="352">
        <f>IF(0&gt;C41,C41*D41,0)</f>
        <v/>
      </c>
      <c r="F41" s="295" t="n"/>
      <c r="G41" s="295" t="n"/>
      <c r="H41" s="295" t="n"/>
    </row>
    <row r="42" s="95">
      <c r="A42" s="295" t="n"/>
      <c r="B42" s="70" t="inlineStr">
        <is>
          <t>Discos de Chocolate</t>
        </is>
      </c>
      <c r="C42" s="111">
        <f>SUM('S1 Lunes:S1 Viernes'!K46)</f>
        <v/>
      </c>
      <c r="D42" s="351" t="n">
        <v>212</v>
      </c>
      <c r="E42" s="352">
        <f>IF(0&gt;C42,C42*D42,0)</f>
        <v/>
      </c>
      <c r="F42" s="295" t="n"/>
      <c r="G42" s="295" t="n"/>
      <c r="H42" s="295" t="n"/>
    </row>
    <row r="43" s="95">
      <c r="A43" s="295" t="n"/>
      <c r="B43" s="70" t="inlineStr">
        <is>
          <t>Empanada Mechada</t>
        </is>
      </c>
      <c r="C43" s="111">
        <f>SUM('S1 Lunes:S1 Viernes'!K47)</f>
        <v/>
      </c>
      <c r="D43" s="351" t="n">
        <v>1050</v>
      </c>
      <c r="E43" s="352">
        <f>IF(0&gt;C43,C43*D43,0)</f>
        <v/>
      </c>
      <c r="F43" s="295" t="n"/>
      <c r="G43" s="295" t="n"/>
      <c r="H43" s="295" t="n"/>
    </row>
    <row r="44" s="95">
      <c r="A44" s="295" t="n"/>
      <c r="B44" s="70" t="inlineStr">
        <is>
          <t>Empanada Pulpo</t>
        </is>
      </c>
      <c r="C44" s="111">
        <f>SUM('S1 Lunes:S1 Viernes'!K48)</f>
        <v/>
      </c>
      <c r="D44" s="351" t="n">
        <v>456</v>
      </c>
      <c r="E44" s="352">
        <f>IF(0&gt;C44,C44*D44,0)</f>
        <v/>
      </c>
      <c r="F44" s="295" t="n"/>
      <c r="G44" s="295" t="n"/>
      <c r="H44" s="295" t="n"/>
    </row>
    <row r="45" s="95">
      <c r="A45" s="295" t="n"/>
      <c r="B45" s="70" t="inlineStr">
        <is>
          <t>Flan de Caluga</t>
        </is>
      </c>
      <c r="C45" s="111">
        <f>SUM('S1 Lunes:S1 Viernes'!K49)</f>
        <v/>
      </c>
      <c r="D45" s="351" t="n">
        <v>582</v>
      </c>
      <c r="E45" s="352">
        <f>IF(0&gt;C45,C45*D45,0)</f>
        <v/>
      </c>
      <c r="F45" s="295" t="n"/>
      <c r="G45" s="295" t="n"/>
      <c r="H45" s="295" t="n"/>
    </row>
    <row r="46" s="95">
      <c r="A46" s="295" t="n"/>
      <c r="B46" s="70" t="inlineStr">
        <is>
          <t>Granola salada</t>
        </is>
      </c>
      <c r="C46" s="111">
        <f>SUM('S1 Lunes:S1 Viernes'!K50)</f>
        <v/>
      </c>
      <c r="D46" s="351" t="n">
        <v>11349</v>
      </c>
      <c r="E46" s="352">
        <f>IF(0&gt;C46,C46*D46,0)</f>
        <v/>
      </c>
      <c r="F46" s="295" t="n"/>
      <c r="G46" s="295" t="n"/>
      <c r="H46" s="295" t="n"/>
    </row>
    <row r="47" s="95">
      <c r="A47" s="295" t="n"/>
      <c r="B47" s="70" t="inlineStr">
        <is>
          <t>Mix Conchas</t>
        </is>
      </c>
      <c r="C47" s="111">
        <f>SUM('S1 Lunes:S1 Viernes'!K51)</f>
        <v/>
      </c>
      <c r="D47" s="351" t="n">
        <v>676.7</v>
      </c>
      <c r="E47" s="352">
        <f>IF(0&gt;C47,C47*D47,0)</f>
        <v/>
      </c>
      <c r="F47" s="295" t="n"/>
      <c r="G47" s="295" t="n"/>
      <c r="H47" s="295" t="n"/>
    </row>
    <row r="48" s="95">
      <c r="A48" s="295" t="n"/>
      <c r="B48" s="70" t="inlineStr">
        <is>
          <t>Nutella</t>
        </is>
      </c>
      <c r="C48" s="111">
        <f>SUM('S1 Lunes:S1 Viernes'!K52)</f>
        <v/>
      </c>
      <c r="D48" s="351" t="n">
        <v>8663</v>
      </c>
      <c r="E48" s="352">
        <f>IF(0&gt;C48,C48*D48,0)</f>
        <v/>
      </c>
      <c r="F48" s="295" t="n"/>
      <c r="G48" s="295" t="n"/>
      <c r="H48" s="295" t="n"/>
    </row>
    <row r="49" s="95">
      <c r="A49" s="295" t="n"/>
      <c r="B49" s="70" t="inlineStr">
        <is>
          <t>Queso Mozzarella</t>
        </is>
      </c>
      <c r="C49" s="111">
        <f>SUM('S1 Lunes:S1 Viernes'!K53)</f>
        <v/>
      </c>
      <c r="D49" s="351" t="n">
        <v>11291</v>
      </c>
      <c r="E49" s="352">
        <f>IF(0&gt;C49,C49*D49,0)</f>
        <v/>
      </c>
      <c r="F49" s="295" t="n"/>
      <c r="G49" s="295" t="n"/>
      <c r="H49" s="295" t="n"/>
    </row>
    <row r="50">
      <c r="B50" s="70" t="inlineStr">
        <is>
          <t>Sorrentinos carne mechada</t>
        </is>
      </c>
      <c r="C50" s="111">
        <f>SUM('S1 Lunes:S1 Viernes'!K54)</f>
        <v/>
      </c>
      <c r="D50" s="351" t="n">
        <v>3782</v>
      </c>
      <c r="E50" s="352">
        <f>IF(0&gt;C50,C50*D50,0)</f>
        <v/>
      </c>
    </row>
    <row r="51">
      <c r="B51" s="70" t="inlineStr">
        <is>
          <t>Sorrentinos pulpo y salmón</t>
        </is>
      </c>
      <c r="C51" s="111">
        <f>SUM('S1 Lunes:S1 Viernes'!K55)</f>
        <v/>
      </c>
      <c r="D51" s="351" t="n">
        <v>5042</v>
      </c>
      <c r="E51" s="352">
        <f>IF(0&gt;C51,C51*D51,0)</f>
        <v/>
      </c>
    </row>
    <row r="52">
      <c r="B52" s="70" t="inlineStr">
        <is>
          <t>Sorrentinos zapallo</t>
        </is>
      </c>
      <c r="C52" s="111">
        <f>SUM('S1 Lunes:S1 Viernes'!K56)</f>
        <v/>
      </c>
      <c r="D52" s="351" t="n">
        <v>3361</v>
      </c>
      <c r="E52" s="352">
        <f>IF(0&gt;C52,C52*D52,0)</f>
        <v/>
      </c>
    </row>
    <row r="53">
      <c r="B53" s="70" t="inlineStr">
        <is>
          <t>Volcán de Chocolate</t>
        </is>
      </c>
      <c r="C53" s="111">
        <f>SUM('S1 Lunes:S1 Viernes'!K57)</f>
        <v/>
      </c>
      <c r="D53" s="351" t="n">
        <v>780</v>
      </c>
      <c r="E53" s="352">
        <f>IF(0&gt;C53,C53*D53,0)</f>
        <v/>
      </c>
    </row>
    <row r="54" ht="15.75" customHeight="1" s="95" thickBot="1"/>
    <row r="55" ht="15.75" customHeight="1" s="95" thickBot="1">
      <c r="D55" s="92" t="inlineStr">
        <is>
          <t>TOTAL</t>
        </is>
      </c>
      <c r="E55" s="353">
        <f>SUM(E5:E53)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71"/>
  <mergeCells count="4">
    <mergeCell ref="D3:D4"/>
    <mergeCell ref="C3:C4"/>
    <mergeCell ref="B3:B4"/>
    <mergeCell ref="E3:E4"/>
  </mergeCells>
  <conditionalFormatting sqref="B5:E25 B27:B32 B33:E53 C26:E32">
    <cfRule type="expression" priority="5" dxfId="11">
      <formula>MOD(ROW(),2)=0</formula>
    </cfRule>
  </conditionalFormatting>
  <conditionalFormatting sqref="E5:E53">
    <cfRule type="cellIs" priority="2" operator="lessThan" dxfId="8">
      <formula>0</formula>
    </cfRule>
  </conditionalFormatting>
  <conditionalFormatting sqref="B26">
    <cfRule type="expression" priority="1" dxfId="11">
      <formula>MOD(ROW(),2)=0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Bodega</dc:creator>
  <dcterms:created xsi:type="dcterms:W3CDTF">2026-02-19T13:09:10Z</dcterms:created>
  <dcterms:modified xsi:type="dcterms:W3CDTF">2026-08-11T12:57:26Z</dcterms:modified>
  <cp:lastModifiedBy>transporte_tabares@outlook.cl</cp:lastModifiedBy>
  <cp:lastPrinted>2026-03-25T14:35:06Z</cp:lastPrinted>
</cp:coreProperties>
</file>