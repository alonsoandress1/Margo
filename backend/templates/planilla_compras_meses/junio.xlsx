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UN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6" displayName="Table_6" ref="B8:L657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JUN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2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13.57" customWidth="1" style="129" min="8" max="8"/>
    <col width="12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JUNIO!$G$657</f>
        <v/>
      </c>
      <c r="H6" s="27">
        <f>JUNIO!$H$657</f>
        <v/>
      </c>
      <c r="I6" s="28">
        <f>JUNIO!$I$657</f>
        <v/>
      </c>
      <c r="J6" s="1" t="n"/>
      <c r="K6" s="1" t="n"/>
      <c r="L6" s="1" t="n"/>
      <c r="M6" s="29" t="inlineStr">
        <is>
          <t>T</t>
        </is>
      </c>
      <c r="N6" s="30">
        <f>N657</f>
        <v/>
      </c>
      <c r="O6" s="30">
        <f>O657</f>
        <v/>
      </c>
      <c r="P6" s="30">
        <f>P657</f>
        <v/>
      </c>
      <c r="Q6" s="30">
        <f>Q657</f>
        <v/>
      </c>
      <c r="R6" s="31">
        <f>R657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JUNIO!$I9-JUNIO!$H9</f>
        <v/>
      </c>
      <c r="H9" s="121" t="n"/>
      <c r="I9" s="121" t="n"/>
      <c r="J9" s="123" t="n"/>
      <c r="K9" s="123" t="n"/>
      <c r="L9" s="123" t="n"/>
      <c r="M9" s="5" t="n"/>
      <c r="N9" s="61">
        <f>IF($D9="AL",$G9,0)</f>
        <v/>
      </c>
      <c r="O9" s="63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JUNIO!$I10-JUNIO!$H10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72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JUNIO!$I11-JUNIO!$H11</f>
        <v/>
      </c>
      <c r="H11" s="121" t="n"/>
      <c r="I11" s="121" t="n"/>
      <c r="J11" s="123" t="n"/>
      <c r="K11" s="120" t="n"/>
      <c r="L11" s="64" t="n"/>
      <c r="M11" s="5" t="n"/>
      <c r="N11" s="65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JUNIO!$I12-JUNIO!$H12</f>
        <v/>
      </c>
      <c r="H12" s="121" t="n"/>
      <c r="I12" s="121" t="n"/>
      <c r="J12" s="123" t="n"/>
      <c r="K12" s="120" t="n"/>
      <c r="L12" s="64" t="n"/>
      <c r="M12" s="5" t="n"/>
      <c r="N12" s="65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JUNIO!$I13-JUNIO!$H13</f>
        <v/>
      </c>
      <c r="H13" s="121" t="n"/>
      <c r="I13" s="121" t="n"/>
      <c r="J13" s="123" t="n"/>
      <c r="K13" s="120" t="n"/>
      <c r="L13" s="64" t="n"/>
      <c r="M13" s="5" t="n"/>
      <c r="N13" s="71">
        <f>IF($D13="AL",$G13,0)</f>
        <v/>
      </c>
      <c r="O13" s="72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JUNIO!$I14-JUNIO!$H14</f>
        <v/>
      </c>
      <c r="H14" s="121" t="n"/>
      <c r="I14" s="121" t="n"/>
      <c r="J14" s="123" t="n"/>
      <c r="K14" s="120" t="n"/>
      <c r="L14" s="64" t="n"/>
      <c r="M14" s="5" t="n"/>
      <c r="N14" s="65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JUNIO!$I15-JUNIO!$H15</f>
        <v/>
      </c>
      <c r="H15" s="121" t="n"/>
      <c r="I15" s="121" t="n"/>
      <c r="J15" s="123" t="n"/>
      <c r="K15" s="120" t="n"/>
      <c r="L15" s="64" t="n"/>
      <c r="M15" s="5" t="n"/>
      <c r="N15" s="65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JUNIO!$I16-JUNIO!$H16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72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JUNIO!$I17-JUNIO!$H17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72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JUNIO!$I18-JUNIO!$H18</f>
        <v/>
      </c>
      <c r="H18" s="121" t="n"/>
      <c r="I18" s="121" t="n"/>
      <c r="J18" s="123" t="n"/>
      <c r="K18" s="120" t="n"/>
      <c r="L18" s="64" t="n"/>
      <c r="M18" s="5" t="n"/>
      <c r="N18" s="65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JUNIO!$I19-JUNIO!$H19</f>
        <v/>
      </c>
      <c r="H19" s="121" t="n"/>
      <c r="I19" s="121" t="n"/>
      <c r="J19" s="123" t="n"/>
      <c r="K19" s="120" t="n"/>
      <c r="L19" s="64" t="n"/>
      <c r="M19" s="5" t="n"/>
      <c r="N19" s="65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JUNIO!$I20-JUNIO!$H20</f>
        <v/>
      </c>
      <c r="H20" s="121" t="n"/>
      <c r="I20" s="121" t="n"/>
      <c r="J20" s="123" t="n"/>
      <c r="K20" s="120" t="n"/>
      <c r="L20" s="64" t="n"/>
      <c r="M20" s="5" t="n"/>
      <c r="N20" s="71">
        <f>IF($D20="AL",$G20,0)</f>
        <v/>
      </c>
      <c r="O20" s="72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73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JUNIO!$I21-JUNIO!$H21</f>
        <v/>
      </c>
      <c r="H21" s="121" t="n"/>
      <c r="I21" s="121" t="n"/>
      <c r="J21" s="123" t="n"/>
      <c r="K21" s="120" t="n"/>
      <c r="L21" s="64" t="n"/>
      <c r="M21" s="5" t="n"/>
      <c r="N21" s="65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73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JUNIO!$I22-JUNIO!$H22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75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JUNIO!$I23-JUNIO!$H23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75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JUNIO!$I24-JUNIO!$H24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72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73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JUNIO!$I25-JUNIO!$H25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72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73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JUNIO!$I26-JUNIO!$H26</f>
        <v/>
      </c>
      <c r="H26" s="121" t="n"/>
      <c r="I26" s="121" t="n"/>
      <c r="J26" s="123" t="n"/>
      <c r="K26" s="120" t="n"/>
      <c r="L26" s="64" t="n"/>
      <c r="M26" s="5" t="n"/>
      <c r="N26" s="65">
        <f>IF($D26="AL",$G26,0)</f>
        <v/>
      </c>
      <c r="O26" s="66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JUNIO!$I27-JUNIO!$H27</f>
        <v/>
      </c>
      <c r="H27" s="121" t="n"/>
      <c r="I27" s="121" t="n"/>
      <c r="J27" s="123" t="n"/>
      <c r="K27" s="120" t="n"/>
      <c r="L27" s="64" t="n"/>
      <c r="M27" s="5" t="n"/>
      <c r="N27" s="65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JUNIO!$I28-JUNIO!$H28</f>
        <v/>
      </c>
      <c r="H28" s="121" t="n"/>
      <c r="I28" s="121" t="n"/>
      <c r="J28" s="123" t="n"/>
      <c r="K28" s="120" t="n"/>
      <c r="L28" s="64" t="n"/>
      <c r="M28" s="5" t="n"/>
      <c r="N28" s="65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JUNIO!$I29-JUNIO!$H29</f>
        <v/>
      </c>
      <c r="H29" s="121" t="n"/>
      <c r="I29" s="121" t="n"/>
      <c r="J29" s="123" t="n"/>
      <c r="K29" s="120" t="n"/>
      <c r="L29" s="64" t="n"/>
      <c r="M29" s="5" t="n"/>
      <c r="N29" s="65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73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JUNIO!$I30-JUNIO!$H30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66">
        <f>IF($D30="BA",$G30,0)</f>
        <v/>
      </c>
      <c r="P30" s="66">
        <f>IF($D30="GF",$G30,0)</f>
        <v/>
      </c>
      <c r="Q30" s="66">
        <f>IF($D30="OT",$G30,0)</f>
        <v/>
      </c>
      <c r="R30" s="75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73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JUNIO!$I31-JUNIO!$H31</f>
        <v/>
      </c>
      <c r="H31" s="121" t="n"/>
      <c r="I31" s="121" t="n"/>
      <c r="J31" s="123" t="n"/>
      <c r="K31" s="120" t="n"/>
      <c r="L31" s="64" t="n"/>
      <c r="M31" s="5" t="n"/>
      <c r="N31" s="71">
        <f>IF($D31="AL",$G31,0)</f>
        <v/>
      </c>
      <c r="O31" s="72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JUNIO!$I32-JUNIO!$H32</f>
        <v/>
      </c>
      <c r="H32" s="121" t="n"/>
      <c r="I32" s="121" t="n"/>
      <c r="J32" s="123" t="n"/>
      <c r="K32" s="120" t="n"/>
      <c r="L32" s="64" t="n"/>
      <c r="M32" s="5" t="n"/>
      <c r="N32" s="65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JUNIO!$I33-JUNIO!$H33</f>
        <v/>
      </c>
      <c r="H33" s="121" t="n"/>
      <c r="I33" s="121" t="n"/>
      <c r="J33" s="123" t="n"/>
      <c r="K33" s="120" t="n"/>
      <c r="L33" s="64" t="n"/>
      <c r="M33" s="5" t="n"/>
      <c r="N33" s="65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JUNIO!$I34-JUNIO!$H34</f>
        <v/>
      </c>
      <c r="H34" s="121" t="n"/>
      <c r="I34" s="121" t="n"/>
      <c r="J34" s="123" t="n"/>
      <c r="K34" s="120" t="n"/>
      <c r="L34" s="64" t="n"/>
      <c r="M34" s="5" t="n"/>
      <c r="N34" s="65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JUNIO!$I35-JUNIO!$H35</f>
        <v/>
      </c>
      <c r="H35" s="121" t="n"/>
      <c r="I35" s="121" t="n"/>
      <c r="J35" s="123" t="n"/>
      <c r="K35" s="120" t="n"/>
      <c r="L35" s="64" t="n"/>
      <c r="M35" s="5" t="n"/>
      <c r="N35" s="65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3" t="n"/>
      <c r="E36" s="120" t="n"/>
      <c r="F36" s="120" t="n"/>
      <c r="G36" s="63">
        <f>JUNIO!$I36-JUNIO!$H36</f>
        <v/>
      </c>
      <c r="H36" s="121" t="n"/>
      <c r="I36" s="121" t="n"/>
      <c r="J36" s="123" t="n"/>
      <c r="K36" s="120" t="n"/>
      <c r="L36" s="120" t="n"/>
      <c r="M36" s="5" t="n"/>
      <c r="N36" s="65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3" t="n"/>
      <c r="E37" s="120" t="n"/>
      <c r="F37" s="120" t="n"/>
      <c r="G37" s="63">
        <f>JUNIO!$I37-JUNIO!$H37</f>
        <v/>
      </c>
      <c r="H37" s="121" t="n"/>
      <c r="I37" s="121" t="n"/>
      <c r="J37" s="123" t="n"/>
      <c r="K37" s="120" t="n"/>
      <c r="L37" s="64" t="n"/>
      <c r="M37" s="5" t="n"/>
      <c r="N37" s="65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3" t="n"/>
      <c r="E38" s="120" t="n"/>
      <c r="F38" s="120" t="n"/>
      <c r="G38" s="63">
        <f>JUNIO!$I38-JUNIO!$H38</f>
        <v/>
      </c>
      <c r="H38" s="121" t="n"/>
      <c r="I38" s="121" t="n"/>
      <c r="J38" s="120" t="n"/>
      <c r="K38" s="120" t="n"/>
      <c r="L38" s="64" t="n"/>
      <c r="M38" s="5" t="n"/>
      <c r="N38" s="71">
        <f>IF($D38="AL",$G38,0)</f>
        <v/>
      </c>
      <c r="O38" s="72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3" t="n"/>
      <c r="E39" s="120" t="n"/>
      <c r="F39" s="120" t="n"/>
      <c r="G39" s="63">
        <f>JUNIO!$I39-JUNIO!$H39</f>
        <v/>
      </c>
      <c r="H39" s="121" t="n"/>
      <c r="I39" s="121" t="n"/>
      <c r="J39" s="120" t="n"/>
      <c r="K39" s="120" t="n"/>
      <c r="L39" s="64" t="n"/>
      <c r="M39" s="5" t="n"/>
      <c r="N39" s="71">
        <f>IF($D39="AL",$G39,0)</f>
        <v/>
      </c>
      <c r="O39" s="72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3" t="n"/>
      <c r="E40" s="120" t="n"/>
      <c r="F40" s="120" t="n"/>
      <c r="G40" s="63">
        <f>JUNIO!$I40-JUNIO!$H40</f>
        <v/>
      </c>
      <c r="H40" s="121" t="n"/>
      <c r="I40" s="121" t="n"/>
      <c r="J40" s="120" t="n"/>
      <c r="K40" s="120" t="n"/>
      <c r="L40" s="64" t="n"/>
      <c r="M40" s="5" t="n"/>
      <c r="N40" s="65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3" t="n"/>
      <c r="E41" s="120" t="n"/>
      <c r="F41" s="120" t="n"/>
      <c r="G41" s="63">
        <f>JUNIO!$I41-JUNIO!$H41</f>
        <v/>
      </c>
      <c r="H41" s="121" t="n"/>
      <c r="I41" s="121" t="n"/>
      <c r="J41" s="120" t="n"/>
      <c r="K41" s="120" t="n"/>
      <c r="L41" s="64" t="n"/>
      <c r="M41" s="5" t="n"/>
      <c r="N41" s="65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JUNIO!$I42-JUNIO!$H42</f>
        <v/>
      </c>
      <c r="H42" s="121" t="n"/>
      <c r="I42" s="121" t="n"/>
      <c r="J42" s="120" t="n"/>
      <c r="K42" s="120" t="n"/>
      <c r="L42" s="64" t="n"/>
      <c r="M42" s="5" t="n"/>
      <c r="N42" s="71">
        <f>IF($D42="AL",$G42,0)</f>
        <v/>
      </c>
      <c r="O42" s="72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JUNIO!$I43-JUNIO!$H43</f>
        <v/>
      </c>
      <c r="H43" s="121" t="n"/>
      <c r="I43" s="121" t="n"/>
      <c r="J43" s="120" t="n"/>
      <c r="K43" s="120" t="n"/>
      <c r="L43" s="64" t="n"/>
      <c r="M43" s="5" t="n"/>
      <c r="N43" s="65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JUNIO!$I44-JUNIO!$H44</f>
        <v/>
      </c>
      <c r="H44" s="121" t="n"/>
      <c r="I44" s="121" t="n"/>
      <c r="J44" s="120" t="n"/>
      <c r="K44" s="120" t="n"/>
      <c r="L44" s="64" t="n"/>
      <c r="M44" s="5" t="n"/>
      <c r="N44" s="65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JUNIO!$I45-JUNIO!$H45</f>
        <v/>
      </c>
      <c r="H45" s="121" t="n"/>
      <c r="I45" s="121" t="n"/>
      <c r="J45" s="120" t="n"/>
      <c r="K45" s="120" t="n"/>
      <c r="L45" s="64" t="n"/>
      <c r="M45" s="5" t="n"/>
      <c r="N45" s="65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JUNIO!$I46-JUNIO!$H46</f>
        <v/>
      </c>
      <c r="H46" s="121" t="n"/>
      <c r="I46" s="121" t="n"/>
      <c r="J46" s="123" t="n"/>
      <c r="K46" s="120" t="n"/>
      <c r="L46" s="64" t="n"/>
      <c r="M46" s="5" t="n"/>
      <c r="N46" s="65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JUNIO!$I47-JUNIO!$H47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75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JUNIO!$I48-JUNIO!$H48</f>
        <v/>
      </c>
      <c r="H48" s="121" t="n"/>
      <c r="I48" s="121" t="n"/>
      <c r="J48" s="123" t="n"/>
      <c r="K48" s="120" t="n"/>
      <c r="L48" s="64" t="n"/>
      <c r="M48" s="5" t="n"/>
      <c r="N48" s="65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JUNIO!$I49-JUNIO!$H49</f>
        <v/>
      </c>
      <c r="H49" s="121" t="n"/>
      <c r="I49" s="121" t="n"/>
      <c r="J49" s="123" t="n"/>
      <c r="K49" s="120" t="n"/>
      <c r="L49" s="64" t="n"/>
      <c r="M49" s="5" t="n"/>
      <c r="N49" s="65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JUNIO!$I50-JUNIO!$H50</f>
        <v/>
      </c>
      <c r="H50" s="121" t="n"/>
      <c r="I50" s="121" t="n"/>
      <c r="J50" s="123" t="n"/>
      <c r="K50" s="120" t="n"/>
      <c r="L50" s="64" t="n"/>
      <c r="M50" s="5" t="n"/>
      <c r="N50" s="65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JUNIO!$I51-JUNIO!$H51</f>
        <v/>
      </c>
      <c r="H51" s="121" t="n"/>
      <c r="I51" s="121" t="n"/>
      <c r="J51" s="123" t="n"/>
      <c r="K51" s="120" t="n"/>
      <c r="L51" s="64" t="n"/>
      <c r="M51" s="5" t="n"/>
      <c r="N51" s="65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JUNIO!$I52-JUNIO!$H52</f>
        <v/>
      </c>
      <c r="H52" s="121" t="n"/>
      <c r="I52" s="121" t="n"/>
      <c r="J52" s="123" t="n"/>
      <c r="K52" s="120" t="n"/>
      <c r="L52" s="64" t="n"/>
      <c r="M52" s="5" t="n"/>
      <c r="N52" s="65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JUNIO!$I53-JUNIO!$H53</f>
        <v/>
      </c>
      <c r="H53" s="121" t="n"/>
      <c r="I53" s="121" t="n"/>
      <c r="J53" s="123" t="n"/>
      <c r="K53" s="120" t="n"/>
      <c r="L53" s="64" t="n"/>
      <c r="M53" s="5" t="n"/>
      <c r="N53" s="65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73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JUNIO!$I54-JUNIO!$H54</f>
        <v/>
      </c>
      <c r="H54" s="121" t="n"/>
      <c r="I54" s="121" t="n"/>
      <c r="J54" s="123" t="n"/>
      <c r="K54" s="120" t="n"/>
      <c r="L54" s="64" t="n"/>
      <c r="M54" s="5" t="n"/>
      <c r="N54" s="65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73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JUNIO!$I55-JUNIO!$H55</f>
        <v/>
      </c>
      <c r="H55" s="121" t="n"/>
      <c r="I55" s="121" t="n"/>
      <c r="J55" s="123" t="n"/>
      <c r="K55" s="120" t="n"/>
      <c r="L55" s="64" t="n"/>
      <c r="M55" s="5" t="n"/>
      <c r="N55" s="65">
        <f>IF($D55="AL",$G55,0)</f>
        <v/>
      </c>
      <c r="O55" s="66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JUNIO!$I56-JUNIO!$H56</f>
        <v/>
      </c>
      <c r="H56" s="121" t="n"/>
      <c r="I56" s="121" t="n"/>
      <c r="J56" s="123" t="n"/>
      <c r="K56" s="120" t="n"/>
      <c r="L56" s="64" t="n"/>
      <c r="M56" s="5" t="n"/>
      <c r="N56" s="65">
        <f>IF($D56="AL",$G56,0)</f>
        <v/>
      </c>
      <c r="O56" s="66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JUNIO!$I57-JUNIO!$H57</f>
        <v/>
      </c>
      <c r="H57" s="121" t="n"/>
      <c r="I57" s="121" t="n"/>
      <c r="J57" s="123" t="n"/>
      <c r="K57" s="120" t="n"/>
      <c r="L57" s="64" t="n"/>
      <c r="M57" s="5" t="n"/>
      <c r="N57" s="65">
        <f>IF($D57="AL",$G57,0)</f>
        <v/>
      </c>
      <c r="O57" s="66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73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JUNIO!$I58-JUNIO!$H58</f>
        <v/>
      </c>
      <c r="H58" s="121" t="n"/>
      <c r="I58" s="121" t="n"/>
      <c r="J58" s="123" t="n"/>
      <c r="K58" s="120" t="n"/>
      <c r="L58" s="64" t="n"/>
      <c r="M58" s="5" t="n"/>
      <c r="N58" s="65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JUNIO!$I59-JUNIO!$H59</f>
        <v/>
      </c>
      <c r="H59" s="121" t="n"/>
      <c r="I59" s="121" t="n"/>
      <c r="J59" s="123" t="n"/>
      <c r="K59" s="120" t="n"/>
      <c r="L59" s="64" t="n"/>
      <c r="M59" s="5" t="n"/>
      <c r="N59" s="65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JUNIO!$I60-JUNIO!$H60</f>
        <v/>
      </c>
      <c r="H60" s="121" t="n"/>
      <c r="I60" s="121" t="n"/>
      <c r="J60" s="123" t="n"/>
      <c r="K60" s="120" t="n"/>
      <c r="L60" s="64" t="n"/>
      <c r="M60" s="5" t="n"/>
      <c r="N60" s="71">
        <f>IF($D60="AL",$G60,0)</f>
        <v/>
      </c>
      <c r="O60" s="72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73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JUNIO!$I61-JUNIO!$H61</f>
        <v/>
      </c>
      <c r="H61" s="121" t="n"/>
      <c r="I61" s="121" t="n"/>
      <c r="J61" s="123" t="n"/>
      <c r="K61" s="120" t="n"/>
      <c r="L61" s="64" t="n"/>
      <c r="M61" s="5" t="n"/>
      <c r="N61" s="65">
        <f>IF($D61="AL",$G61,0)</f>
        <v/>
      </c>
      <c r="O61" s="66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JUNIO!$I62-JUNIO!$H62</f>
        <v/>
      </c>
      <c r="H62" s="121" t="n"/>
      <c r="I62" s="121" t="n"/>
      <c r="J62" s="123" t="n"/>
      <c r="K62" s="120" t="n"/>
      <c r="L62" s="64" t="n"/>
      <c r="M62" s="5" t="n"/>
      <c r="N62" s="71">
        <f>IF($D62="AL",$G62,0)</f>
        <v/>
      </c>
      <c r="O62" s="72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73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JUNIO!$I63-JUNIO!$H63</f>
        <v/>
      </c>
      <c r="H63" s="121" t="n"/>
      <c r="I63" s="121" t="n"/>
      <c r="J63" s="123" t="n"/>
      <c r="K63" s="120" t="n"/>
      <c r="L63" s="64" t="n"/>
      <c r="M63" s="5" t="n"/>
      <c r="N63" s="71">
        <f>IF($D63="AL",$G63,0)</f>
        <v/>
      </c>
      <c r="O63" s="72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73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JUNIO!$I64-JUNIO!$H64</f>
        <v/>
      </c>
      <c r="H64" s="121" t="n"/>
      <c r="I64" s="121" t="n"/>
      <c r="J64" s="123" t="n"/>
      <c r="K64" s="120" t="n"/>
      <c r="L64" s="64" t="n"/>
      <c r="M64" s="5" t="n"/>
      <c r="N64" s="71">
        <f>IF($D64="AL",$G64,0)</f>
        <v/>
      </c>
      <c r="O64" s="72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73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JUNIO!$I65-JUNIO!$H65</f>
        <v/>
      </c>
      <c r="H65" s="121" t="n"/>
      <c r="I65" s="121" t="n"/>
      <c r="J65" s="123" t="n"/>
      <c r="K65" s="120" t="n"/>
      <c r="L65" s="64" t="n"/>
      <c r="M65" s="5" t="n"/>
      <c r="N65" s="65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JUNIO!$I66-JUNIO!$H66</f>
        <v/>
      </c>
      <c r="H66" s="121" t="n"/>
      <c r="I66" s="121" t="n"/>
      <c r="J66" s="123" t="n"/>
      <c r="K66" s="120" t="n"/>
      <c r="L66" s="64" t="n"/>
      <c r="M66" s="5" t="n"/>
      <c r="N66" s="71">
        <f>IF($D66="AL",$G66,0)</f>
        <v/>
      </c>
      <c r="O66" s="72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JUNIO!$I67-JUNIO!$H67</f>
        <v/>
      </c>
      <c r="H67" s="121" t="n"/>
      <c r="I67" s="121" t="n"/>
      <c r="J67" s="123" t="n"/>
      <c r="K67" s="120" t="n"/>
      <c r="L67" s="64" t="n"/>
      <c r="M67" s="5" t="n"/>
      <c r="N67" s="65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JUNIO!$I68-JUNIO!$H68</f>
        <v/>
      </c>
      <c r="H68" s="121" t="n"/>
      <c r="I68" s="121" t="n"/>
      <c r="J68" s="123" t="n"/>
      <c r="K68" s="120" t="n"/>
      <c r="L68" s="64" t="n"/>
      <c r="M68" s="5" t="n"/>
      <c r="N68" s="65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JUNIO!$I69-JUNIO!$H69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72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73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JUNIO!$I70-JUNIO!$H70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72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73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JUNIO!$I71-JUNIO!$H71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72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JUNIO!$I72-JUNIO!$H72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72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JUNIO!$I73-JUNIO!$H73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66">
        <f>IF($D73="BA",$G73,0)</f>
        <v/>
      </c>
      <c r="P73" s="66">
        <f>IF($D73="GF",$G73,0)</f>
        <v/>
      </c>
      <c r="Q73" s="72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JUNIO!$I74-JUNIO!$H74</f>
        <v/>
      </c>
      <c r="H74" s="121" t="n"/>
      <c r="I74" s="121" t="n"/>
      <c r="J74" s="123" t="n"/>
      <c r="K74" s="120" t="n"/>
      <c r="L74" s="64" t="n"/>
      <c r="M74" s="5" t="n"/>
      <c r="N74" s="65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0" t="n"/>
      <c r="E75" s="120" t="n"/>
      <c r="F75" s="120" t="n"/>
      <c r="G75" s="63">
        <f>JUNIO!$I75-JUNIO!$H75</f>
        <v/>
      </c>
      <c r="H75" s="121" t="n"/>
      <c r="I75" s="121" t="n"/>
      <c r="J75" s="123" t="n"/>
      <c r="K75" s="120" t="n"/>
      <c r="L75" s="64" t="n"/>
      <c r="M75" s="5" t="n"/>
      <c r="N75" s="65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3" t="n"/>
      <c r="E76" s="120" t="n"/>
      <c r="F76" s="120" t="n"/>
      <c r="G76" s="63">
        <f>JUNIO!$I76-JUNIO!$H76</f>
        <v/>
      </c>
      <c r="H76" s="121" t="n"/>
      <c r="I76" s="121" t="n"/>
      <c r="J76" s="123" t="n"/>
      <c r="K76" s="120" t="n"/>
      <c r="L76" s="64" t="n"/>
      <c r="M76" s="5" t="n"/>
      <c r="N76" s="65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JUNIO!$I77-JUNIO!$H77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72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73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JUNIO!$I78-JUNIO!$H78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72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73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JUNIO!$I79-JUNIO!$H79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72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73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JUNIO!$I80-JUNIO!$H80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72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JUNIO!$I81-JUNIO!$H81</f>
        <v/>
      </c>
      <c r="H81" s="121" t="n"/>
      <c r="I81" s="121" t="n"/>
      <c r="J81" s="123" t="n"/>
      <c r="K81" s="120" t="n"/>
      <c r="L81" s="64" t="n"/>
      <c r="M81" s="5" t="n"/>
      <c r="N81" s="65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JUNIO!$I82-JUNIO!$H82</f>
        <v/>
      </c>
      <c r="H82" s="121" t="n"/>
      <c r="I82" s="121" t="n"/>
      <c r="J82" s="123" t="n"/>
      <c r="K82" s="120" t="n"/>
      <c r="L82" s="64" t="n"/>
      <c r="M82" s="5" t="n"/>
      <c r="N82" s="71">
        <f>IF($D82="AL",$G82,0)</f>
        <v/>
      </c>
      <c r="O82" s="72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JUNIO!$I83-JUNIO!$H83</f>
        <v/>
      </c>
      <c r="H83" s="121" t="n"/>
      <c r="I83" s="121" t="n"/>
      <c r="J83" s="123" t="n"/>
      <c r="K83" s="120" t="n"/>
      <c r="L83" s="64" t="n"/>
      <c r="M83" s="5" t="n"/>
      <c r="N83" s="65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JUNIO!$I84-JUNIO!$H84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72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JUNIO!$I85-JUNIO!$H85</f>
        <v/>
      </c>
      <c r="H85" s="121" t="n"/>
      <c r="I85" s="121" t="n"/>
      <c r="J85" s="123" t="n"/>
      <c r="K85" s="120" t="n"/>
      <c r="L85" s="64" t="n"/>
      <c r="M85" s="5" t="n"/>
      <c r="N85" s="71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75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JUNIO!$I86-JUNIO!$H86</f>
        <v/>
      </c>
      <c r="H86" s="121" t="n"/>
      <c r="I86" s="121" t="n"/>
      <c r="J86" s="123" t="n"/>
      <c r="K86" s="120" t="n"/>
      <c r="L86" s="64" t="n"/>
      <c r="M86" s="5" t="n"/>
      <c r="N86" s="65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JUNIO!$I87-JUNIO!$H87</f>
        <v/>
      </c>
      <c r="H87" s="121" t="n"/>
      <c r="I87" s="121" t="n"/>
      <c r="J87" s="122" t="n"/>
      <c r="K87" s="120" t="n"/>
      <c r="L87" s="64" t="n"/>
      <c r="M87" s="5" t="n"/>
      <c r="N87" s="65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JUNIO!$I88-JUNIO!$H88</f>
        <v/>
      </c>
      <c r="H88" s="121" t="n"/>
      <c r="I88" s="121" t="n"/>
      <c r="J88" s="122" t="n"/>
      <c r="K88" s="120" t="n"/>
      <c r="L88" s="64" t="n"/>
      <c r="M88" s="5" t="n"/>
      <c r="N88" s="71">
        <f>IF($D88="AL",$G88,0)</f>
        <v/>
      </c>
      <c r="O88" s="72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JUNIO!$I89-JUNIO!$H89</f>
        <v/>
      </c>
      <c r="H89" s="121" t="n"/>
      <c r="I89" s="121" t="n"/>
      <c r="J89" s="123" t="n"/>
      <c r="K89" s="120" t="n"/>
      <c r="L89" s="64" t="n"/>
      <c r="M89" s="5" t="n"/>
      <c r="N89" s="65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JUNIO!$I90-JUNIO!$H90</f>
        <v/>
      </c>
      <c r="H90" s="121" t="n"/>
      <c r="I90" s="121" t="n"/>
      <c r="J90" s="123" t="n"/>
      <c r="K90" s="120" t="n"/>
      <c r="L90" s="64" t="n"/>
      <c r="M90" s="5" t="n"/>
      <c r="N90" s="71">
        <f>IF($D90="AL",$G90,0)</f>
        <v/>
      </c>
      <c r="O90" s="72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JUNIO!$I91-JUNIO!$H91</f>
        <v/>
      </c>
      <c r="H91" s="121" t="n"/>
      <c r="I91" s="121" t="n"/>
      <c r="J91" s="123" t="n"/>
      <c r="K91" s="120" t="n"/>
      <c r="L91" s="64" t="n"/>
      <c r="M91" s="5" t="n"/>
      <c r="N91" s="71">
        <f>IF($D91="AL",$G91,0)</f>
        <v/>
      </c>
      <c r="O91" s="72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JUNIO!$I92-JUNIO!$H92</f>
        <v/>
      </c>
      <c r="H92" s="121" t="n"/>
      <c r="I92" s="121" t="n"/>
      <c r="J92" s="123" t="n"/>
      <c r="K92" s="120" t="n"/>
      <c r="L92" s="64" t="n"/>
      <c r="M92" s="5" t="n"/>
      <c r="N92" s="71">
        <f>IF($D92="AL",$G92,0)</f>
        <v/>
      </c>
      <c r="O92" s="72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73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JUNIO!$I93-JUNIO!$H93</f>
        <v/>
      </c>
      <c r="H93" s="121" t="n"/>
      <c r="I93" s="121" t="n"/>
      <c r="J93" s="123" t="n"/>
      <c r="K93" s="120" t="n"/>
      <c r="L93" s="64" t="n"/>
      <c r="M93" s="5" t="n"/>
      <c r="N93" s="71">
        <f>IF($D93="AL",$G93,0)</f>
        <v/>
      </c>
      <c r="O93" s="72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JUNIO!$I94-JUNIO!$H94</f>
        <v/>
      </c>
      <c r="H94" s="121" t="n"/>
      <c r="I94" s="121" t="n"/>
      <c r="J94" s="123" t="n"/>
      <c r="K94" s="120" t="n"/>
      <c r="L94" s="64" t="n"/>
      <c r="M94" s="5" t="n"/>
      <c r="N94" s="65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JUNIO!$I95-JUNIO!$H95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66">
        <f>IF($D95="BA",$G95,0)</f>
        <v/>
      </c>
      <c r="P95" s="66">
        <f>IF($D95="GF",$G95,0)</f>
        <v/>
      </c>
      <c r="Q95" s="72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JUNIO!$I96-JUNIO!$H96</f>
        <v/>
      </c>
      <c r="H96" s="121" t="n"/>
      <c r="I96" s="121" t="n"/>
      <c r="J96" s="123" t="n"/>
      <c r="K96" s="120" t="n"/>
      <c r="L96" s="64" t="n"/>
      <c r="M96" s="5" t="n"/>
      <c r="N96" s="65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JUNIO!$I97-JUNIO!$H97</f>
        <v/>
      </c>
      <c r="H97" s="121" t="n"/>
      <c r="I97" s="121" t="n"/>
      <c r="J97" s="123" t="n"/>
      <c r="K97" s="120" t="n"/>
      <c r="L97" s="64" t="n"/>
      <c r="M97" s="5" t="n"/>
      <c r="N97" s="65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JUNIO!$I98-JUNIO!$H98</f>
        <v/>
      </c>
      <c r="H98" s="121" t="n"/>
      <c r="I98" s="121" t="n"/>
      <c r="J98" s="123" t="n"/>
      <c r="K98" s="120" t="n"/>
      <c r="L98" s="64" t="n"/>
      <c r="M98" s="5" t="n"/>
      <c r="N98" s="65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JUNIO!$I99-JUNIO!$H99</f>
        <v/>
      </c>
      <c r="H99" s="121" t="n"/>
      <c r="I99" s="121" t="n"/>
      <c r="J99" s="123" t="n"/>
      <c r="K99" s="120" t="n"/>
      <c r="L99" s="64" t="n"/>
      <c r="M99" s="5" t="n"/>
      <c r="N99" s="65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73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JUNIO!$I100-JUNIO!$H100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66">
        <f>IF($D100="BA",$G100,0)</f>
        <v/>
      </c>
      <c r="P100" s="66">
        <f>IF($D100="GF",$G100,0)</f>
        <v/>
      </c>
      <c r="Q100" s="72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JUNIO!$I101-JUNIO!$H101</f>
        <v/>
      </c>
      <c r="H101" s="121" t="n"/>
      <c r="I101" s="121" t="n"/>
      <c r="J101" s="123" t="n"/>
      <c r="K101" s="120" t="n"/>
      <c r="L101" s="64" t="n"/>
      <c r="M101" s="5" t="n"/>
      <c r="N101" s="65">
        <f>IF($D101="AL",$G101,0)</f>
        <v/>
      </c>
      <c r="O101" s="66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73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JUNIO!$I102-JUNIO!$H102</f>
        <v/>
      </c>
      <c r="H102" s="121" t="n"/>
      <c r="I102" s="121" t="n"/>
      <c r="J102" s="123" t="n"/>
      <c r="K102" s="120" t="n"/>
      <c r="L102" s="64" t="n"/>
      <c r="M102" s="5" t="n"/>
      <c r="N102" s="65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JUNIO!$I103-JUNIO!$H103</f>
        <v/>
      </c>
      <c r="H103" s="121" t="n"/>
      <c r="I103" s="121" t="n"/>
      <c r="J103" s="123" t="n"/>
      <c r="K103" s="120" t="n"/>
      <c r="L103" s="64" t="n"/>
      <c r="M103" s="5" t="n"/>
      <c r="N103" s="65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JUNIO!$I104-JUNIO!$H104</f>
        <v/>
      </c>
      <c r="H104" s="121" t="n"/>
      <c r="I104" s="121" t="n"/>
      <c r="J104" s="123" t="n"/>
      <c r="K104" s="120" t="n"/>
      <c r="L104" s="64" t="n"/>
      <c r="M104" s="5" t="n"/>
      <c r="N104" s="65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JUNIO!$I105-JUNIO!$H105</f>
        <v/>
      </c>
      <c r="H105" s="121" t="n"/>
      <c r="I105" s="121" t="n"/>
      <c r="J105" s="123" t="n"/>
      <c r="K105" s="120" t="n"/>
      <c r="L105" s="64" t="n"/>
      <c r="M105" s="5" t="n"/>
      <c r="N105" s="65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JUNIO!$I106-JUNIO!$H106</f>
        <v/>
      </c>
      <c r="H106" s="121" t="n"/>
      <c r="I106" s="121" t="n"/>
      <c r="J106" s="123" t="n"/>
      <c r="K106" s="120" t="n"/>
      <c r="L106" s="64" t="n"/>
      <c r="M106" s="5" t="n"/>
      <c r="N106" s="65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JUNIO!$I107-JUNIO!$H107</f>
        <v/>
      </c>
      <c r="H107" s="121" t="n"/>
      <c r="I107" s="121" t="n"/>
      <c r="J107" s="123" t="n"/>
      <c r="K107" s="120" t="n"/>
      <c r="L107" s="64" t="n"/>
      <c r="M107" s="5" t="n"/>
      <c r="N107" s="71">
        <f>IF($D107="AL",$G107,0)</f>
        <v/>
      </c>
      <c r="O107" s="72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JUNIO!$I108-JUNIO!$H108</f>
        <v/>
      </c>
      <c r="H108" s="121" t="n"/>
      <c r="I108" s="121" t="n"/>
      <c r="J108" s="123" t="n"/>
      <c r="K108" s="120" t="n"/>
      <c r="L108" s="64" t="n"/>
      <c r="M108" s="5" t="n"/>
      <c r="N108" s="65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73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JUNIO!$I109-JUNIO!$H109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72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JUNIO!$I110-JUNIO!$H110</f>
        <v/>
      </c>
      <c r="H110" s="121" t="n"/>
      <c r="I110" s="121" t="n"/>
      <c r="J110" s="123" t="n"/>
      <c r="K110" s="120" t="n"/>
      <c r="L110" s="64" t="n"/>
      <c r="M110" s="5" t="n"/>
      <c r="N110" s="71">
        <f>IF($D110="AL",$G110,0)</f>
        <v/>
      </c>
      <c r="O110" s="72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JUNIO!$I111-JUNIO!$H111</f>
        <v/>
      </c>
      <c r="H111" s="121" t="n"/>
      <c r="I111" s="121" t="n"/>
      <c r="J111" s="123" t="n"/>
      <c r="K111" s="120" t="n"/>
      <c r="L111" s="64" t="n"/>
      <c r="M111" s="5" t="n"/>
      <c r="N111" s="65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JUNIO!$I112-JUNIO!$H112</f>
        <v/>
      </c>
      <c r="H112" s="121" t="n"/>
      <c r="I112" s="121" t="n"/>
      <c r="J112" s="123" t="n"/>
      <c r="K112" s="120" t="n"/>
      <c r="L112" s="64" t="n"/>
      <c r="M112" s="5" t="n"/>
      <c r="N112" s="65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JUNIO!$I113-JUNIO!$H113</f>
        <v/>
      </c>
      <c r="H113" s="121" t="n"/>
      <c r="I113" s="121" t="n"/>
      <c r="J113" s="123" t="n"/>
      <c r="K113" s="120" t="n"/>
      <c r="L113" s="64" t="n"/>
      <c r="M113" s="5" t="n"/>
      <c r="N113" s="65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73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JUNIO!$I114-JUNIO!$H114</f>
        <v/>
      </c>
      <c r="H114" s="121" t="n"/>
      <c r="I114" s="121" t="n"/>
      <c r="J114" s="123" t="n"/>
      <c r="K114" s="120" t="n"/>
      <c r="L114" s="64" t="n"/>
      <c r="M114" s="5" t="n"/>
      <c r="N114" s="65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JUNIO!$I115-JUNIO!$H115</f>
        <v/>
      </c>
      <c r="H115" s="121" t="n"/>
      <c r="I115" s="121" t="n"/>
      <c r="J115" s="123" t="n"/>
      <c r="K115" s="120" t="n"/>
      <c r="L115" s="64" t="n"/>
      <c r="M115" s="5" t="n"/>
      <c r="N115" s="65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JUNIO!$I116-JUNIO!$H116</f>
        <v/>
      </c>
      <c r="H116" s="121" t="n"/>
      <c r="I116" s="121" t="n"/>
      <c r="J116" s="123" t="n"/>
      <c r="K116" s="120" t="n"/>
      <c r="L116" s="64" t="n"/>
      <c r="M116" s="5" t="n"/>
      <c r="N116" s="65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JUNIO!$I117-JUNIO!$H117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72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JUNIO!$I118-JUNIO!$H118</f>
        <v/>
      </c>
      <c r="H118" s="121" t="n"/>
      <c r="I118" s="121" t="n"/>
      <c r="J118" s="123" t="n"/>
      <c r="K118" s="120" t="n"/>
      <c r="L118" s="64" t="n"/>
      <c r="M118" s="5" t="n"/>
      <c r="N118" s="65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JUNIO!$I119-JUNIO!$H119</f>
        <v/>
      </c>
      <c r="H119" s="121" t="n"/>
      <c r="I119" s="121" t="n"/>
      <c r="J119" s="123" t="n"/>
      <c r="K119" s="120" t="n"/>
      <c r="L119" s="64" t="n"/>
      <c r="M119" s="5" t="n"/>
      <c r="N119" s="65">
        <f>IF($D119="AL",$G119,0)</f>
        <v/>
      </c>
      <c r="O119" s="66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73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JUNIO!$I120-JUNIO!$H120</f>
        <v/>
      </c>
      <c r="H120" s="121" t="n"/>
      <c r="I120" s="121" t="n"/>
      <c r="J120" s="123" t="n"/>
      <c r="K120" s="120" t="n"/>
      <c r="L120" s="64" t="n"/>
      <c r="M120" s="5" t="n"/>
      <c r="N120" s="65">
        <f>IF($D120="AL",$G120,0)</f>
        <v/>
      </c>
      <c r="O120" s="66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JUNIO!$I121-JUNIO!$H121</f>
        <v/>
      </c>
      <c r="H121" s="121" t="n"/>
      <c r="I121" s="121" t="n"/>
      <c r="J121" s="123" t="n"/>
      <c r="K121" s="120" t="n"/>
      <c r="L121" s="64" t="n"/>
      <c r="M121" s="5" t="n"/>
      <c r="N121" s="65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JUNIO!$I122-JUNIO!$H122</f>
        <v/>
      </c>
      <c r="H122" s="121" t="n"/>
      <c r="I122" s="121" t="n"/>
      <c r="J122" s="123" t="n"/>
      <c r="K122" s="120" t="n"/>
      <c r="L122" s="64" t="n"/>
      <c r="M122" s="5" t="n"/>
      <c r="N122" s="65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JUNIO!$I123-JUNIO!$H123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75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JUNIO!$I124-JUNIO!$H124</f>
        <v/>
      </c>
      <c r="H124" s="121" t="n"/>
      <c r="I124" s="121" t="n"/>
      <c r="J124" s="123" t="n"/>
      <c r="K124" s="120" t="n"/>
      <c r="L124" s="64" t="n"/>
      <c r="M124" s="5" t="n"/>
      <c r="N124" s="65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JUNIO!$I125-JUNIO!$H125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75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JUNIO!$I126-JUNIO!$H126</f>
        <v/>
      </c>
      <c r="H126" s="121" t="n"/>
      <c r="I126" s="121" t="n"/>
      <c r="J126" s="123" t="n"/>
      <c r="K126" s="120" t="n"/>
      <c r="L126" s="64" t="n"/>
      <c r="M126" s="5" t="n"/>
      <c r="N126" s="65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JUNIO!$I127-JUNIO!$H127</f>
        <v/>
      </c>
      <c r="H127" s="121" t="n"/>
      <c r="I127" s="121" t="n"/>
      <c r="J127" s="123" t="n"/>
      <c r="K127" s="120" t="n"/>
      <c r="L127" s="64" t="n"/>
      <c r="M127" s="5" t="n"/>
      <c r="N127" s="65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JUNIO!$I128-JUNIO!$H128</f>
        <v/>
      </c>
      <c r="H128" s="121" t="n"/>
      <c r="I128" s="121" t="n"/>
      <c r="J128" s="123" t="n"/>
      <c r="K128" s="120" t="n"/>
      <c r="L128" s="64" t="n"/>
      <c r="M128" s="5" t="n"/>
      <c r="N128" s="65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JUNIO!$I129-JUNIO!$H129</f>
        <v/>
      </c>
      <c r="H129" s="121" t="n"/>
      <c r="I129" s="121" t="n"/>
      <c r="J129" s="123" t="n"/>
      <c r="K129" s="120" t="n"/>
      <c r="L129" s="64" t="n"/>
      <c r="M129" s="5" t="n"/>
      <c r="N129" s="71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75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73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JUNIO!$I130-JUNIO!$H130</f>
        <v/>
      </c>
      <c r="H130" s="121" t="n"/>
      <c r="I130" s="121" t="n"/>
      <c r="J130" s="123" t="n"/>
      <c r="K130" s="120" t="n"/>
      <c r="L130" s="64" t="n"/>
      <c r="M130" s="5" t="n"/>
      <c r="N130" s="65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JUNIO!$I131-JUNIO!$H131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IF($D131="AL",$G131,0)</f>
        <v/>
      </c>
      <c r="O131" s="72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JUNIO!$I132-JUNIO!$H132</f>
        <v/>
      </c>
      <c r="H132" s="121" t="n"/>
      <c r="I132" s="121" t="n"/>
      <c r="J132" s="123" t="n"/>
      <c r="K132" s="120" t="n"/>
      <c r="L132" s="64" t="n"/>
      <c r="M132" s="5" t="n"/>
      <c r="N132" s="65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JUNIO!$I133-JUNIO!$H133</f>
        <v/>
      </c>
      <c r="H133" s="121" t="n"/>
      <c r="I133" s="121" t="n"/>
      <c r="J133" s="123" t="n"/>
      <c r="K133" s="120" t="n"/>
      <c r="L133" s="64" t="n"/>
      <c r="M133" s="5" t="n"/>
      <c r="N133" s="65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73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JUNIO!$I134-JUNIO!$H134</f>
        <v/>
      </c>
      <c r="H134" s="121" t="n"/>
      <c r="I134" s="121" t="n"/>
      <c r="J134" s="123" t="n"/>
      <c r="K134" s="120" t="n"/>
      <c r="L134" s="64" t="n"/>
      <c r="M134" s="5" t="n"/>
      <c r="N134" s="65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JUNIO!$I135-JUNIO!$H135</f>
        <v/>
      </c>
      <c r="H135" s="121" t="n"/>
      <c r="I135" s="121" t="n"/>
      <c r="J135" s="123" t="n"/>
      <c r="K135" s="120" t="n"/>
      <c r="L135" s="64" t="n"/>
      <c r="M135" s="5" t="n"/>
      <c r="N135" s="65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JUNIO!$I136-JUNIO!$H136</f>
        <v/>
      </c>
      <c r="H136" s="121" t="n"/>
      <c r="I136" s="121" t="n"/>
      <c r="J136" s="123" t="n"/>
      <c r="K136" s="120" t="n"/>
      <c r="L136" s="64" t="n"/>
      <c r="M136" s="5" t="n"/>
      <c r="N136" s="71">
        <f>IF($D136="AL",$G136,0)</f>
        <v/>
      </c>
      <c r="O136" s="72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JUNIO!$I137-JUNIO!$H137</f>
        <v/>
      </c>
      <c r="H137" s="121" t="n"/>
      <c r="I137" s="121" t="n"/>
      <c r="J137" s="123" t="n"/>
      <c r="K137" s="120" t="n"/>
      <c r="L137" s="64" t="n"/>
      <c r="M137" s="5" t="n"/>
      <c r="N137" s="65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JUNIO!$I138-JUNIO!$H138</f>
        <v/>
      </c>
      <c r="H138" s="121" t="n"/>
      <c r="I138" s="121" t="n"/>
      <c r="J138" s="123" t="n"/>
      <c r="K138" s="120" t="n"/>
      <c r="L138" s="64" t="n"/>
      <c r="M138" s="5" t="n"/>
      <c r="N138" s="71">
        <f>IF($D138="AL",$G138,0)</f>
        <v/>
      </c>
      <c r="O138" s="66">
        <f>IF($D138="BA",$G138,0)</f>
        <v/>
      </c>
      <c r="P138" s="66">
        <f>IF($D138="GF",$G138,0)</f>
        <v/>
      </c>
      <c r="Q138" s="72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73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JUNIO!$I139-JUNIO!$H139</f>
        <v/>
      </c>
      <c r="H139" s="121" t="n"/>
      <c r="I139" s="121" t="n"/>
      <c r="J139" s="123" t="n"/>
      <c r="K139" s="120" t="n"/>
      <c r="L139" s="64" t="n"/>
      <c r="M139" s="5" t="n"/>
      <c r="N139" s="65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JUNIO!$I140-JUNIO!$H140</f>
        <v/>
      </c>
      <c r="H140" s="121" t="n"/>
      <c r="I140" s="121" t="n"/>
      <c r="J140" s="123" t="n"/>
      <c r="K140" s="120" t="n"/>
      <c r="L140" s="64" t="n"/>
      <c r="M140" s="5" t="n"/>
      <c r="N140" s="65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JUNIO!$I141-JUNIO!$H141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75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JUNIO!$I142-JUNIO!$H142</f>
        <v/>
      </c>
      <c r="H142" s="121" t="n"/>
      <c r="I142" s="121" t="n"/>
      <c r="J142" s="123" t="n"/>
      <c r="K142" s="120" t="n"/>
      <c r="L142" s="64" t="n"/>
      <c r="M142" s="5" t="n"/>
      <c r="N142" s="71">
        <f>IF($D142="AL",$G142,0)</f>
        <v/>
      </c>
      <c r="O142" s="72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JUNIO!$I143-JUNIO!$H143</f>
        <v/>
      </c>
      <c r="H143" s="121" t="n"/>
      <c r="I143" s="121" t="n"/>
      <c r="J143" s="123" t="n"/>
      <c r="K143" s="120" t="n"/>
      <c r="L143" s="64" t="n"/>
      <c r="M143" s="5" t="n"/>
      <c r="N143" s="65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JUNIO!$I144-JUNIO!$H144</f>
        <v/>
      </c>
      <c r="H144" s="121" t="n"/>
      <c r="I144" s="121" t="n"/>
      <c r="J144" s="123" t="n"/>
      <c r="K144" s="120" t="n"/>
      <c r="L144" s="64" t="n"/>
      <c r="M144" s="5" t="n"/>
      <c r="N144" s="65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JUNIO!$I145-JUNIO!$H145</f>
        <v/>
      </c>
      <c r="H145" s="121" t="n"/>
      <c r="I145" s="121" t="n"/>
      <c r="J145" s="123" t="n"/>
      <c r="K145" s="120" t="n"/>
      <c r="L145" s="64" t="n"/>
      <c r="M145" s="5" t="n"/>
      <c r="N145" s="65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JUNIO!$I146-JUNIO!$H146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IF($D146="AL",$G146,0)</f>
        <v/>
      </c>
      <c r="O146" s="66">
        <f>IF($D146="BA",$G146,0)</f>
        <v/>
      </c>
      <c r="P146" s="66">
        <f>IF($D146="GF",$G146,0)</f>
        <v/>
      </c>
      <c r="Q146" s="72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JUNIO!$I147-JUNIO!$H147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IF($D147="AL",$G147,0)</f>
        <v/>
      </c>
      <c r="O147" s="66">
        <f>IF($D147="BA",$G147,0)</f>
        <v/>
      </c>
      <c r="P147" s="66">
        <f>IF($D147="GF",$G147,0)</f>
        <v/>
      </c>
      <c r="Q147" s="72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JUNIO!$I148-JUNIO!$H148</f>
        <v/>
      </c>
      <c r="H148" s="121" t="n"/>
      <c r="I148" s="121" t="n"/>
      <c r="J148" s="123" t="n"/>
      <c r="K148" s="120" t="n"/>
      <c r="L148" s="64" t="n"/>
      <c r="M148" s="5" t="n"/>
      <c r="N148" s="71">
        <f>IF($D148="AL",$G148,0)</f>
        <v/>
      </c>
      <c r="O148" s="66">
        <f>IF($D148="BA",$G148,0)</f>
        <v/>
      </c>
      <c r="P148" s="66">
        <f>IF($D148="GF",$G148,0)</f>
        <v/>
      </c>
      <c r="Q148" s="72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JUNIO!$I149-JUNIO!$H149</f>
        <v/>
      </c>
      <c r="H149" s="121" t="n"/>
      <c r="I149" s="121" t="n"/>
      <c r="J149" s="123" t="n"/>
      <c r="K149" s="120" t="n"/>
      <c r="L149" s="64" t="n"/>
      <c r="M149" s="5" t="n"/>
      <c r="N149" s="65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JUNIO!$I150-JUNIO!$H150</f>
        <v/>
      </c>
      <c r="H150" s="121" t="n"/>
      <c r="I150" s="121" t="n"/>
      <c r="J150" s="123" t="n"/>
      <c r="K150" s="120" t="n"/>
      <c r="L150" s="64" t="n"/>
      <c r="M150" s="5" t="n"/>
      <c r="N150" s="71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75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JUNIO!$I151-JUNIO!$H151</f>
        <v/>
      </c>
      <c r="H151" s="121" t="n"/>
      <c r="I151" s="121" t="n"/>
      <c r="J151" s="123" t="n"/>
      <c r="K151" s="120" t="n"/>
      <c r="L151" s="64" t="n"/>
      <c r="M151" s="5" t="n"/>
      <c r="N151" s="65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JUNIO!$I152-JUNIO!$H152</f>
        <v/>
      </c>
      <c r="H152" s="121" t="n"/>
      <c r="I152" s="121" t="n"/>
      <c r="J152" s="123" t="n"/>
      <c r="K152" s="120" t="n"/>
      <c r="L152" s="64" t="n"/>
      <c r="M152" s="5" t="n"/>
      <c r="N152" s="71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75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JUNIO!$I153-JUNIO!$H153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66">
        <f>IF($D153="BA",$G153,0)</f>
        <v/>
      </c>
      <c r="P153" s="66">
        <f>IF($D153="GF",$G153,0)</f>
        <v/>
      </c>
      <c r="Q153" s="72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73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JUNIO!$I154-JUNIO!$H154</f>
        <v/>
      </c>
      <c r="H154" s="121" t="n"/>
      <c r="I154" s="121" t="n"/>
      <c r="J154" s="123" t="n"/>
      <c r="K154" s="120" t="n"/>
      <c r="L154" s="64" t="n"/>
      <c r="M154" s="5" t="n"/>
      <c r="N154" s="65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JUNIO!$I155-JUNIO!$H155</f>
        <v/>
      </c>
      <c r="H155" s="121" t="n"/>
      <c r="I155" s="121" t="n"/>
      <c r="J155" s="123" t="n"/>
      <c r="K155" s="120" t="n"/>
      <c r="L155" s="64" t="n"/>
      <c r="M155" s="5" t="n"/>
      <c r="N155" s="65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JUNIO!$I156-JUNIO!$H156</f>
        <v/>
      </c>
      <c r="H156" s="121" t="n"/>
      <c r="I156" s="121" t="n"/>
      <c r="J156" s="123" t="n"/>
      <c r="K156" s="120" t="n"/>
      <c r="L156" s="64" t="n"/>
      <c r="M156" s="5" t="n"/>
      <c r="N156" s="65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JUNIO!$I157-JUNIO!$H157</f>
        <v/>
      </c>
      <c r="H157" s="121" t="n"/>
      <c r="I157" s="121" t="n"/>
      <c r="J157" s="123" t="n"/>
      <c r="K157" s="120" t="n"/>
      <c r="L157" s="64" t="n"/>
      <c r="M157" s="5" t="n"/>
      <c r="N157" s="65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73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JUNIO!$I158-JUNIO!$H158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66">
        <f>IF($D158="BA",$G158,0)</f>
        <v/>
      </c>
      <c r="P158" s="66">
        <f>IF($D158="GF",$G158,0)</f>
        <v/>
      </c>
      <c r="Q158" s="66">
        <f>IF($D158="OT",$G158,0)</f>
        <v/>
      </c>
      <c r="R158" s="75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JUNIO!$I159-JUNIO!$H159</f>
        <v/>
      </c>
      <c r="H159" s="121" t="n"/>
      <c r="I159" s="121" t="n"/>
      <c r="J159" s="123" t="n"/>
      <c r="K159" s="120" t="n"/>
      <c r="L159" s="64" t="n"/>
      <c r="M159" s="5" t="n"/>
      <c r="N159" s="65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JUNIO!$I160-JUNIO!$H160</f>
        <v/>
      </c>
      <c r="H160" s="121" t="n"/>
      <c r="I160" s="121" t="n"/>
      <c r="J160" s="123" t="n"/>
      <c r="K160" s="120" t="n"/>
      <c r="L160" s="64" t="n"/>
      <c r="M160" s="5" t="n"/>
      <c r="N160" s="65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JUNIO!$I161-JUNIO!$H161</f>
        <v/>
      </c>
      <c r="H161" s="121" t="n"/>
      <c r="I161" s="121" t="n"/>
      <c r="J161" s="123" t="n"/>
      <c r="K161" s="120" t="n"/>
      <c r="L161" s="64" t="n"/>
      <c r="M161" s="5" t="n"/>
      <c r="N161" s="71">
        <f>IF($D161="AL",$G161,0)</f>
        <v/>
      </c>
      <c r="O161" s="66">
        <f>IF($D161="BA",$G161,0)</f>
        <v/>
      </c>
      <c r="P161" s="66">
        <f>IF($D161="GF",$G161,0)</f>
        <v/>
      </c>
      <c r="Q161" s="72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JUNIO!$I162-JUNIO!$H162</f>
        <v/>
      </c>
      <c r="H162" s="121" t="n"/>
      <c r="I162" s="121" t="n"/>
      <c r="J162" s="123" t="n"/>
      <c r="K162" s="120" t="n"/>
      <c r="L162" s="64" t="n"/>
      <c r="M162" s="5" t="n"/>
      <c r="N162" s="65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JUNIO!$I163-JUNIO!$H163</f>
        <v/>
      </c>
      <c r="H163" s="121" t="n"/>
      <c r="I163" s="121" t="n"/>
      <c r="J163" s="123" t="n"/>
      <c r="K163" s="120" t="n"/>
      <c r="L163" s="64" t="n"/>
      <c r="M163" s="5" t="n"/>
      <c r="N163" s="65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JUNIO!$I164-JUNIO!$H164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72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JUNIO!$I165-JUNIO!$H165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72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JUNIO!$I166-JUNIO!$H166</f>
        <v/>
      </c>
      <c r="H166" s="121" t="n"/>
      <c r="I166" s="121" t="n"/>
      <c r="J166" s="123" t="n"/>
      <c r="K166" s="120" t="n"/>
      <c r="L166" s="64" t="n"/>
      <c r="M166" s="5" t="n"/>
      <c r="N166" s="65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JUNIO!$I167-JUNIO!$H167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72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JUNIO!$I168-JUNIO!$H168</f>
        <v/>
      </c>
      <c r="H168" s="121" t="n"/>
      <c r="I168" s="121" t="n"/>
      <c r="J168" s="123" t="n"/>
      <c r="K168" s="120" t="n"/>
      <c r="L168" s="64" t="n"/>
      <c r="M168" s="5" t="n"/>
      <c r="N168" s="65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JUNIO!$I169-JUNIO!$H169</f>
        <v/>
      </c>
      <c r="H169" s="121" t="n"/>
      <c r="I169" s="121" t="n"/>
      <c r="J169" s="123" t="n"/>
      <c r="K169" s="120" t="n"/>
      <c r="L169" s="64" t="n"/>
      <c r="M169" s="5" t="n"/>
      <c r="N169" s="65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JUNIO!$I170-JUNIO!$H170</f>
        <v/>
      </c>
      <c r="H170" s="121" t="n"/>
      <c r="I170" s="121" t="n"/>
      <c r="J170" s="123" t="n"/>
      <c r="K170" s="120" t="n"/>
      <c r="L170" s="64" t="n"/>
      <c r="M170" s="5" t="n"/>
      <c r="N170" s="71">
        <f>IF($D170="AL",$G170,0)</f>
        <v/>
      </c>
      <c r="O170" s="72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JUNIO!$I171-JUNIO!$H171</f>
        <v/>
      </c>
      <c r="H171" s="121" t="n"/>
      <c r="I171" s="121" t="n"/>
      <c r="J171" s="123" t="n"/>
      <c r="K171" s="120" t="n"/>
      <c r="L171" s="64" t="n"/>
      <c r="M171" s="5" t="n"/>
      <c r="N171" s="65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JUNIO!$I172-JUNIO!$H172</f>
        <v/>
      </c>
      <c r="H172" s="121" t="n"/>
      <c r="I172" s="121" t="n"/>
      <c r="J172" s="123" t="n"/>
      <c r="K172" s="120" t="n"/>
      <c r="L172" s="64" t="n"/>
      <c r="M172" s="5" t="n"/>
      <c r="N172" s="65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JUNIO!$I173-JUNIO!$H173</f>
        <v/>
      </c>
      <c r="H173" s="121" t="n"/>
      <c r="I173" s="121" t="n"/>
      <c r="J173" s="123" t="n"/>
      <c r="K173" s="120" t="n"/>
      <c r="L173" s="64" t="n"/>
      <c r="M173" s="5" t="n"/>
      <c r="N173" s="65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JUNIO!$I174-JUNIO!$H174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IF($D174="AL",$G174,0)</f>
        <v/>
      </c>
      <c r="O174" s="72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JUNIO!$I175-JUNIO!$H175</f>
        <v/>
      </c>
      <c r="H175" s="121" t="n"/>
      <c r="I175" s="121" t="n"/>
      <c r="J175" s="123" t="n"/>
      <c r="K175" s="120" t="n"/>
      <c r="L175" s="64" t="n"/>
      <c r="M175" s="5" t="n"/>
      <c r="N175" s="65">
        <f>IF($D175="AL",$G175,0)</f>
        <v/>
      </c>
      <c r="O175" s="66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JUNIO!$I176-JUNIO!$H176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66">
        <f>IF($D176="BA",$G176,0)</f>
        <v/>
      </c>
      <c r="P176" s="66">
        <f>IF($D176="GF",$G176,0)</f>
        <v/>
      </c>
      <c r="Q176" s="72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JUNIO!$I177-JUNIO!$H177</f>
        <v/>
      </c>
      <c r="H177" s="121" t="n"/>
      <c r="I177" s="121" t="n"/>
      <c r="J177" s="123" t="n"/>
      <c r="K177" s="120" t="n"/>
      <c r="L177" s="64" t="n"/>
      <c r="M177" s="5" t="n"/>
      <c r="N177" s="65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73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JUNIO!$I178-JUNIO!$H178</f>
        <v/>
      </c>
      <c r="H178" s="121" t="n"/>
      <c r="I178" s="121" t="n"/>
      <c r="J178" s="123" t="n"/>
      <c r="K178" s="120" t="n"/>
      <c r="L178" s="64" t="n"/>
      <c r="M178" s="5" t="n"/>
      <c r="N178" s="65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JUNIO!$I179-JUNIO!$H179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72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JUNIO!$I180-JUNIO!$H180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75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JUNIO!$I181-JUNIO!$H181</f>
        <v/>
      </c>
      <c r="H181" s="121" t="n"/>
      <c r="I181" s="121" t="n"/>
      <c r="J181" s="123" t="n"/>
      <c r="K181" s="120" t="n"/>
      <c r="L181" s="64" t="n"/>
      <c r="M181" s="5" t="n"/>
      <c r="N181" s="65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JUNIO!$I182-JUNIO!$H182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75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JUNIO!$I183-JUNIO!$H183</f>
        <v/>
      </c>
      <c r="H183" s="121" t="n"/>
      <c r="I183" s="121" t="n"/>
      <c r="J183" s="123" t="n"/>
      <c r="K183" s="120" t="n"/>
      <c r="L183" s="64" t="n"/>
      <c r="M183" s="5" t="n"/>
      <c r="N183" s="65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JUNIO!$I184-JUNIO!$H184</f>
        <v/>
      </c>
      <c r="H184" s="121" t="n"/>
      <c r="I184" s="121" t="n"/>
      <c r="J184" s="123" t="n"/>
      <c r="K184" s="120" t="n"/>
      <c r="L184" s="64" t="n"/>
      <c r="M184" s="5" t="n"/>
      <c r="N184" s="65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JUNIO!$I185-JUNIO!$H185</f>
        <v/>
      </c>
      <c r="H185" s="121" t="n"/>
      <c r="I185" s="121" t="n"/>
      <c r="J185" s="123" t="n"/>
      <c r="K185" s="120" t="n"/>
      <c r="L185" s="64" t="n"/>
      <c r="M185" s="5" t="n"/>
      <c r="N185" s="65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JUNIO!$I186-JUNIO!$H186</f>
        <v/>
      </c>
      <c r="H186" s="121" t="n"/>
      <c r="I186" s="121" t="n"/>
      <c r="J186" s="123" t="n"/>
      <c r="K186" s="120" t="n"/>
      <c r="L186" s="64" t="n"/>
      <c r="M186" s="5" t="n"/>
      <c r="N186" s="65">
        <f>IF($D186="AL",$G186,0)</f>
        <v/>
      </c>
      <c r="O186" s="66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73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JUNIO!$I187-JUNIO!$H187</f>
        <v/>
      </c>
      <c r="H187" s="121" t="n"/>
      <c r="I187" s="121" t="n"/>
      <c r="J187" s="123" t="n"/>
      <c r="K187" s="120" t="n"/>
      <c r="L187" s="64" t="n"/>
      <c r="M187" s="5" t="n"/>
      <c r="N187" s="65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JUNIO!$I188-JUNIO!$H188</f>
        <v/>
      </c>
      <c r="H188" s="121" t="n"/>
      <c r="I188" s="121" t="n"/>
      <c r="J188" s="123" t="n"/>
      <c r="K188" s="120" t="n"/>
      <c r="L188" s="64" t="n"/>
      <c r="M188" s="5" t="n"/>
      <c r="N188" s="65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JUNIO!$I189-JUNIO!$H189</f>
        <v/>
      </c>
      <c r="H189" s="121" t="n"/>
      <c r="I189" s="121" t="n"/>
      <c r="J189" s="123" t="n"/>
      <c r="K189" s="120" t="n"/>
      <c r="L189" s="64" t="n"/>
      <c r="M189" s="5" t="n"/>
      <c r="N189" s="65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JUNIO!$I190-JUNIO!$H190</f>
        <v/>
      </c>
      <c r="H190" s="121" t="n"/>
      <c r="I190" s="121" t="n"/>
      <c r="J190" s="123" t="n"/>
      <c r="K190" s="120" t="n"/>
      <c r="L190" s="64" t="n"/>
      <c r="M190" s="5" t="n"/>
      <c r="N190" s="71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75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JUNIO!$I191-JUNIO!$H191</f>
        <v/>
      </c>
      <c r="H191" s="121" t="n"/>
      <c r="I191" s="121" t="n"/>
      <c r="J191" s="123" t="n"/>
      <c r="K191" s="120" t="n"/>
      <c r="L191" s="64" t="n"/>
      <c r="M191" s="5" t="n"/>
      <c r="N191" s="71">
        <f>IF($D191="AL",$G191,0)</f>
        <v/>
      </c>
      <c r="O191" s="72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73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JUNIO!$I192-JUNIO!$H192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IF($D192="AL",$G192,0)</f>
        <v/>
      </c>
      <c r="O192" s="72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73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JUNIO!$I193-JUNIO!$H193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72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73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JUNIO!$I194-JUNIO!$H194</f>
        <v/>
      </c>
      <c r="H194" s="121" t="n"/>
      <c r="I194" s="121" t="n"/>
      <c r="J194" s="123" t="n"/>
      <c r="K194" s="120" t="n"/>
      <c r="L194" s="64" t="n"/>
      <c r="M194" s="5" t="n"/>
      <c r="N194" s="71">
        <f>IF($D194="AL",$G194,0)</f>
        <v/>
      </c>
      <c r="O194" s="72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73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JUNIO!$I195-JUNIO!$H195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72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73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JUNIO!$I196-JUNIO!$H196</f>
        <v/>
      </c>
      <c r="H196" s="121" t="n"/>
      <c r="I196" s="121" t="n"/>
      <c r="J196" s="123" t="n"/>
      <c r="K196" s="120" t="n"/>
      <c r="L196" s="64" t="n"/>
      <c r="M196" s="5" t="n"/>
      <c r="N196" s="71">
        <f>IF($D196="AL",$G196,0)</f>
        <v/>
      </c>
      <c r="O196" s="72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JUNIO!$I197-JUNIO!$H197</f>
        <v/>
      </c>
      <c r="H197" s="121" t="n"/>
      <c r="I197" s="121" t="n"/>
      <c r="J197" s="123" t="n"/>
      <c r="K197" s="120" t="n"/>
      <c r="L197" s="64" t="n"/>
      <c r="M197" s="5" t="n"/>
      <c r="N197" s="65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JUNIO!$I198-JUNIO!$H198</f>
        <v/>
      </c>
      <c r="H198" s="121" t="n"/>
      <c r="I198" s="121" t="n"/>
      <c r="J198" s="123" t="n"/>
      <c r="K198" s="120" t="n"/>
      <c r="L198" s="64" t="n"/>
      <c r="M198" s="5" t="n"/>
      <c r="N198" s="65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73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JUNIO!$I199-JUNIO!$H199</f>
        <v/>
      </c>
      <c r="H199" s="121" t="n"/>
      <c r="I199" s="121" t="n"/>
      <c r="J199" s="123" t="n"/>
      <c r="K199" s="120" t="n"/>
      <c r="L199" s="64" t="n"/>
      <c r="M199" s="5" t="n"/>
      <c r="N199" s="65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73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JUNIO!$I200-JUNIO!$H200</f>
        <v/>
      </c>
      <c r="H200" s="121" t="n"/>
      <c r="I200" s="121" t="n"/>
      <c r="J200" s="123" t="n"/>
      <c r="K200" s="120" t="n"/>
      <c r="L200" s="64" t="n"/>
      <c r="M200" s="5" t="n"/>
      <c r="N200" s="65">
        <f>IF($D200="AL",$G200,0)</f>
        <v/>
      </c>
      <c r="O200" s="66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73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JUNIO!$I201-JUNIO!$H201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72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JUNIO!$I202-JUNIO!$H202</f>
        <v/>
      </c>
      <c r="H202" s="121" t="n"/>
      <c r="I202" s="121" t="n"/>
      <c r="J202" s="123" t="n"/>
      <c r="K202" s="120" t="n"/>
      <c r="L202" s="64" t="n"/>
      <c r="M202" s="5" t="n"/>
      <c r="N202" s="65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73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JUNIO!$I203-JUNIO!$H203</f>
        <v/>
      </c>
      <c r="H203" s="121" t="n"/>
      <c r="I203" s="121" t="n"/>
      <c r="J203" s="123" t="n"/>
      <c r="K203" s="120" t="n"/>
      <c r="L203" s="64" t="n"/>
      <c r="M203" s="5" t="n"/>
      <c r="N203" s="65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JUNIO!$I204-JUNIO!$H204</f>
        <v/>
      </c>
      <c r="H204" s="121" t="n"/>
      <c r="I204" s="121" t="n"/>
      <c r="J204" s="123" t="n"/>
      <c r="K204" s="120" t="n"/>
      <c r="L204" s="64" t="n"/>
      <c r="M204" s="5" t="n"/>
      <c r="N204" s="65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JUNIO!$I205-JUNIO!$H205</f>
        <v/>
      </c>
      <c r="H205" s="121" t="n"/>
      <c r="I205" s="121" t="n"/>
      <c r="J205" s="123" t="n"/>
      <c r="K205" s="120" t="n"/>
      <c r="L205" s="64" t="n"/>
      <c r="M205" s="5" t="n"/>
      <c r="N205" s="65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JUNIO!$I206-JUNIO!$H206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66">
        <f>IF($D206="BA",$G206,0)</f>
        <v/>
      </c>
      <c r="P206" s="66">
        <f>IF($D206="GF",$G206,0)</f>
        <v/>
      </c>
      <c r="Q206" s="72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JUNIO!$I207-JUNIO!$H207</f>
        <v/>
      </c>
      <c r="H207" s="121" t="n"/>
      <c r="I207" s="121" t="n"/>
      <c r="J207" s="123" t="n"/>
      <c r="K207" s="120" t="n"/>
      <c r="L207" s="64" t="n"/>
      <c r="M207" s="5" t="n"/>
      <c r="N207" s="71">
        <f>IF($D207="AL",$G207,0)</f>
        <v/>
      </c>
      <c r="O207" s="66">
        <f>IF($D207="BA",$G207,0)</f>
        <v/>
      </c>
      <c r="P207" s="66">
        <f>IF($D207="GF",$G207,0)</f>
        <v/>
      </c>
      <c r="Q207" s="72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JUNIO!$I208-JUNIO!$H208</f>
        <v/>
      </c>
      <c r="H208" s="121" t="n"/>
      <c r="I208" s="121" t="n"/>
      <c r="J208" s="123" t="n"/>
      <c r="K208" s="120" t="n"/>
      <c r="L208" s="64" t="n"/>
      <c r="M208" s="5" t="n"/>
      <c r="N208" s="65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JUNIO!$I209-JUNIO!$H209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66">
        <f>IF($D209="BA",$G209,0)</f>
        <v/>
      </c>
      <c r="P209" s="66">
        <f>IF($D209="GF",$G209,0)</f>
        <v/>
      </c>
      <c r="Q209" s="72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JUNIO!$I210-JUNIO!$H210</f>
        <v/>
      </c>
      <c r="H210" s="121" t="n"/>
      <c r="I210" s="121" t="n"/>
      <c r="J210" s="123" t="n"/>
      <c r="K210" s="120" t="n"/>
      <c r="L210" s="64" t="n"/>
      <c r="M210" s="5" t="n"/>
      <c r="N210" s="65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JUNIO!$I211-JUNIO!$H211</f>
        <v/>
      </c>
      <c r="H211" s="121" t="n"/>
      <c r="I211" s="121" t="n"/>
      <c r="J211" s="123" t="n"/>
      <c r="K211" s="120" t="n"/>
      <c r="L211" s="64" t="n"/>
      <c r="M211" s="5" t="n"/>
      <c r="N211" s="65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JUNIO!$I212-JUNIO!$H212</f>
        <v/>
      </c>
      <c r="H212" s="121" t="n"/>
      <c r="I212" s="121" t="n"/>
      <c r="J212" s="123" t="n"/>
      <c r="K212" s="120" t="n"/>
      <c r="L212" s="64" t="n"/>
      <c r="M212" s="5" t="n"/>
      <c r="N212" s="65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JUNIO!$I213-JUNIO!$H213</f>
        <v/>
      </c>
      <c r="H213" s="121" t="n"/>
      <c r="I213" s="121" t="n"/>
      <c r="J213" s="123" t="n"/>
      <c r="K213" s="120" t="n"/>
      <c r="L213" s="64" t="n"/>
      <c r="M213" s="5" t="n"/>
      <c r="N213" s="65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73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JUNIO!$I214-JUNIO!$H214</f>
        <v/>
      </c>
      <c r="H214" s="121" t="n"/>
      <c r="I214" s="121" t="n"/>
      <c r="J214" s="123" t="n"/>
      <c r="K214" s="120" t="n"/>
      <c r="L214" s="64" t="n"/>
      <c r="M214" s="5" t="n"/>
      <c r="N214" s="65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JUNIO!$I215-JUNIO!$H215</f>
        <v/>
      </c>
      <c r="H215" s="121" t="n"/>
      <c r="I215" s="121" t="n"/>
      <c r="J215" s="123" t="n"/>
      <c r="K215" s="120" t="n"/>
      <c r="L215" s="64" t="n"/>
      <c r="M215" s="5" t="n"/>
      <c r="N215" s="65">
        <f>IF($D215="AL",$G215,0)</f>
        <v/>
      </c>
      <c r="O215" s="66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JUNIO!$I216-JUNIO!$H216</f>
        <v/>
      </c>
      <c r="H216" s="121" t="n"/>
      <c r="I216" s="121" t="n"/>
      <c r="J216" s="123" t="n"/>
      <c r="K216" s="120" t="n"/>
      <c r="L216" s="64" t="n"/>
      <c r="M216" s="5" t="n"/>
      <c r="N216" s="65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JUNIO!$I217-JUNIO!$H217</f>
        <v/>
      </c>
      <c r="H217" s="121" t="n"/>
      <c r="I217" s="121" t="n"/>
      <c r="J217" s="123" t="n"/>
      <c r="K217" s="120" t="n"/>
      <c r="L217" s="64" t="n"/>
      <c r="M217" s="5" t="n"/>
      <c r="N217" s="65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JUNIO!$I218-JUNIO!$H218</f>
        <v/>
      </c>
      <c r="H218" s="121" t="n"/>
      <c r="I218" s="121" t="n"/>
      <c r="J218" s="123" t="n"/>
      <c r="K218" s="120" t="n"/>
      <c r="L218" s="64" t="n"/>
      <c r="M218" s="5" t="n"/>
      <c r="N218" s="65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JUNIO!$I219-JUNIO!$H219</f>
        <v/>
      </c>
      <c r="H219" s="121" t="n"/>
      <c r="I219" s="121" t="n"/>
      <c r="J219" s="123" t="n"/>
      <c r="K219" s="120" t="n"/>
      <c r="L219" s="64" t="n"/>
      <c r="M219" s="5" t="n"/>
      <c r="N219" s="71">
        <f>IF($D219="AL",$G219,0)</f>
        <v/>
      </c>
      <c r="O219" s="72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JUNIO!$I220-JUNIO!$H220</f>
        <v/>
      </c>
      <c r="H220" s="121" t="n"/>
      <c r="I220" s="121" t="n"/>
      <c r="J220" s="123" t="n"/>
      <c r="K220" s="120" t="n"/>
      <c r="L220" s="64" t="n"/>
      <c r="M220" s="5" t="n"/>
      <c r="N220" s="65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JUNIO!$I221-JUNIO!$H221</f>
        <v/>
      </c>
      <c r="H221" s="121" t="n"/>
      <c r="I221" s="121" t="n"/>
      <c r="J221" s="123" t="n"/>
      <c r="K221" s="120" t="n"/>
      <c r="L221" s="64" t="n"/>
      <c r="M221" s="5" t="n"/>
      <c r="N221" s="65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JUNIO!$I222-JUNIO!$H222</f>
        <v/>
      </c>
      <c r="H222" s="121" t="n"/>
      <c r="I222" s="121" t="n"/>
      <c r="J222" s="123" t="n"/>
      <c r="K222" s="120" t="n"/>
      <c r="L222" s="64" t="n"/>
      <c r="M222" s="5" t="n"/>
      <c r="N222" s="71">
        <f>IF($D222="AL",$G222,0)</f>
        <v/>
      </c>
      <c r="O222" s="72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73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JUNIO!$I223-JUNIO!$H223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72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JUNIO!$I224-JUNIO!$H224</f>
        <v/>
      </c>
      <c r="H224" s="121" t="n"/>
      <c r="I224" s="121" t="n"/>
      <c r="J224" s="123" t="n"/>
      <c r="K224" s="120" t="n"/>
      <c r="L224" s="64" t="n"/>
      <c r="M224" s="5" t="n"/>
      <c r="N224" s="71">
        <f>IF($D224="AL",$G224,0)</f>
        <v/>
      </c>
      <c r="O224" s="66">
        <f>IF($D224="BA",$G224,0)</f>
        <v/>
      </c>
      <c r="P224" s="66">
        <f>IF($D224="GF",$G224,0)</f>
        <v/>
      </c>
      <c r="Q224" s="72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JUNIO!$I225-JUNIO!$H225</f>
        <v/>
      </c>
      <c r="H225" s="121" t="n"/>
      <c r="I225" s="121" t="n"/>
      <c r="J225" s="123" t="n"/>
      <c r="K225" s="120" t="n"/>
      <c r="L225" s="64" t="n"/>
      <c r="M225" s="5" t="n"/>
      <c r="N225" s="65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JUNIO!$I226-JUNIO!$H226</f>
        <v/>
      </c>
      <c r="H226" s="121" t="n"/>
      <c r="I226" s="121" t="n"/>
      <c r="J226" s="123" t="n"/>
      <c r="K226" s="120" t="n"/>
      <c r="L226" s="64" t="n"/>
      <c r="M226" s="5" t="n"/>
      <c r="N226" s="65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JUNIO!$I227-JUNIO!$H227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72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JUNIO!$I228-JUNIO!$H228</f>
        <v/>
      </c>
      <c r="H228" s="121" t="n"/>
      <c r="I228" s="121" t="n"/>
      <c r="J228" s="123" t="n"/>
      <c r="K228" s="120" t="n"/>
      <c r="L228" s="64" t="n"/>
      <c r="M228" s="5" t="n"/>
      <c r="N228" s="71">
        <f>IF($D228="AL",$G228,0)</f>
        <v/>
      </c>
      <c r="O228" s="72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JUNIO!$I229-JUNIO!$H229</f>
        <v/>
      </c>
      <c r="H229" s="121" t="n"/>
      <c r="I229" s="121" t="n"/>
      <c r="J229" s="123" t="n"/>
      <c r="K229" s="120" t="n"/>
      <c r="L229" s="64" t="n"/>
      <c r="M229" s="5" t="n"/>
      <c r="N229" s="71">
        <f>IF($D229="AL",$G229,0)</f>
        <v/>
      </c>
      <c r="O229" s="72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JUNIO!$I230-JUNIO!$H230</f>
        <v/>
      </c>
      <c r="H230" s="121" t="n"/>
      <c r="I230" s="121" t="n"/>
      <c r="J230" s="123" t="n"/>
      <c r="K230" s="120" t="n"/>
      <c r="L230" s="64" t="n"/>
      <c r="M230" s="5" t="n"/>
      <c r="N230" s="65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JUNIO!$I231-JUNIO!$H231</f>
        <v/>
      </c>
      <c r="H231" s="121" t="n"/>
      <c r="I231" s="121" t="n"/>
      <c r="J231" s="123" t="n"/>
      <c r="K231" s="120" t="n"/>
      <c r="L231" s="64" t="n"/>
      <c r="M231" s="5" t="n"/>
      <c r="N231" s="65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JUNIO!$I232-JUNIO!$H232</f>
        <v/>
      </c>
      <c r="H232" s="121" t="n"/>
      <c r="I232" s="121" t="n"/>
      <c r="J232" s="123" t="n"/>
      <c r="K232" s="120" t="n"/>
      <c r="L232" s="64" t="n"/>
      <c r="M232" s="5" t="n"/>
      <c r="N232" s="71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75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JUNIO!$I233-JUNIO!$H233</f>
        <v/>
      </c>
      <c r="H233" s="121" t="n"/>
      <c r="I233" s="121" t="n"/>
      <c r="J233" s="123" t="n"/>
      <c r="K233" s="120" t="n"/>
      <c r="L233" s="64" t="n"/>
      <c r="M233" s="5" t="n"/>
      <c r="N233" s="65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JUNIO!$I234-JUNIO!$H234</f>
        <v/>
      </c>
      <c r="H234" s="121" t="n"/>
      <c r="I234" s="121" t="n"/>
      <c r="J234" s="123" t="n"/>
      <c r="K234" s="120" t="n"/>
      <c r="L234" s="64" t="n"/>
      <c r="M234" s="5" t="n"/>
      <c r="N234" s="71">
        <f>IF($D234="AL",$G234,0)</f>
        <v/>
      </c>
      <c r="O234" s="72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JUNIO!$I235-JUNIO!$H235</f>
        <v/>
      </c>
      <c r="H235" s="121" t="n"/>
      <c r="I235" s="121" t="n"/>
      <c r="J235" s="123" t="n"/>
      <c r="K235" s="120" t="n"/>
      <c r="L235" s="64" t="n"/>
      <c r="M235" s="5" t="n"/>
      <c r="N235" s="65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JUNIO!$I236-JUNIO!$H236</f>
        <v/>
      </c>
      <c r="H236" s="121" t="n"/>
      <c r="I236" s="121" t="n"/>
      <c r="J236" s="123" t="n"/>
      <c r="K236" s="120" t="n"/>
      <c r="L236" s="64" t="n"/>
      <c r="M236" s="5" t="n"/>
      <c r="N236" s="71">
        <f>IF($D236="AL",$G236,0)</f>
        <v/>
      </c>
      <c r="O236" s="72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73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JUNIO!$I237-JUNIO!$H237</f>
        <v/>
      </c>
      <c r="H237" s="121" t="n"/>
      <c r="I237" s="121" t="n"/>
      <c r="J237" s="123" t="n"/>
      <c r="K237" s="120" t="n"/>
      <c r="L237" s="64" t="n"/>
      <c r="M237" s="5" t="n"/>
      <c r="N237" s="71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75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73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JUNIO!$I238-JUNIO!$H238</f>
        <v/>
      </c>
      <c r="H238" s="121" t="n"/>
      <c r="I238" s="121" t="n"/>
      <c r="J238" s="123" t="n"/>
      <c r="K238" s="120" t="n"/>
      <c r="L238" s="64" t="n"/>
      <c r="M238" s="5" t="n"/>
      <c r="N238" s="65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JUNIO!$I239-JUNIO!$H239</f>
        <v/>
      </c>
      <c r="H239" s="121" t="n"/>
      <c r="I239" s="121" t="n"/>
      <c r="J239" s="123" t="n"/>
      <c r="K239" s="120" t="n"/>
      <c r="L239" s="64" t="n"/>
      <c r="M239" s="5" t="n"/>
      <c r="N239" s="65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JUNIO!$I240-JUNIO!$H240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66">
        <f>IF($D240="BA",$G240,0)</f>
        <v/>
      </c>
      <c r="P240" s="66">
        <f>IF($D240="GF",$G240,0)</f>
        <v/>
      </c>
      <c r="Q240" s="66">
        <f>IF($D240="OT",$G240,0)</f>
        <v/>
      </c>
      <c r="R240" s="75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JUNIO!$I241-JUNIO!$H241</f>
        <v/>
      </c>
      <c r="H241" s="121" t="n"/>
      <c r="I241" s="121" t="n"/>
      <c r="J241" s="123" t="n"/>
      <c r="K241" s="120" t="n"/>
      <c r="L241" s="64" t="n"/>
      <c r="M241" s="5" t="n"/>
      <c r="N241" s="65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JUNIO!$I242-JUNIO!$H242</f>
        <v/>
      </c>
      <c r="H242" s="121" t="n"/>
      <c r="I242" s="121" t="n"/>
      <c r="J242" s="123" t="n"/>
      <c r="K242" s="120" t="n"/>
      <c r="L242" s="64" t="n"/>
      <c r="M242" s="5" t="n"/>
      <c r="N242" s="65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JUNIO!$I243-JUNIO!$H243</f>
        <v/>
      </c>
      <c r="H243" s="121" t="n"/>
      <c r="I243" s="121" t="n"/>
      <c r="J243" s="123" t="n"/>
      <c r="K243" s="120" t="n"/>
      <c r="L243" s="64" t="n"/>
      <c r="M243" s="5" t="n"/>
      <c r="N243" s="65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JUNIO!$I244-JUNIO!$H244</f>
        <v/>
      </c>
      <c r="H244" s="121" t="n"/>
      <c r="I244" s="121" t="n"/>
      <c r="J244" s="123" t="n"/>
      <c r="K244" s="120" t="n"/>
      <c r="L244" s="64" t="n"/>
      <c r="M244" s="5" t="n"/>
      <c r="N244" s="65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73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JUNIO!$I245-JUNIO!$H245</f>
        <v/>
      </c>
      <c r="H245" s="121" t="n"/>
      <c r="I245" s="121" t="n"/>
      <c r="J245" s="123" t="n"/>
      <c r="K245" s="120" t="n"/>
      <c r="L245" s="64" t="n"/>
      <c r="M245" s="5" t="n"/>
      <c r="N245" s="65">
        <f>IF($D245="AL",$G245,0)</f>
        <v/>
      </c>
      <c r="O245" s="66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JUNIO!$I246-JUNIO!$H246</f>
        <v/>
      </c>
      <c r="H246" s="121" t="n"/>
      <c r="I246" s="121" t="n"/>
      <c r="J246" s="123" t="n"/>
      <c r="K246" s="120" t="n"/>
      <c r="L246" s="64" t="n"/>
      <c r="M246" s="5" t="n"/>
      <c r="N246" s="65">
        <f>IF($D246="AL",$G246,0)</f>
        <v/>
      </c>
      <c r="O246" s="66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JUNIO!$I247-JUNIO!$H247</f>
        <v/>
      </c>
      <c r="H247" s="121" t="n"/>
      <c r="I247" s="121" t="n"/>
      <c r="J247" s="123" t="inlineStr">
        <is>
          <t>-</t>
        </is>
      </c>
      <c r="K247" s="120" t="n"/>
      <c r="L247" s="64" t="n"/>
      <c r="M247" s="5" t="n"/>
      <c r="N247" s="65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JUNIO!$I248-JUNIO!$H248</f>
        <v/>
      </c>
      <c r="H248" s="121" t="n"/>
      <c r="I248" s="121" t="n"/>
      <c r="J248" s="123" t="n"/>
      <c r="K248" s="120" t="n"/>
      <c r="L248" s="64" t="n"/>
      <c r="M248" s="5" t="n"/>
      <c r="N248" s="65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JUNIO!$I249-JUNIO!$H249</f>
        <v/>
      </c>
      <c r="H249" s="121" t="n"/>
      <c r="I249" s="121" t="n"/>
      <c r="J249" s="123" t="n"/>
      <c r="K249" s="120" t="n"/>
      <c r="L249" s="64" t="n"/>
      <c r="M249" s="5" t="n"/>
      <c r="N249" s="65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JUNIO!$I250-JUNIO!$H250</f>
        <v/>
      </c>
      <c r="H250" s="121" t="n"/>
      <c r="I250" s="121" t="n"/>
      <c r="J250" s="123" t="n"/>
      <c r="K250" s="120" t="n"/>
      <c r="L250" s="64" t="n"/>
      <c r="M250" s="5" t="n"/>
      <c r="N250" s="65">
        <f>IF($D250="AL",$G250,0)</f>
        <v/>
      </c>
      <c r="O250" s="66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JUNIO!$I251-JUNIO!$H251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75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JUNIO!$I252-JUNIO!$H252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72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JUNIO!$I253-JUNIO!$H253</f>
        <v/>
      </c>
      <c r="H253" s="121" t="n"/>
      <c r="I253" s="121" t="n"/>
      <c r="J253" s="123" t="n"/>
      <c r="K253" s="120" t="n"/>
      <c r="L253" s="64" t="n"/>
      <c r="M253" s="5" t="n"/>
      <c r="N253" s="65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JUNIO!$I254-JUNIO!$H254</f>
        <v/>
      </c>
      <c r="H254" s="121" t="n"/>
      <c r="I254" s="121" t="n"/>
      <c r="J254" s="123" t="n"/>
      <c r="K254" s="120" t="n"/>
      <c r="L254" s="64" t="n"/>
      <c r="M254" s="5" t="n"/>
      <c r="N254" s="65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JUNIO!$I255-JUNIO!$H255</f>
        <v/>
      </c>
      <c r="H255" s="121" t="n"/>
      <c r="I255" s="121" t="n"/>
      <c r="J255" s="123" t="n"/>
      <c r="K255" s="120" t="n"/>
      <c r="L255" s="64" t="n"/>
      <c r="M255" s="5" t="n"/>
      <c r="N255" s="65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JUNIO!$I256-JUNIO!$H256</f>
        <v/>
      </c>
      <c r="H256" s="121" t="n"/>
      <c r="I256" s="121" t="n"/>
      <c r="J256" s="123" t="n"/>
      <c r="K256" s="120" t="n"/>
      <c r="L256" s="64" t="n"/>
      <c r="M256" s="5" t="n"/>
      <c r="N256" s="65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JUNIO!$I257-JUNIO!$H257</f>
        <v/>
      </c>
      <c r="H257" s="121" t="n"/>
      <c r="I257" s="121" t="n"/>
      <c r="J257" s="123" t="n"/>
      <c r="K257" s="120" t="n"/>
      <c r="L257" s="64" t="n"/>
      <c r="M257" s="5" t="n"/>
      <c r="N257" s="65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JUNIO!$I258-JUNIO!$H258</f>
        <v/>
      </c>
      <c r="H258" s="121" t="n"/>
      <c r="I258" s="121" t="n"/>
      <c r="J258" s="123" t="n"/>
      <c r="K258" s="120" t="n"/>
      <c r="L258" s="64" t="n"/>
      <c r="M258" s="5" t="n"/>
      <c r="N258" s="65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JUNIO!$I259-JUNIO!$H259</f>
        <v/>
      </c>
      <c r="H259" s="121" t="n"/>
      <c r="I259" s="121" t="n"/>
      <c r="J259" s="123" t="n"/>
      <c r="K259" s="120" t="n"/>
      <c r="L259" s="64" t="n"/>
      <c r="M259" s="5" t="n"/>
      <c r="N259" s="65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JUNIO!$I260-JUNIO!$H260</f>
        <v/>
      </c>
      <c r="H260" s="121" t="n"/>
      <c r="I260" s="121" t="n"/>
      <c r="J260" s="123" t="n"/>
      <c r="K260" s="120" t="n"/>
      <c r="L260" s="64" t="n"/>
      <c r="M260" s="5" t="n"/>
      <c r="N260" s="65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JUNIO!$I261-JUNIO!$H261</f>
        <v/>
      </c>
      <c r="H261" s="121" t="n"/>
      <c r="I261" s="121" t="n"/>
      <c r="J261" s="123" t="n"/>
      <c r="K261" s="120" t="n"/>
      <c r="L261" s="64" t="n"/>
      <c r="M261" s="5" t="n"/>
      <c r="N261" s="65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JUNIO!$I262-JUNIO!$H262</f>
        <v/>
      </c>
      <c r="H262" s="121" t="n"/>
      <c r="I262" s="121" t="n"/>
      <c r="J262" s="123" t="n"/>
      <c r="K262" s="120" t="n"/>
      <c r="L262" s="64" t="n"/>
      <c r="M262" s="5" t="n"/>
      <c r="N262" s="65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73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JUNIO!$I263-JUNIO!$H263</f>
        <v/>
      </c>
      <c r="H263" s="121" t="n"/>
      <c r="I263" s="121" t="n"/>
      <c r="J263" s="123" t="n"/>
      <c r="K263" s="120" t="n"/>
      <c r="L263" s="64" t="n"/>
      <c r="M263" s="5" t="n"/>
      <c r="N263" s="65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73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JUNIO!$I264-JUNIO!$H264</f>
        <v/>
      </c>
      <c r="H264" s="121" t="n"/>
      <c r="I264" s="121" t="n"/>
      <c r="J264" s="123" t="n"/>
      <c r="K264" s="120" t="n"/>
      <c r="L264" s="64" t="n"/>
      <c r="M264" s="5" t="n"/>
      <c r="N264" s="65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JUNIO!$I265-JUNIO!$H265</f>
        <v/>
      </c>
      <c r="H265" s="121" t="n"/>
      <c r="I265" s="121" t="n"/>
      <c r="J265" s="123" t="n"/>
      <c r="K265" s="120" t="n"/>
      <c r="L265" s="64" t="n"/>
      <c r="M265" s="5" t="n"/>
      <c r="N265" s="71">
        <f>IF($D265="AL",$G265,0)</f>
        <v/>
      </c>
      <c r="O265" s="72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73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JUNIO!$I266-JUNIO!$H266</f>
        <v/>
      </c>
      <c r="H266" s="121" t="n"/>
      <c r="I266" s="121" t="n"/>
      <c r="J266" s="123" t="n"/>
      <c r="K266" s="120" t="n"/>
      <c r="L266" s="64" t="n"/>
      <c r="M266" s="5" t="n"/>
      <c r="N266" s="65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JUNIO!$I267-JUNIO!$H267</f>
        <v/>
      </c>
      <c r="H267" s="121" t="n"/>
      <c r="I267" s="121" t="n"/>
      <c r="J267" s="123" t="n"/>
      <c r="K267" s="120" t="n"/>
      <c r="L267" s="64" t="n"/>
      <c r="M267" s="5" t="n"/>
      <c r="N267" s="65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JUNIO!$I268-JUNIO!$H268</f>
        <v/>
      </c>
      <c r="H268" s="121" t="n"/>
      <c r="I268" s="121" t="n"/>
      <c r="J268" s="123" t="n"/>
      <c r="K268" s="120" t="n"/>
      <c r="L268" s="64" t="n"/>
      <c r="M268" s="5" t="n"/>
      <c r="N268" s="65">
        <f>IF($D268="AL",$G268,0)</f>
        <v/>
      </c>
      <c r="O268" s="66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JUNIO!$I269-JUNIO!$H269</f>
        <v/>
      </c>
      <c r="H269" s="121" t="n"/>
      <c r="I269" s="121" t="n"/>
      <c r="J269" s="123" t="n"/>
      <c r="K269" s="120" t="n"/>
      <c r="L269" s="64" t="n"/>
      <c r="M269" s="5" t="n"/>
      <c r="N269" s="65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JUNIO!$I270-JUNIO!$H270</f>
        <v/>
      </c>
      <c r="H270" s="121" t="n"/>
      <c r="I270" s="121" t="n"/>
      <c r="J270" s="123" t="n"/>
      <c r="K270" s="120" t="n"/>
      <c r="L270" s="64" t="n"/>
      <c r="M270" s="5" t="n"/>
      <c r="N270" s="65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73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JUNIO!$I271-JUNIO!$H271</f>
        <v/>
      </c>
      <c r="H271" s="121" t="n"/>
      <c r="I271" s="121" t="n"/>
      <c r="J271" s="123" t="n"/>
      <c r="K271" s="120" t="n"/>
      <c r="L271" s="64" t="n"/>
      <c r="M271" s="5" t="n"/>
      <c r="N271" s="65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JUNIO!$I272-JUNIO!$H272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75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JUNIO!$I273-JUNIO!$H273</f>
        <v/>
      </c>
      <c r="H273" s="121" t="n"/>
      <c r="I273" s="121" t="n"/>
      <c r="J273" s="123" t="n"/>
      <c r="K273" s="120" t="n"/>
      <c r="L273" s="64" t="n"/>
      <c r="M273" s="5" t="n"/>
      <c r="N273" s="65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JUNIO!$I274-JUNIO!$H274</f>
        <v/>
      </c>
      <c r="H274" s="121" t="n"/>
      <c r="I274" s="121" t="n"/>
      <c r="J274" s="123" t="n"/>
      <c r="K274" s="120" t="n"/>
      <c r="L274" s="64" t="n"/>
      <c r="M274" s="5" t="n"/>
      <c r="N274" s="71">
        <f>IF($D274="AL",$G274,0)</f>
        <v/>
      </c>
      <c r="O274" s="72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JUNIO!$I275-JUNIO!$H275</f>
        <v/>
      </c>
      <c r="H275" s="121" t="n"/>
      <c r="I275" s="121" t="n"/>
      <c r="J275" s="123" t="n"/>
      <c r="K275" s="120" t="n"/>
      <c r="L275" s="64" t="n"/>
      <c r="M275" s="5" t="n"/>
      <c r="N275" s="65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73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JUNIO!$I276-JUNIO!$H276</f>
        <v/>
      </c>
      <c r="H276" s="121" t="n"/>
      <c r="I276" s="121" t="n"/>
      <c r="J276" s="123" t="n"/>
      <c r="K276" s="120" t="n"/>
      <c r="L276" s="64" t="n"/>
      <c r="M276" s="5" t="n"/>
      <c r="N276" s="71">
        <f>IF($D276="AL",$G276,0)</f>
        <v/>
      </c>
      <c r="O276" s="72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JUNIO!$I277-JUNIO!$H277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66">
        <f>IF($D277="BA",$G277,0)</f>
        <v/>
      </c>
      <c r="P277" s="66">
        <f>IF($D277="GF",$G277,0)</f>
        <v/>
      </c>
      <c r="Q277" s="72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JUNIO!$I278-JUNIO!$H278</f>
        <v/>
      </c>
      <c r="H278" s="121" t="n"/>
      <c r="I278" s="121" t="n"/>
      <c r="J278" s="123" t="n"/>
      <c r="K278" s="120" t="n"/>
      <c r="L278" s="64" t="n"/>
      <c r="M278" s="5" t="n"/>
      <c r="N278" s="65">
        <f>IF($D278="AL",$G278,0)</f>
        <v/>
      </c>
      <c r="O278" s="66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JUNIO!$I279-JUNIO!$H279</f>
        <v/>
      </c>
      <c r="H279" s="121" t="n"/>
      <c r="I279" s="121" t="n"/>
      <c r="J279" s="123" t="n"/>
      <c r="K279" s="120" t="n"/>
      <c r="L279" s="64" t="n"/>
      <c r="M279" s="5" t="n"/>
      <c r="N279" s="65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JUNIO!$I280-JUNIO!$H280</f>
        <v/>
      </c>
      <c r="H280" s="121" t="n"/>
      <c r="I280" s="121" t="n"/>
      <c r="J280" s="123" t="n"/>
      <c r="K280" s="120" t="n"/>
      <c r="L280" s="64" t="n"/>
      <c r="M280" s="5" t="n"/>
      <c r="N280" s="65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JUNIO!$I281-JUNIO!$H281</f>
        <v/>
      </c>
      <c r="H281" s="121" t="n"/>
      <c r="I281" s="121" t="n"/>
      <c r="J281" s="123" t="n"/>
      <c r="K281" s="120" t="n"/>
      <c r="L281" s="64" t="n"/>
      <c r="M281" s="5" t="n"/>
      <c r="N281" s="65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67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JUNIO!$I282-JUNIO!$H282</f>
        <v/>
      </c>
      <c r="H282" s="121" t="n"/>
      <c r="I282" s="121" t="n"/>
      <c r="J282" s="123" t="n"/>
      <c r="K282" s="120" t="n"/>
      <c r="L282" s="64" t="n"/>
      <c r="M282" s="5" t="n"/>
      <c r="N282" s="71">
        <f>IF($D282="AL",$G282,0)</f>
        <v/>
      </c>
      <c r="O282" s="72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73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JUNIO!$I283-JUNIO!$H283</f>
        <v/>
      </c>
      <c r="H283" s="121" t="n"/>
      <c r="I283" s="121" t="n"/>
      <c r="J283" s="123" t="n"/>
      <c r="K283" s="120" t="n"/>
      <c r="L283" s="64" t="n"/>
      <c r="M283" s="5" t="n"/>
      <c r="N283" s="71">
        <f>IF($D283="AL",$G283,0)</f>
        <v/>
      </c>
      <c r="O283" s="72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73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JUNIO!$I284-JUNIO!$H284</f>
        <v/>
      </c>
      <c r="H284" s="121" t="n"/>
      <c r="I284" s="121" t="n"/>
      <c r="J284" s="123" t="n"/>
      <c r="K284" s="120" t="n"/>
      <c r="L284" s="64" t="n"/>
      <c r="M284" s="5" t="n"/>
      <c r="N284" s="65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JUNIO!$I285-JUNIO!$H285</f>
        <v/>
      </c>
      <c r="H285" s="121" t="n"/>
      <c r="I285" s="121" t="n"/>
      <c r="J285" s="123" t="n"/>
      <c r="K285" s="120" t="n"/>
      <c r="L285" s="64" t="n"/>
      <c r="M285" s="5" t="n"/>
      <c r="N285" s="65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73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JUNIO!$I286-JUNIO!$H286</f>
        <v/>
      </c>
      <c r="H286" s="121" t="n"/>
      <c r="I286" s="121" t="n"/>
      <c r="J286" s="123" t="n"/>
      <c r="K286" s="120" t="n"/>
      <c r="L286" s="64" t="n"/>
      <c r="M286" s="5" t="n"/>
      <c r="N286" s="65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 t="n">
        <v>22222</v>
      </c>
      <c r="H287" s="121" t="n"/>
      <c r="I287" s="121" t="n"/>
      <c r="J287" s="123" t="n"/>
      <c r="K287" s="120" t="n"/>
      <c r="L287" s="64" t="n"/>
      <c r="M287" s="5" t="n"/>
      <c r="N287" s="71">
        <f>IF($D287="AL",$G287,0)</f>
        <v/>
      </c>
      <c r="O287" s="66">
        <f>IF($D287="BA",$G287,0)</f>
        <v/>
      </c>
      <c r="P287" s="66">
        <f>IF($D287="GF",$G287,0)</f>
        <v/>
      </c>
      <c r="Q287" s="72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JUNIO!$I288-JUNIO!$H288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IF($D288="AL",$G288,0)</f>
        <v/>
      </c>
      <c r="O288" s="66">
        <f>IF($D288="BA",$G288,0)</f>
        <v/>
      </c>
      <c r="P288" s="66">
        <f>IF($D288="GF",$G288,0)</f>
        <v/>
      </c>
      <c r="Q288" s="72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JUNIO!$I289-JUNIO!$H289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IF($D289="AL",$G289,0)</f>
        <v/>
      </c>
      <c r="O289" s="72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73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JUNIO!$I290-JUNIO!$H290</f>
        <v/>
      </c>
      <c r="H290" s="121" t="n"/>
      <c r="I290" s="121" t="n"/>
      <c r="J290" s="123" t="n"/>
      <c r="K290" s="120" t="n"/>
      <c r="L290" s="64" t="n"/>
      <c r="M290" s="5" t="n"/>
      <c r="N290" s="71">
        <f>IF($D290="AL",$G290,0)</f>
        <v/>
      </c>
      <c r="O290" s="72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JUNIO!$I291-JUNIO!$H291</f>
        <v/>
      </c>
      <c r="H291" s="121" t="n"/>
      <c r="I291" s="121" t="n"/>
      <c r="J291" s="123" t="n"/>
      <c r="K291" s="120" t="n"/>
      <c r="L291" s="64" t="n"/>
      <c r="M291" s="5" t="n"/>
      <c r="N291" s="65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JUNIO!$I292-JUNIO!$H292</f>
        <v/>
      </c>
      <c r="H292" s="121" t="n"/>
      <c r="I292" s="121" t="n"/>
      <c r="J292" s="123" t="n"/>
      <c r="K292" s="120" t="n"/>
      <c r="L292" s="64" t="n"/>
      <c r="M292" s="5" t="n"/>
      <c r="N292" s="65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JUNIO!$I293-JUNIO!$H293</f>
        <v/>
      </c>
      <c r="H293" s="121" t="n"/>
      <c r="I293" s="121" t="n"/>
      <c r="J293" s="123" t="n"/>
      <c r="K293" s="120" t="n"/>
      <c r="L293" s="64" t="n"/>
      <c r="M293" s="5" t="n"/>
      <c r="N293" s="65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JUNIO!$I294-JUNIO!$H294</f>
        <v/>
      </c>
      <c r="H294" s="121" t="n"/>
      <c r="I294" s="121" t="n"/>
      <c r="J294" s="123" t="n"/>
      <c r="K294" s="120" t="n"/>
      <c r="L294" s="64" t="n"/>
      <c r="M294" s="5" t="n"/>
      <c r="N294" s="65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JUNIO!$I295-JUNIO!$H295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72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JUNIO!$I296-JUNIO!$H296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72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73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JUNIO!$I297-JUNIO!$H297</f>
        <v/>
      </c>
      <c r="H297" s="121" t="n"/>
      <c r="I297" s="121" t="n"/>
      <c r="J297" s="123" t="n"/>
      <c r="K297" s="120" t="n"/>
      <c r="L297" s="64" t="n"/>
      <c r="M297" s="5" t="n"/>
      <c r="N297" s="65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JUNIO!$I298-JUNIO!$H298</f>
        <v/>
      </c>
      <c r="H298" s="121" t="n"/>
      <c r="I298" s="121" t="n"/>
      <c r="J298" s="123" t="n"/>
      <c r="K298" s="120" t="n"/>
      <c r="L298" s="64" t="n"/>
      <c r="M298" s="5" t="n"/>
      <c r="N298" s="65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JUNIO!$I299-JUNIO!$H299</f>
        <v/>
      </c>
      <c r="H299" s="121" t="n"/>
      <c r="I299" s="121" t="n"/>
      <c r="J299" s="123" t="n"/>
      <c r="K299" s="120" t="n"/>
      <c r="L299" s="64" t="n"/>
      <c r="M299" s="5" t="n"/>
      <c r="N299" s="65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JUNIO!$I300-JUNIO!$H300</f>
        <v/>
      </c>
      <c r="H300" s="121" t="n"/>
      <c r="I300" s="121" t="n"/>
      <c r="J300" s="123" t="n"/>
      <c r="K300" s="120" t="n"/>
      <c r="L300" s="64" t="n"/>
      <c r="M300" s="5" t="n"/>
      <c r="N300" s="65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JUNIO!$I301-JUNIO!$H301</f>
        <v/>
      </c>
      <c r="H301" s="121" t="n"/>
      <c r="I301" s="121" t="n"/>
      <c r="J301" s="123" t="n"/>
      <c r="K301" s="120" t="n"/>
      <c r="L301" s="64" t="n"/>
      <c r="M301" s="5" t="n"/>
      <c r="N301" s="65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JUNIO!$I302-JUNIO!$H302</f>
        <v/>
      </c>
      <c r="H302" s="121" t="n"/>
      <c r="I302" s="121" t="n"/>
      <c r="J302" s="123" t="n"/>
      <c r="K302" s="120" t="n"/>
      <c r="L302" s="64" t="n"/>
      <c r="M302" s="5" t="n"/>
      <c r="N302" s="65">
        <f>IF($D302="AL",$G302,0)</f>
        <v/>
      </c>
      <c r="O302" s="66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JUNIO!$I303-JUNIO!$H303</f>
        <v/>
      </c>
      <c r="H303" s="121" t="n"/>
      <c r="I303" s="121" t="n"/>
      <c r="J303" s="123" t="n"/>
      <c r="K303" s="120" t="n"/>
      <c r="L303" s="64" t="n"/>
      <c r="M303" s="5" t="n"/>
      <c r="N303" s="65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73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JUNIO!$I304-JUNIO!$H304</f>
        <v/>
      </c>
      <c r="H304" s="121" t="n"/>
      <c r="I304" s="121" t="n"/>
      <c r="J304" s="123" t="n"/>
      <c r="K304" s="120" t="n"/>
      <c r="L304" s="64" t="n"/>
      <c r="M304" s="5" t="n"/>
      <c r="N304" s="65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JUNIO!$I305-JUNIO!$H305</f>
        <v/>
      </c>
      <c r="H305" s="121" t="n"/>
      <c r="I305" s="121" t="n"/>
      <c r="J305" s="123" t="n"/>
      <c r="K305" s="120" t="n"/>
      <c r="L305" s="64" t="n"/>
      <c r="M305" s="5" t="n"/>
      <c r="N305" s="65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JUNIO!$I306-JUNIO!$H306</f>
        <v/>
      </c>
      <c r="H306" s="121" t="n"/>
      <c r="I306" s="121" t="n"/>
      <c r="J306" s="123" t="n"/>
      <c r="K306" s="120" t="n"/>
      <c r="L306" s="64" t="n"/>
      <c r="M306" s="5" t="n"/>
      <c r="N306" s="71">
        <f>IF($D306="AL",$G306,0)</f>
        <v/>
      </c>
      <c r="O306" s="72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73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JUNIO!$I307-JUNIO!$H307</f>
        <v/>
      </c>
      <c r="H307" s="121" t="n"/>
      <c r="I307" s="121" t="n"/>
      <c r="J307" s="123" t="n"/>
      <c r="K307" s="120" t="n"/>
      <c r="L307" s="64" t="n"/>
      <c r="M307" s="5" t="n"/>
      <c r="N307" s="71">
        <f>IF($D307="AL",$G307,0)</f>
        <v/>
      </c>
      <c r="O307" s="72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73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JUNIO!$I308-JUNIO!$H308</f>
        <v/>
      </c>
      <c r="H308" s="121" t="n"/>
      <c r="I308" s="121" t="n"/>
      <c r="J308" s="123" t="n"/>
      <c r="K308" s="120" t="n"/>
      <c r="L308" s="64" t="n"/>
      <c r="M308" s="5" t="n"/>
      <c r="N308" s="71">
        <f>IF($D308="AL",$G308,0)</f>
        <v/>
      </c>
      <c r="O308" s="72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73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JUNIO!$I309-JUNIO!$H309</f>
        <v/>
      </c>
      <c r="H309" s="121" t="n"/>
      <c r="I309" s="121" t="n"/>
      <c r="J309" s="123" t="n"/>
      <c r="K309" s="120" t="n"/>
      <c r="L309" s="64" t="n"/>
      <c r="M309" s="5" t="n"/>
      <c r="N309" s="71">
        <f>IF($D309="AL",$G309,0)</f>
        <v/>
      </c>
      <c r="O309" s="72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JUNIO!$I310-JUNIO!$H310</f>
        <v/>
      </c>
      <c r="H310" s="121" t="n"/>
      <c r="I310" s="121" t="n"/>
      <c r="J310" s="123" t="n"/>
      <c r="K310" s="120" t="n"/>
      <c r="L310" s="64" t="n"/>
      <c r="M310" s="5" t="n"/>
      <c r="N310" s="65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JUNIO!$I311-JUNIO!$H311</f>
        <v/>
      </c>
      <c r="H311" s="121" t="n"/>
      <c r="I311" s="121" t="n"/>
      <c r="J311" s="123" t="n"/>
      <c r="K311" s="120" t="n"/>
      <c r="L311" s="64" t="n"/>
      <c r="M311" s="5" t="n"/>
      <c r="N311" s="65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JUNIO!$I312-JUNIO!$H312</f>
        <v/>
      </c>
      <c r="H312" s="121" t="n"/>
      <c r="I312" s="121" t="n"/>
      <c r="J312" s="123" t="n"/>
      <c r="K312" s="120" t="n"/>
      <c r="L312" s="64" t="n"/>
      <c r="M312" s="5" t="n"/>
      <c r="N312" s="71">
        <f>IF($D312="AL",$G312,0)</f>
        <v/>
      </c>
      <c r="O312" s="72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JUNIO!$I313-JUNIO!$H313</f>
        <v/>
      </c>
      <c r="H313" s="121" t="n"/>
      <c r="I313" s="121" t="n"/>
      <c r="J313" s="123" t="n"/>
      <c r="K313" s="120" t="n"/>
      <c r="L313" s="64" t="n"/>
      <c r="M313" s="5" t="n"/>
      <c r="N313" s="65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73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JUNIO!$I314-JUNIO!$H314</f>
        <v/>
      </c>
      <c r="H314" s="121" t="n"/>
      <c r="I314" s="121" t="n"/>
      <c r="J314" s="123" t="n"/>
      <c r="K314" s="120" t="n"/>
      <c r="L314" s="64" t="n"/>
      <c r="M314" s="5" t="n"/>
      <c r="N314" s="71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75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JUNIO!$I315-JUNIO!$H315</f>
        <v/>
      </c>
      <c r="H315" s="121" t="n"/>
      <c r="I315" s="121" t="n"/>
      <c r="J315" s="123" t="n"/>
      <c r="K315" s="120" t="n"/>
      <c r="L315" s="64" t="n"/>
      <c r="M315" s="5" t="n"/>
      <c r="N315" s="65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JUNIO!$I316-JUNIO!$H316</f>
        <v/>
      </c>
      <c r="H316" s="121" t="n"/>
      <c r="I316" s="121" t="n"/>
      <c r="J316" s="123" t="n"/>
      <c r="K316" s="120" t="n"/>
      <c r="L316" s="64" t="n"/>
      <c r="M316" s="5" t="n"/>
      <c r="N316" s="71">
        <f>IF($D316="AL",$G316,0)</f>
        <v/>
      </c>
      <c r="O316" s="72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JUNIO!$I317-JUNIO!$H317</f>
        <v/>
      </c>
      <c r="H317" s="121" t="n"/>
      <c r="I317" s="121" t="n"/>
      <c r="J317" s="123" t="n"/>
      <c r="K317" s="120" t="n"/>
      <c r="L317" s="64" t="n"/>
      <c r="M317" s="5" t="n"/>
      <c r="N317" s="71">
        <f>IF($D317="AL",$G317,0)</f>
        <v/>
      </c>
      <c r="O317" s="72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JUNIO!$I318-JUNIO!$H318</f>
        <v/>
      </c>
      <c r="H318" s="121" t="n"/>
      <c r="I318" s="121" t="n"/>
      <c r="J318" s="123" t="n"/>
      <c r="K318" s="120" t="n"/>
      <c r="L318" s="64" t="n"/>
      <c r="M318" s="5" t="n"/>
      <c r="N318" s="71">
        <f>IF($D318="AL",$G318,0)</f>
        <v/>
      </c>
      <c r="O318" s="72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JUNIO!$I319-JUNIO!$H319</f>
        <v/>
      </c>
      <c r="H319" s="121" t="n"/>
      <c r="I319" s="121" t="n"/>
      <c r="J319" s="123" t="n"/>
      <c r="K319" s="120" t="n"/>
      <c r="L319" s="64" t="n"/>
      <c r="M319" s="5" t="n"/>
      <c r="N319" s="65">
        <f>IF($D319="AL",$G319,0)</f>
        <v/>
      </c>
      <c r="O319" s="66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JUNIO!$I320-JUNIO!$H320</f>
        <v/>
      </c>
      <c r="H320" s="121" t="n"/>
      <c r="I320" s="121" t="n"/>
      <c r="J320" s="123" t="n"/>
      <c r="K320" s="120" t="n"/>
      <c r="L320" s="64" t="n"/>
      <c r="M320" s="5" t="n"/>
      <c r="N320" s="65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JUNIO!$I321-JUNIO!$H321</f>
        <v/>
      </c>
      <c r="H321" s="121" t="n"/>
      <c r="I321" s="121" t="n"/>
      <c r="J321" s="123" t="n"/>
      <c r="K321" s="120" t="n"/>
      <c r="L321" s="64" t="n"/>
      <c r="M321" s="5" t="n"/>
      <c r="N321" s="65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JUNIO!$I322-JUNIO!$H322</f>
        <v/>
      </c>
      <c r="H322" s="121" t="n"/>
      <c r="I322" s="121" t="n"/>
      <c r="J322" s="123" t="n"/>
      <c r="K322" s="120" t="n"/>
      <c r="L322" s="64" t="n"/>
      <c r="M322" s="5" t="n"/>
      <c r="N322" s="65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JUNIO!$I323-JUNIO!$H323</f>
        <v/>
      </c>
      <c r="H323" s="121" t="n"/>
      <c r="I323" s="121" t="n"/>
      <c r="J323" s="123" t="n"/>
      <c r="K323" s="120" t="n"/>
      <c r="L323" s="64" t="n"/>
      <c r="M323" s="5" t="n"/>
      <c r="N323" s="65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JUNIO!$I324-JUNIO!$H324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72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73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JUNIO!$I325-JUNIO!$H325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72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73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JUNIO!$I326-JUNIO!$H326</f>
        <v/>
      </c>
      <c r="H326" s="121" t="n"/>
      <c r="I326" s="121" t="n"/>
      <c r="J326" s="123" t="n"/>
      <c r="K326" s="120" t="n"/>
      <c r="L326" s="64" t="n"/>
      <c r="M326" s="5" t="n"/>
      <c r="N326" s="71">
        <f>IF($D326="AL",$G326,0)</f>
        <v/>
      </c>
      <c r="O326" s="72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73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JUNIO!$I327-JUNIO!$H327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72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JUNIO!$I328-JUNIO!$H328</f>
        <v/>
      </c>
      <c r="H328" s="121" t="n"/>
      <c r="I328" s="121" t="n"/>
      <c r="J328" s="123" t="n"/>
      <c r="K328" s="120" t="n"/>
      <c r="L328" s="64" t="n"/>
      <c r="M328" s="5" t="n"/>
      <c r="N328" s="65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73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JUNIO!$I329-JUNIO!$H329</f>
        <v/>
      </c>
      <c r="H329" s="121" t="n"/>
      <c r="I329" s="121" t="n"/>
      <c r="J329" s="123" t="n"/>
      <c r="K329" s="120" t="n"/>
      <c r="L329" s="64" t="n"/>
      <c r="M329" s="5" t="n"/>
      <c r="N329" s="71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75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JUNIO!$I330-JUNIO!$H330</f>
        <v/>
      </c>
      <c r="H330" s="121" t="n"/>
      <c r="I330" s="121" t="n"/>
      <c r="J330" s="123" t="n"/>
      <c r="K330" s="120" t="n"/>
      <c r="L330" s="64" t="n"/>
      <c r="M330" s="5" t="n"/>
      <c r="N330" s="71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75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JUNIO!$I331-JUNIO!$H331</f>
        <v/>
      </c>
      <c r="H331" s="121" t="n"/>
      <c r="I331" s="121" t="n"/>
      <c r="J331" s="123" t="n"/>
      <c r="K331" s="120" t="n"/>
      <c r="L331" s="64" t="n"/>
      <c r="M331" s="5" t="n"/>
      <c r="N331" s="71">
        <f>IF($D331="AL",$G331,0)</f>
        <v/>
      </c>
      <c r="O331" s="72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JUNIO!$I332-JUNIO!$H332</f>
        <v/>
      </c>
      <c r="H332" s="121" t="n"/>
      <c r="I332" s="121" t="n"/>
      <c r="J332" s="123" t="n"/>
      <c r="K332" s="120" t="n"/>
      <c r="L332" s="64" t="n"/>
      <c r="M332" s="5" t="n"/>
      <c r="N332" s="65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JUNIO!$I333-JUNIO!$H333</f>
        <v/>
      </c>
      <c r="H333" s="121" t="n"/>
      <c r="I333" s="121" t="n"/>
      <c r="J333" s="123" t="n"/>
      <c r="K333" s="120" t="n"/>
      <c r="L333" s="64" t="n"/>
      <c r="M333" s="5" t="n"/>
      <c r="N333" s="65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JUNIO!$I334-JUNIO!$H334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IF($D334="AL",$G334,0)</f>
        <v/>
      </c>
      <c r="O334" s="72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JUNIO!$I335-JUNIO!$H335</f>
        <v/>
      </c>
      <c r="H335" s="121" t="n"/>
      <c r="I335" s="121" t="n"/>
      <c r="J335" s="123" t="n"/>
      <c r="K335" s="120" t="n"/>
      <c r="L335" s="64" t="n"/>
      <c r="M335" s="5" t="n"/>
      <c r="N335" s="65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JUNIO!$I336-JUNIO!$H336</f>
        <v/>
      </c>
      <c r="H336" s="121" t="n"/>
      <c r="I336" s="121" t="n"/>
      <c r="J336" s="123" t="n"/>
      <c r="K336" s="120" t="n"/>
      <c r="L336" s="64" t="n"/>
      <c r="M336" s="5" t="n"/>
      <c r="N336" s="65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67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JUNIO!$I337-JUNIO!$H337</f>
        <v/>
      </c>
      <c r="H337" s="121" t="n"/>
      <c r="I337" s="121" t="n"/>
      <c r="J337" s="123" t="n"/>
      <c r="K337" s="120" t="n"/>
      <c r="L337" s="64" t="n"/>
      <c r="M337" s="5" t="n"/>
      <c r="N337" s="65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JUNIO!$I338-JUNIO!$H338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66">
        <f>IF($D338="BA",$G338,0)</f>
        <v/>
      </c>
      <c r="P338" s="66">
        <f>IF($D338="GF",$G338,0)</f>
        <v/>
      </c>
      <c r="Q338" s="66">
        <f>IF($D338="OT",$G338,0)</f>
        <v/>
      </c>
      <c r="R338" s="75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JUNIO!$I339-JUNIO!$H339</f>
        <v/>
      </c>
      <c r="H339" s="121" t="n"/>
      <c r="I339" s="121" t="n"/>
      <c r="J339" s="123" t="n"/>
      <c r="K339" s="120" t="n"/>
      <c r="L339" s="64" t="n"/>
      <c r="M339" s="5" t="n"/>
      <c r="N339" s="65">
        <f>IF($D339="AL",$G339,0)</f>
        <v/>
      </c>
      <c r="O339" s="66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JUNIO!$I340-JUNIO!$H340</f>
        <v/>
      </c>
      <c r="H340" s="121" t="n"/>
      <c r="I340" s="121" t="n"/>
      <c r="J340" s="123" t="n"/>
      <c r="K340" s="120" t="n"/>
      <c r="L340" s="64" t="n"/>
      <c r="M340" s="5" t="n"/>
      <c r="N340" s="71">
        <f>IF($D340="AL",$G340,0)</f>
        <v/>
      </c>
      <c r="O340" s="72">
        <f>IF($D340="BA",$G340,0)</f>
        <v/>
      </c>
      <c r="P340" s="66">
        <f>IF($D340="GF",$G340,0)</f>
        <v/>
      </c>
      <c r="Q340" s="66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JUNIO!$I341-JUNIO!$H341</f>
        <v/>
      </c>
      <c r="H341" s="121" t="n"/>
      <c r="I341" s="121" t="n"/>
      <c r="J341" s="123" t="n"/>
      <c r="K341" s="120" t="n"/>
      <c r="L341" s="64" t="n"/>
      <c r="M341" s="5" t="n"/>
      <c r="N341" s="65">
        <f>IF($D341="AL",$G341,0)</f>
        <v/>
      </c>
      <c r="O341" s="66">
        <f>IF($D341="BA",$G341,0)</f>
        <v/>
      </c>
      <c r="P341" s="66">
        <f>IF($D341="GF",$G341,0)</f>
        <v/>
      </c>
      <c r="Q341" s="66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JUNIO!$I342-JUNIO!$H342</f>
        <v/>
      </c>
      <c r="H342" s="121" t="n"/>
      <c r="I342" s="121" t="n"/>
      <c r="J342" s="123" t="n"/>
      <c r="K342" s="120" t="n"/>
      <c r="L342" s="64" t="n"/>
      <c r="M342" s="5" t="n"/>
      <c r="N342" s="65">
        <f>IF($D342="AL",$G342,0)</f>
        <v/>
      </c>
      <c r="O342" s="66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JUNIO!$I343-JUNIO!$H343</f>
        <v/>
      </c>
      <c r="H343" s="121" t="n"/>
      <c r="I343" s="121" t="n"/>
      <c r="J343" s="123" t="n"/>
      <c r="K343" s="120" t="n"/>
      <c r="L343" s="64" t="n"/>
      <c r="M343" s="5" t="n"/>
      <c r="N343" s="65">
        <f>IF($D343="AL",$G343,0)</f>
        <v/>
      </c>
      <c r="O343" s="66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JUNIO!$I344-JUNIO!$H344</f>
        <v/>
      </c>
      <c r="H344" s="121" t="n"/>
      <c r="I344" s="121" t="n"/>
      <c r="J344" s="123" t="n"/>
      <c r="K344" s="120" t="n"/>
      <c r="L344" s="64" t="n"/>
      <c r="M344" s="5" t="n"/>
      <c r="N344" s="65">
        <f>IF($D344="AL",$G344,0)</f>
        <v/>
      </c>
      <c r="O344" s="66">
        <f>IF($D344="BA",$G344,0)</f>
        <v/>
      </c>
      <c r="P344" s="66">
        <f>IF($D344="GF",$G344,0)</f>
        <v/>
      </c>
      <c r="Q344" s="66">
        <f>IF($D344="OT",$G344,0)</f>
        <v/>
      </c>
      <c r="R344" s="67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JUNIO!$I345-JUNIO!$H345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IF($D345="AL",$G345,0)</f>
        <v/>
      </c>
      <c r="O345" s="72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JUNIO!$I346-JUNIO!$H346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72">
        <f>IF($D346="BA",$G346,0)</f>
        <v/>
      </c>
      <c r="P346" s="66">
        <f>IF($D346="GF",$G346,0)</f>
        <v/>
      </c>
      <c r="Q346" s="66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JUNIO!$I347-JUNIO!$H347</f>
        <v/>
      </c>
      <c r="H347" s="121" t="n"/>
      <c r="I347" s="121" t="n"/>
      <c r="J347" s="123" t="n"/>
      <c r="K347" s="120" t="n"/>
      <c r="L347" s="64" t="n"/>
      <c r="M347" s="5" t="n"/>
      <c r="N347" s="65">
        <f>IF($D347="AL",$G347,0)</f>
        <v/>
      </c>
      <c r="O347" s="66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JUNIO!$I348-JUNIO!$H348</f>
        <v/>
      </c>
      <c r="H348" s="121" t="n"/>
      <c r="I348" s="121" t="n"/>
      <c r="J348" s="123" t="n"/>
      <c r="K348" s="120" t="n"/>
      <c r="L348" s="64" t="n"/>
      <c r="M348" s="5" t="n"/>
      <c r="N348" s="65">
        <f>IF($D348="AL",$G348,0)</f>
        <v/>
      </c>
      <c r="O348" s="66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JUNIO!$I349-JUNIO!$H349</f>
        <v/>
      </c>
      <c r="H349" s="121" t="n"/>
      <c r="I349" s="121" t="n"/>
      <c r="J349" s="123" t="n"/>
      <c r="K349" s="120" t="n"/>
      <c r="L349" s="64" t="n"/>
      <c r="M349" s="5" t="n"/>
      <c r="N349" s="65">
        <f>IF($D349="AL",$G349,0)</f>
        <v/>
      </c>
      <c r="O349" s="66">
        <f>IF($D349="BA",$G349,0)</f>
        <v/>
      </c>
      <c r="P349" s="66">
        <f>IF($D349="GF",$G349,0)</f>
        <v/>
      </c>
      <c r="Q349" s="66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JUNIO!$I350-JUNIO!$H350</f>
        <v/>
      </c>
      <c r="H350" s="121" t="n"/>
      <c r="I350" s="121" t="n"/>
      <c r="J350" s="123" t="n"/>
      <c r="K350" s="120" t="n"/>
      <c r="L350" s="64" t="n"/>
      <c r="M350" s="5" t="n"/>
      <c r="N350" s="65">
        <f>IF($D350="AL",$G350,0)</f>
        <v/>
      </c>
      <c r="O350" s="66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JUNIO!$I351-JUNIO!$H351</f>
        <v/>
      </c>
      <c r="H351" s="121" t="n"/>
      <c r="I351" s="121" t="n"/>
      <c r="J351" s="123" t="n"/>
      <c r="K351" s="120" t="n"/>
      <c r="L351" s="64" t="n"/>
      <c r="M351" s="5" t="n"/>
      <c r="N351" s="65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73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JUNIO!$I352-JUNIO!$H352</f>
        <v/>
      </c>
      <c r="H352" s="121" t="n"/>
      <c r="I352" s="121" t="n"/>
      <c r="J352" s="123" t="n"/>
      <c r="K352" s="120" t="n"/>
      <c r="L352" s="64" t="n"/>
      <c r="M352" s="5" t="n"/>
      <c r="N352" s="65">
        <f>IF($D352="AL",$G352,0)</f>
        <v/>
      </c>
      <c r="O352" s="66">
        <f>IF($D352="BA",$G352,0)</f>
        <v/>
      </c>
      <c r="P352" s="66">
        <f>IF($D352="GF",$G352,0)</f>
        <v/>
      </c>
      <c r="Q352" s="66">
        <f>IF($D352="OT",$G352,0)</f>
        <v/>
      </c>
      <c r="R352" s="67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JUNIO!$I353-JUNIO!$H353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IF($D353="AL",$G353,0)</f>
        <v/>
      </c>
      <c r="O353" s="72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73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JUNIO!$I354-JUNIO!$H354</f>
        <v/>
      </c>
      <c r="H354" s="121" t="n"/>
      <c r="I354" s="121" t="n"/>
      <c r="J354" s="123" t="n"/>
      <c r="K354" s="120" t="n"/>
      <c r="L354" s="64" t="n"/>
      <c r="M354" s="5" t="n"/>
      <c r="N354" s="65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JUNIO!$I355-JUNIO!$H355</f>
        <v/>
      </c>
      <c r="H355" s="121" t="n"/>
      <c r="I355" s="121" t="n"/>
      <c r="J355" s="123" t="n"/>
      <c r="K355" s="120" t="n"/>
      <c r="L355" s="64" t="n"/>
      <c r="M355" s="5" t="n"/>
      <c r="N355" s="65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67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JUNIO!$I356-JUNIO!$H356</f>
        <v/>
      </c>
      <c r="H356" s="121" t="n"/>
      <c r="I356" s="121" t="n"/>
      <c r="J356" s="123" t="n"/>
      <c r="K356" s="120" t="n"/>
      <c r="L356" s="64" t="n"/>
      <c r="M356" s="5" t="n"/>
      <c r="N356" s="65">
        <f>IF($D356="AL",$G356,0)</f>
        <v/>
      </c>
      <c r="O356" s="66">
        <f>IF($D356="BA",$G356,0)</f>
        <v/>
      </c>
      <c r="P356" s="66">
        <f>IF($D356="GF",$G356,0)</f>
        <v/>
      </c>
      <c r="Q356" s="66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JUNIO!$I357-JUNIO!$H357</f>
        <v/>
      </c>
      <c r="H357" s="121" t="n"/>
      <c r="I357" s="121" t="n"/>
      <c r="J357" s="123" t="n"/>
      <c r="K357" s="120" t="n"/>
      <c r="L357" s="64" t="n"/>
      <c r="M357" s="5" t="n"/>
      <c r="N357" s="65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67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JUNIO!$I358-JUNIO!$H358</f>
        <v/>
      </c>
      <c r="H358" s="121" t="n"/>
      <c r="I358" s="121" t="n"/>
      <c r="J358" s="123" t="n"/>
      <c r="K358" s="120" t="n"/>
      <c r="L358" s="64" t="n"/>
      <c r="M358" s="5" t="n"/>
      <c r="N358" s="65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JUNIO!$I359-JUNIO!$H359</f>
        <v/>
      </c>
      <c r="H359" s="121" t="n"/>
      <c r="I359" s="121" t="n"/>
      <c r="J359" s="123" t="n"/>
      <c r="K359" s="120" t="n"/>
      <c r="L359" s="64" t="n"/>
      <c r="M359" s="5" t="n"/>
      <c r="N359" s="65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JUNIO!$I360-JUNIO!$H360</f>
        <v/>
      </c>
      <c r="H360" s="121" t="n"/>
      <c r="I360" s="121" t="n"/>
      <c r="J360" s="123" t="n"/>
      <c r="K360" s="120" t="n"/>
      <c r="L360" s="64" t="n"/>
      <c r="M360" s="5" t="n"/>
      <c r="N360" s="71">
        <f>IF($D360="AL",$G360,0)</f>
        <v/>
      </c>
      <c r="O360" s="72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JUNIO!$I361-JUNIO!$H361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IF($D361="AL",$G361,0)</f>
        <v/>
      </c>
      <c r="O361" s="72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JUNIO!$I362-JUNIO!$H362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IF($D362="AL",$G362,0)</f>
        <v/>
      </c>
      <c r="O362" s="72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73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JUNIO!$I363-JUNIO!$H363</f>
        <v/>
      </c>
      <c r="H363" s="121" t="n"/>
      <c r="I363" s="121" t="n"/>
      <c r="J363" s="123" t="n"/>
      <c r="K363" s="120" t="n"/>
      <c r="L363" s="64" t="n"/>
      <c r="M363" s="5" t="n"/>
      <c r="N363" s="65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JUNIO!$I364-JUNIO!$H364</f>
        <v/>
      </c>
      <c r="H364" s="121" t="n"/>
      <c r="I364" s="121" t="n"/>
      <c r="J364" s="123" t="n"/>
      <c r="K364" s="120" t="n"/>
      <c r="L364" s="64" t="n"/>
      <c r="M364" s="5" t="n"/>
      <c r="N364" s="65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73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JUNIO!$I365-JUNIO!$H365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76" t="n"/>
      <c r="E366" s="120" t="n"/>
      <c r="F366" s="120" t="n"/>
      <c r="G366" s="63">
        <f>JUNIO!$I366-JUNIO!$H366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76" t="n"/>
      <c r="E367" s="120" t="n"/>
      <c r="F367" s="120" t="n"/>
      <c r="G367" s="63">
        <f>JUNIO!$I367-JUNIO!$H367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IF($D367="AL",$G367,0)</f>
        <v/>
      </c>
      <c r="O367" s="66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76" t="n"/>
      <c r="E368" s="120" t="n"/>
      <c r="F368" s="120" t="n"/>
      <c r="G368" s="63">
        <f>JUNIO!$I368-JUNIO!$H368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76" t="n"/>
      <c r="E369" s="120" t="n"/>
      <c r="F369" s="120" t="n"/>
      <c r="G369" s="63">
        <f>JUNIO!$I369-JUNIO!$H369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69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76" t="n"/>
      <c r="E370" s="120" t="n"/>
      <c r="F370" s="120" t="n"/>
      <c r="G370" s="63">
        <f>JUNIO!$I370-JUNIO!$H370</f>
        <v/>
      </c>
      <c r="H370" s="121" t="n"/>
      <c r="I370" s="121" t="n"/>
      <c r="J370" s="123" t="n"/>
      <c r="K370" s="120" t="n"/>
      <c r="L370" s="64" t="n"/>
      <c r="M370" s="5" t="n"/>
      <c r="N370" s="71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76" t="n"/>
      <c r="E371" s="120" t="n"/>
      <c r="F371" s="120" t="n"/>
      <c r="G371" s="63">
        <f>JUNIO!$I371-JUNIO!$H371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66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76" t="n"/>
      <c r="E372" s="120" t="n"/>
      <c r="F372" s="120" t="n"/>
      <c r="G372" s="63">
        <f>JUNIO!$I372-JUNIO!$H372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67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76" t="n"/>
      <c r="E373" s="120" t="n"/>
      <c r="F373" s="120" t="n"/>
      <c r="G373" s="63">
        <f>JUNIO!$I373-JUNIO!$H373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76" t="n"/>
      <c r="E374" s="120" t="n"/>
      <c r="F374" s="120" t="n"/>
      <c r="G374" s="63">
        <f>JUNIO!$I374-JUNIO!$H374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76" t="n"/>
      <c r="E375" s="120" t="n"/>
      <c r="F375" s="120" t="n"/>
      <c r="G375" s="63">
        <f>JUNIO!$I375-JUNIO!$H375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66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JUNIO!$I376-JUNIO!$H376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JUNIO!$I377-JUNIO!$H377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66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JUNIO!$I378-JUNIO!$H378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JUNIO!$I379-JUNIO!$H379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JUNIO!$I380-JUNIO!$H380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66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JUNIO!$I381-JUNIO!$H381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JUNIO!$I382-JUNIO!$H382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JUNIO!$I383-JUNIO!$H383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66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69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JUNIO!$I384-JUNIO!$H384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66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JUNIO!$I385-JUNIO!$H385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JUNIO!$I386-JUNIO!$H386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66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69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JUNIO!$I387-JUNIO!$H387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69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JUNIO!$I388-JUNIO!$H388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JUNIO!$I389-JUNIO!$H389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JUNIO!$I390-JUNIO!$H390</f>
        <v/>
      </c>
      <c r="H390" s="121" t="n"/>
      <c r="I390" s="121" t="n"/>
      <c r="J390" s="123" t="n"/>
      <c r="K390" s="120" t="n"/>
      <c r="L390" s="64" t="n"/>
      <c r="M390" s="5" t="n"/>
      <c r="N390" s="71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69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JUNIO!$I391-JUNIO!$H391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69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JUNIO!$I392-JUNIO!$H392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JUNIO!$I393-JUNIO!$H393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JUNIO!$I394-JUNIO!$H394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66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JUNIO!$I395-JUNIO!$H395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JUNIO!$I396-JUNIO!$H396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JUNIO!$I397-JUNIO!$H397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JUNIO!$I398-JUNIO!$H398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JUNIO!$I399-JUNIO!$H399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JUNIO!$I400-JUNIO!$H400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66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JUNIO!$I401-JUNIO!$H401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JUNIO!$I402-JUNIO!$H402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JUNIO!$I403-JUNIO!$H403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JUNIO!$I404-JUNIO!$H404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JUNIO!$I405-JUNIO!$H405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JUNIO!$I406-JUNIO!$H406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66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JUNIO!$I407-JUNIO!$H407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JUNIO!$I408-JUNIO!$H408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JUNIO!$I409-JUNIO!$H409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JUNIO!$I410-JUNIO!$H410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66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69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JUNIO!$I411-JUNIO!$H411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67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JUNIO!$I412-JUNIO!$H412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JUNIO!$I413-JUNIO!$H413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JUNIO!$I414-JUNIO!$H414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66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JUNIO!$I415-JUNIO!$H415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JUNIO!$I416-JUNIO!$H416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JUNIO!$I417-JUNIO!$H417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66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JUNIO!$I418-JUNIO!$H418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JUNIO!$I419-JUNIO!$H419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66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69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JUNIO!$I420-JUNIO!$H420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66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JUNIO!$I421-JUNIO!$H421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66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JUNIO!$I422-JUNIO!$H422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JUNIO!$I423-JUNIO!$H423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66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JUNIO!$I424-JUNIO!$H424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66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JUNIO!$I425-JUNIO!$H425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66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JUNIO!$I426-JUNIO!$H426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1" t="n"/>
      <c r="B427" s="48" t="n"/>
      <c r="C427" s="49" t="n"/>
      <c r="D427" s="120" t="n"/>
      <c r="E427" s="120" t="n"/>
      <c r="F427" s="120" t="n"/>
      <c r="G427" s="63">
        <f>JUNIO!$I427-JUNIO!$H427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79" t="n"/>
      <c r="B428" s="48" t="n"/>
      <c r="C428" s="49" t="n"/>
      <c r="D428" s="120" t="n"/>
      <c r="E428" s="120" t="n"/>
      <c r="F428" s="120" t="n"/>
      <c r="G428" s="63">
        <f>JUNIO!$I428-JUNIO!$H428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JUNIO!$I429-JUNIO!$H429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JUNIO!$I430-JUNIO!$H430</f>
        <v/>
      </c>
      <c r="H430" s="121" t="n"/>
      <c r="I430" s="121" t="n"/>
      <c r="J430" s="123" t="n"/>
      <c r="K430" s="120" t="n"/>
      <c r="L430" s="64" t="n"/>
      <c r="M430" s="5" t="n"/>
      <c r="N430" s="71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JUNIO!$I431-JUNIO!$H431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JUNIO!$I432-JUNIO!$H432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JUNIO!$I433-JUNIO!$H433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JUNIO!$I434-JUNIO!$H434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JUNIO!$I435-JUNIO!$H435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JUNIO!$I436-JUNIO!$H436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JUNIO!$I437-JUNIO!$H437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JUNIO!$I438-JUNIO!$H438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JUNIO!$I439-JUNIO!$H439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JUNIO!$I440-JUNIO!$H440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JUNIO!$I441-JUNIO!$H441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JUNIO!$I442-JUNIO!$H442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JUNIO!$I443-JUNIO!$H443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JUNIO!$I444-JUNIO!$H444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JUNIO!$I445-JUNIO!$H445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JUNIO!$I446-JUNIO!$H446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JUNIO!$I447-JUNIO!$H447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JUNIO!$I448-JUNIO!$H448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JUNIO!$I449-JUNIO!$H449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JUNIO!$I450-JUNIO!$H450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JUNIO!$I451-JUNIO!$H451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JUNIO!$I452-JUNIO!$H452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JUNIO!$I453-JUNIO!$H453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JUNIO!$I454-JUNIO!$H454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JUNIO!$I455-JUNIO!$H455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JUNIO!$I456-JUNIO!$H456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JUNIO!$I457-JUNIO!$H457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JUNIO!$I458-JUNIO!$H458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JUNIO!$I459-JUNIO!$H459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JUNIO!$I460-JUNIO!$H460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JUNIO!$I461-JUNIO!$H461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JUNIO!$I462-JUNIO!$H462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JUNIO!$I463-JUNIO!$H463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JUNIO!$I464-JUNIO!$H464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JUNIO!$I465-JUNIO!$H465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JUNIO!$I466-JUNIO!$H466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JUNIO!$I467-JUNIO!$H467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JUNIO!$I468-JUNIO!$H468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JUNIO!$I469-JUNIO!$H469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JUNIO!$I470-JUNIO!$H470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JUNIO!$I471-JUNIO!$H471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JUNIO!$I472-JUNIO!$H472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JUNIO!$I473-JUNIO!$H473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JUNIO!$I474-JUNIO!$H474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JUNIO!$I475-JUNIO!$H475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JUNIO!$I476-JUNIO!$H476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JUNIO!$I477-JUNIO!$H477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JUNIO!$I478-JUNIO!$H478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JUNIO!$I479-JUNIO!$H479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JUNIO!$I480-JUNIO!$H480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JUNIO!$I481-JUNIO!$H481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JUNIO!$I482-JUNIO!$H482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JUNIO!$I483-JUNIO!$H483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JUNIO!$I484-JUNIO!$H484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JUNIO!$I485-JUNIO!$H485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JUNIO!$I486-JUNIO!$H486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JUNIO!$I487-JUNIO!$H487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JUNIO!$I488-JUNIO!$H488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JUNIO!$I489-JUNIO!$H489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JUNIO!$I490-JUNIO!$H490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JUNIO!$I491-JUNIO!$H491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JUNIO!$I492-JUNIO!$H492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JUNIO!$I493-JUNIO!$H493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JUNIO!$I494-JUNIO!$H494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JUNIO!$I495-JUNIO!$H495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JUNIO!$I496-JUNIO!$H496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JUNIO!$I497-JUNIO!$H497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JUNIO!$I498-JUNIO!$H498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JUNIO!$I499-JUNIO!$H499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JUNIO!$I500-JUNIO!$H500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JUNIO!$I501-JUNIO!$H501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JUNIO!$I502-JUNIO!$H502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JUNIO!$I503-JUNIO!$H503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JUNIO!$I504-JUNIO!$H504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JUNIO!$I505-JUNIO!$H505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JUNIO!$I506-JUNIO!$H506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JUNIO!$I507-JUNIO!$H507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JUNIO!$I508-JUNIO!$H508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JUNIO!$I509-JUNIO!$H509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JUNIO!$I510-JUNIO!$H510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JUNIO!$I511-JUNIO!$H511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JUNIO!$I512-JUNIO!$H512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JUNIO!$I513-JUNIO!$H513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JUNIO!$I514-JUNIO!$H514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JUNIO!$I515-JUNIO!$H515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JUNIO!$I516-JUNIO!$H516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JUNIO!$I517-JUNIO!$H517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JUNIO!$I518-JUNIO!$H518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JUNIO!$I519-JUNIO!$H519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JUNIO!$I520-JUNIO!$H520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JUNIO!$I521-JUNIO!$H521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JUNIO!$I522-JUNIO!$H522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JUNIO!$I523-JUNIO!$H523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JUNIO!$I524-JUNIO!$H524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JUNIO!$I525-JUNIO!$H525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JUNIO!$I526-JUNIO!$H526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JUNIO!$I527-JUNIO!$H527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JUNIO!$I528-JUNIO!$H528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JUNIO!$I529-JUNIO!$H529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JUNIO!$I530-JUNIO!$H530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JUNIO!$I531-JUNIO!$H531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JUNIO!$I532-JUNIO!$H532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JUNIO!$I533-JUNIO!$H533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JUNIO!$I534-JUNIO!$H534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JUNIO!$I535-JUNIO!$H535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JUNIO!$I536-JUNIO!$H536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JUNIO!$I537-JUNIO!$H537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JUNIO!$I538-JUNIO!$H538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JUNIO!$I539-JUNIO!$H539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JUNIO!$I540-JUNIO!$H540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JUNIO!$I541-JUNIO!$H541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JUNIO!$I542-JUNIO!$H542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JUNIO!$I543-JUNIO!$H543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JUNIO!$I544-JUNIO!$H544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JUNIO!$I545-JUNIO!$H545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JUNIO!$I546-JUNIO!$H546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JUNIO!$I547-JUNIO!$H547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JUNIO!$I548-JUNIO!$H548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JUNIO!$I549-JUNIO!$H549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JUNIO!$I550-JUNIO!$H550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JUNIO!$I551-JUNIO!$H551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JUNIO!$I552-JUNIO!$H552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JUNIO!$I553-JUNIO!$H553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JUNIO!$I554-JUNIO!$H554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JUNIO!$I555-JUNIO!$H555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JUNIO!$I556-JUNIO!$H556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JUNIO!$I557-JUNIO!$H557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JUNIO!$I558-JUNIO!$H558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JUNIO!$I559-JUNIO!$H559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JUNIO!$I560-JUNIO!$H560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JUNIO!$I561-JUNIO!$H561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JUNIO!$I562-JUNIO!$H562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JUNIO!$I563-JUNIO!$H563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JUNIO!$I564-JUNIO!$H564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JUNIO!$I565-JUNIO!$H565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JUNIO!$I566-JUNIO!$H566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JUNIO!$I567-JUNIO!$H567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JUNIO!$I568-JUNIO!$H568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JUNIO!$I569-JUNIO!$H569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JUNIO!$I570-JUNIO!$H570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JUNIO!$I571-JUNIO!$H571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JUNIO!$I572-JUNIO!$H572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JUNIO!$I573-JUNIO!$H573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JUNIO!$I574-JUNIO!$H574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JUNIO!$I575-JUNIO!$H575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JUNIO!$I576-JUNIO!$H576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JUNIO!$I577-JUNIO!$H577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JUNIO!$I578-JUNIO!$H578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JUNIO!$I579-JUNIO!$H579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JUNIO!$I580-JUNIO!$H580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JUNIO!$I581-JUNIO!$H581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JUNIO!$I582-JUNIO!$H582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JUNIO!$I583-JUNIO!$H583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JUNIO!$I584-JUNIO!$H584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JUNIO!$I585-JUNIO!$H585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JUNIO!$I586-JUNIO!$H586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JUNIO!$I587-JUNIO!$H587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JUNIO!$I588-JUNIO!$H588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JUNIO!$I589-JUNIO!$H589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JUNIO!$I590-JUNIO!$H590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JUNIO!$I591-JUNIO!$H591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JUNIO!$I592-JUNIO!$H592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JUNIO!$I593-JUNIO!$H593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JUNIO!$I594-JUNIO!$H594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JUNIO!$I595-JUNIO!$H595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JUNIO!$I596-JUNIO!$H596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JUNIO!$I597-JUNIO!$H597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JUNIO!$I598-JUNIO!$H598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JUNIO!$I599-JUNIO!$H599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JUNIO!$I600-JUNIO!$H600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JUNIO!$I601-JUNIO!$H601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JUNIO!$I602-JUNIO!$H602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JUNIO!$I603-JUNIO!$H603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JUNIO!$I604-JUNIO!$H604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JUNIO!$I605-JUNIO!$H605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JUNIO!$I606-JUNIO!$H606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JUNIO!$I607-JUNIO!$H607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JUNIO!$I608-JUNIO!$H608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JUNIO!$I609-JUNIO!$H609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JUNIO!$I610-JUNIO!$H610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JUNIO!$I611-JUNIO!$H611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JUNIO!$I612-JUNIO!$H612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JUNIO!$I613-JUNIO!$H613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JUNIO!$I614-JUNIO!$H614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JUNIO!$I615-JUNIO!$H615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JUNIO!$I616-JUNIO!$H616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JUNIO!$I617-JUNIO!$H617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JUNIO!$I618-JUNIO!$H618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JUNIO!$I619-JUNIO!$H619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JUNIO!$I620-JUNIO!$H620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JUNIO!$I621-JUNIO!$H621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JUNIO!$I622-JUNIO!$H622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JUNIO!$I623-JUNIO!$H623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JUNIO!$I624-JUNIO!$H624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JUNIO!$I625-JUNIO!$H625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JUNIO!$I626-JUNIO!$H626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JUNIO!$I627-JUNIO!$H627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JUNIO!$I628-JUNIO!$H628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JUNIO!$I629-JUNIO!$H629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JUNIO!$I630-JUNIO!$H630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JUNIO!$I631-JUNIO!$H631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JUNIO!$I632-JUNIO!$H632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JUNIO!$I633-JUNIO!$H633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JUNIO!$I634-JUNIO!$H634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JUNIO!$I635-JUNIO!$H635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JUNIO!$I636-JUNIO!$H636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JUNIO!$I637-JUNIO!$H637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IF($D637="AL",$G637,0)</f>
        <v/>
      </c>
      <c r="O637" s="66">
        <f>IF($D637="BA",$G637,0)</f>
        <v/>
      </c>
      <c r="P637" s="66">
        <f>IF($D637="GF",$G637,0)</f>
        <v/>
      </c>
      <c r="Q637" s="66">
        <f>IF($D637="OT",$G637,0)</f>
        <v/>
      </c>
      <c r="R637" s="67">
        <f>IF($D637="AS",$G637,0)</f>
        <v/>
      </c>
      <c r="S637" s="5" t="n"/>
      <c r="T637" s="68">
        <f>IF($E637=T$8,$G637,0)</f>
        <v/>
      </c>
      <c r="U637" s="69">
        <f>IF($E637=U$8,$G637,0)</f>
        <v/>
      </c>
      <c r="V637" s="69">
        <f>IF($E637=V$8,$G637,0)</f>
        <v/>
      </c>
      <c r="W637" s="69">
        <f>IF($E637=W$8,$G637,0)</f>
        <v/>
      </c>
      <c r="X637" s="69">
        <f>IF($E637=X$8,$G637,0)</f>
        <v/>
      </c>
      <c r="Y637" s="69">
        <f>IF($E637=Y$8,$G637,0)</f>
        <v/>
      </c>
      <c r="Z637" s="69">
        <f>IF($E637=Z$8,$G637,0)</f>
        <v/>
      </c>
      <c r="AA637" s="69">
        <f>IF($E637=AA$8,$G637,0)</f>
        <v/>
      </c>
      <c r="AB637" s="69">
        <f>IF($E637=AB$8,$G637,0)</f>
        <v/>
      </c>
      <c r="AC637" s="69">
        <f>IF($E637=AC$8,$G637,0)</f>
        <v/>
      </c>
      <c r="AD637" s="69">
        <f>IF($E637=AD$8,$G637,0)</f>
        <v/>
      </c>
      <c r="AE637" s="69">
        <f>IF($E637=AE$8,$G637,0)</f>
        <v/>
      </c>
      <c r="AF637" s="69">
        <f>IF($E637=AF$8,$G637,0)</f>
        <v/>
      </c>
      <c r="AG637" s="69">
        <f>IF($E637=AG$8,$G637,0)</f>
        <v/>
      </c>
      <c r="AH637" s="69">
        <f>IF($E637=AH$8,$G637,0)</f>
        <v/>
      </c>
      <c r="AI637" s="69">
        <f>IF($E637=AI$8,$G637,0)</f>
        <v/>
      </c>
      <c r="AJ637" s="69">
        <f>IF($E637=AJ$8,$G637,0)</f>
        <v/>
      </c>
      <c r="AK637" s="69">
        <f>IF($E637=AK$8,$G637,0)</f>
        <v/>
      </c>
      <c r="AL637" s="69">
        <f>IF($E637=AL$8,$G637,0)</f>
        <v/>
      </c>
      <c r="AM637" s="69">
        <f>IF($E637=AM$8,$G637,0)</f>
        <v/>
      </c>
      <c r="AN637" s="69">
        <f>IF($E637=AN$8,$G637,0)</f>
        <v/>
      </c>
      <c r="AO637" s="69">
        <f>IF($E637=AO$8,$G637,0)</f>
        <v/>
      </c>
      <c r="AP637" s="69">
        <f>IF($E637=AP$8,$G637,0)</f>
        <v/>
      </c>
      <c r="AQ637" s="69">
        <f>IF($E637=AQ$8,$G637,0)</f>
        <v/>
      </c>
      <c r="AR637" s="69">
        <f>IF($E637=AR$8,$G637,0)</f>
        <v/>
      </c>
      <c r="AS637" s="69">
        <f>IF($E637=AS$8,$G637,0)</f>
        <v/>
      </c>
      <c r="AT637" s="69">
        <f>IF($E637=AT$8,$G637,0)</f>
        <v/>
      </c>
      <c r="AU637" s="69">
        <f>IF($E637=AU$8,$G637,0)</f>
        <v/>
      </c>
      <c r="AV637" s="69">
        <f>IF($E637=AV$8,$G637,0)</f>
        <v/>
      </c>
      <c r="AW637" s="69">
        <f>IF($E637=AW$8,$G637,0)</f>
        <v/>
      </c>
      <c r="AX637" s="69">
        <f>IF($E637=AX$8,$G637,0)</f>
        <v/>
      </c>
      <c r="AY637" s="69">
        <f>IF($E637=AY$8,$G637,0)</f>
        <v/>
      </c>
      <c r="AZ637" s="69">
        <f>IF($E637=AZ$8,$G637,0)</f>
        <v/>
      </c>
      <c r="BA637" s="69">
        <f>IF($E637=BA$8,$G637,0)</f>
        <v/>
      </c>
      <c r="BB637" s="69">
        <f>IF($E637=BB$8,$G637,0)</f>
        <v/>
      </c>
      <c r="BC637" s="69">
        <f>IF($E637=BC$8,$G637,0)</f>
        <v/>
      </c>
      <c r="BD637" s="69">
        <f>IF($E637=BD$8,$G637,0)</f>
        <v/>
      </c>
      <c r="BE637" s="69">
        <f>IF($E637=BE$8,$G637,0)</f>
        <v/>
      </c>
      <c r="BF637" s="69">
        <f>IF($E637=BF$8,$G637,0)</f>
        <v/>
      </c>
      <c r="BG637" s="69">
        <f>IF($E637=BG$8,$G637,0)</f>
        <v/>
      </c>
      <c r="BH637" s="69">
        <f>IF($E637=BH$8,$G637,0)</f>
        <v/>
      </c>
      <c r="BI637" s="69">
        <f>IF($E637=BI$8,$G637,0)</f>
        <v/>
      </c>
      <c r="BJ637" s="69">
        <f>IF($E637=BJ$8,$G637,0)</f>
        <v/>
      </c>
      <c r="BK637" s="69">
        <f>IF($E637=BK$8,$G637,0)</f>
        <v/>
      </c>
      <c r="BL637" s="69">
        <f>IF($E637=BL$8,$G637,0)</f>
        <v/>
      </c>
      <c r="BM637" s="69">
        <f>IF($E637=BM$8,$G637,0)</f>
        <v/>
      </c>
      <c r="BN637" s="69">
        <f>IF($E637=BN$8,$G637,0)</f>
        <v/>
      </c>
      <c r="BO637" s="69">
        <f>IF($E637=BO$8,$G637,0)</f>
        <v/>
      </c>
      <c r="BP637" s="69">
        <f>IF($E637=BP$8,$G637,0)</f>
        <v/>
      </c>
      <c r="BQ637" s="69">
        <f>IF($E637=BQ$8,$G637,0)</f>
        <v/>
      </c>
      <c r="BR637" s="69">
        <f>IF($E637=BR$8,$G637,0)</f>
        <v/>
      </c>
      <c r="BS637" s="69">
        <f>IF($E637=BS$8,$G637,0)</f>
        <v/>
      </c>
      <c r="BT637" s="69">
        <f>IF($E637=BT$8,$G637,0)</f>
        <v/>
      </c>
      <c r="BU637" s="69">
        <f>IF($E637=BU$8,$G637,0)</f>
        <v/>
      </c>
      <c r="BV637" s="69">
        <f>IF($E637=BV$8,$G637,0)</f>
        <v/>
      </c>
      <c r="BW637" s="69">
        <f>IF($E637=BW$8,$G637,0)</f>
        <v/>
      </c>
      <c r="BX637" s="69">
        <f>IF($E637=BX$8,$G637,0)</f>
        <v/>
      </c>
      <c r="BY637" s="69">
        <f>IF($E637=BY$8,$G637,0)</f>
        <v/>
      </c>
      <c r="BZ637" s="69">
        <f>IF($E637=BZ$8,$G637,0)</f>
        <v/>
      </c>
      <c r="CA637" s="69">
        <f>IF($E637=CA$8,$G637,0)</f>
        <v/>
      </c>
      <c r="CB637" s="69">
        <f>IF($E637=CB$8,$G637,0)</f>
        <v/>
      </c>
      <c r="CC637" s="69">
        <f>IF($E637=CC$8,$G637,0)</f>
        <v/>
      </c>
      <c r="CD637" s="69">
        <f>IF($E637=CD$8,$G637,0)</f>
        <v/>
      </c>
      <c r="CE637" s="69">
        <f>IF($E637=CE$8,$G637,0)</f>
        <v/>
      </c>
      <c r="CF637" s="69">
        <f>IF($E637=CF$8,$G637,0)</f>
        <v/>
      </c>
      <c r="CG637" s="69">
        <f>IF($E637=CG$8,$G637,0)</f>
        <v/>
      </c>
      <c r="CH637" s="69">
        <f>IF($E637=CH$8,$G637,0)</f>
        <v/>
      </c>
      <c r="CI637" s="69">
        <f>IF($E637=CI$8,$G637,0)</f>
        <v/>
      </c>
      <c r="CJ637" s="69">
        <f>IF($E637=CJ$8,$G637,0)</f>
        <v/>
      </c>
      <c r="CK637" s="69">
        <f>IF($E637=CK$8,$G637,0)</f>
        <v/>
      </c>
      <c r="CL637" s="69">
        <f>IF($E637=CL$8,$G637,0)</f>
        <v/>
      </c>
      <c r="CM637" s="69">
        <f>IF($E637=CM$8,$G637,0)</f>
        <v/>
      </c>
      <c r="CN637" s="69">
        <f>IF($E637=CN$8,$G637,0)</f>
        <v/>
      </c>
      <c r="CO637" s="69">
        <f>IF($E637=CO$8,$G637,0)</f>
        <v/>
      </c>
      <c r="CP637" s="69">
        <f>IF($E637=CP$8,$G637,0)</f>
        <v/>
      </c>
      <c r="CQ637" s="69">
        <f>IF($E637=CQ$8,$G637,0)</f>
        <v/>
      </c>
      <c r="CR637" s="69">
        <f>IF($E637=CR$8,$G637,0)</f>
        <v/>
      </c>
      <c r="CS637" s="69">
        <f>IF($E637=CS$8,$G637,0)</f>
        <v/>
      </c>
      <c r="CT637" s="69">
        <f>IF($E637=CT$8,$G637,0)</f>
        <v/>
      </c>
      <c r="CU637" s="69">
        <f>IF($E637=CU$8,$G637,0)</f>
        <v/>
      </c>
      <c r="CV637" s="69">
        <f>IF($E637=CV$8,$G637,0)</f>
        <v/>
      </c>
      <c r="CW637" s="69">
        <f>IF($E637=CW$8,$G637,0)</f>
        <v/>
      </c>
      <c r="CX637" s="69">
        <f>IF($E637=CX$8,$G637,0)</f>
        <v/>
      </c>
      <c r="CY637" s="69">
        <f>IF($E637=CY$8,$G637,0)</f>
        <v/>
      </c>
      <c r="CZ637" s="69">
        <f>IF($E637=CZ$8,$G637,0)</f>
        <v/>
      </c>
      <c r="DA637" s="70">
        <f>IF($E637=DA$8,$G637,0)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JUNIO!$I638-JUNIO!$H638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IF($D638="AL",$G638,0)</f>
        <v/>
      </c>
      <c r="O638" s="66">
        <f>IF($D638="BA",$G638,0)</f>
        <v/>
      </c>
      <c r="P638" s="66">
        <f>IF($D638="GF",$G638,0)</f>
        <v/>
      </c>
      <c r="Q638" s="66">
        <f>IF($D638="OT",$G638,0)</f>
        <v/>
      </c>
      <c r="R638" s="67">
        <f>IF($D638="AS",$G638,0)</f>
        <v/>
      </c>
      <c r="S638" s="5" t="n"/>
      <c r="T638" s="68">
        <f>IF($E638=T$8,$G638,0)</f>
        <v/>
      </c>
      <c r="U638" s="69">
        <f>IF($E638=U$8,$G638,0)</f>
        <v/>
      </c>
      <c r="V638" s="69">
        <f>IF($E638=V$8,$G638,0)</f>
        <v/>
      </c>
      <c r="W638" s="69">
        <f>IF($E638=W$8,$G638,0)</f>
        <v/>
      </c>
      <c r="X638" s="69">
        <f>IF($E638=X$8,$G638,0)</f>
        <v/>
      </c>
      <c r="Y638" s="69">
        <f>IF($E638=Y$8,$G638,0)</f>
        <v/>
      </c>
      <c r="Z638" s="69">
        <f>IF($E638=Z$8,$G638,0)</f>
        <v/>
      </c>
      <c r="AA638" s="69">
        <f>IF($E638=AA$8,$G638,0)</f>
        <v/>
      </c>
      <c r="AB638" s="69">
        <f>IF($E638=AB$8,$G638,0)</f>
        <v/>
      </c>
      <c r="AC638" s="69">
        <f>IF($E638=AC$8,$G638,0)</f>
        <v/>
      </c>
      <c r="AD638" s="69">
        <f>IF($E638=AD$8,$G638,0)</f>
        <v/>
      </c>
      <c r="AE638" s="69">
        <f>IF($E638=AE$8,$G638,0)</f>
        <v/>
      </c>
      <c r="AF638" s="69">
        <f>IF($E638=AF$8,$G638,0)</f>
        <v/>
      </c>
      <c r="AG638" s="69">
        <f>IF($E638=AG$8,$G638,0)</f>
        <v/>
      </c>
      <c r="AH638" s="69">
        <f>IF($E638=AH$8,$G638,0)</f>
        <v/>
      </c>
      <c r="AI638" s="69">
        <f>IF($E638=AI$8,$G638,0)</f>
        <v/>
      </c>
      <c r="AJ638" s="69">
        <f>IF($E638=AJ$8,$G638,0)</f>
        <v/>
      </c>
      <c r="AK638" s="69">
        <f>IF($E638=AK$8,$G638,0)</f>
        <v/>
      </c>
      <c r="AL638" s="69">
        <f>IF($E638=AL$8,$G638,0)</f>
        <v/>
      </c>
      <c r="AM638" s="69">
        <f>IF($E638=AM$8,$G638,0)</f>
        <v/>
      </c>
      <c r="AN638" s="69">
        <f>IF($E638=AN$8,$G638,0)</f>
        <v/>
      </c>
      <c r="AO638" s="69">
        <f>IF($E638=AO$8,$G638,0)</f>
        <v/>
      </c>
      <c r="AP638" s="69">
        <f>IF($E638=AP$8,$G638,0)</f>
        <v/>
      </c>
      <c r="AQ638" s="69">
        <f>IF($E638=AQ$8,$G638,0)</f>
        <v/>
      </c>
      <c r="AR638" s="69">
        <f>IF($E638=AR$8,$G638,0)</f>
        <v/>
      </c>
      <c r="AS638" s="69">
        <f>IF($E638=AS$8,$G638,0)</f>
        <v/>
      </c>
      <c r="AT638" s="69">
        <f>IF($E638=AT$8,$G638,0)</f>
        <v/>
      </c>
      <c r="AU638" s="69">
        <f>IF($E638=AU$8,$G638,0)</f>
        <v/>
      </c>
      <c r="AV638" s="69">
        <f>IF($E638=AV$8,$G638,0)</f>
        <v/>
      </c>
      <c r="AW638" s="69">
        <f>IF($E638=AW$8,$G638,0)</f>
        <v/>
      </c>
      <c r="AX638" s="69">
        <f>IF($E638=AX$8,$G638,0)</f>
        <v/>
      </c>
      <c r="AY638" s="69">
        <f>IF($E638=AY$8,$G638,0)</f>
        <v/>
      </c>
      <c r="AZ638" s="69">
        <f>IF($E638=AZ$8,$G638,0)</f>
        <v/>
      </c>
      <c r="BA638" s="69">
        <f>IF($E638=BA$8,$G638,0)</f>
        <v/>
      </c>
      <c r="BB638" s="69">
        <f>IF($E638=BB$8,$G638,0)</f>
        <v/>
      </c>
      <c r="BC638" s="69">
        <f>IF($E638=BC$8,$G638,0)</f>
        <v/>
      </c>
      <c r="BD638" s="69">
        <f>IF($E638=BD$8,$G638,0)</f>
        <v/>
      </c>
      <c r="BE638" s="69">
        <f>IF($E638=BE$8,$G638,0)</f>
        <v/>
      </c>
      <c r="BF638" s="69">
        <f>IF($E638=BF$8,$G638,0)</f>
        <v/>
      </c>
      <c r="BG638" s="69">
        <f>IF($E638=BG$8,$G638,0)</f>
        <v/>
      </c>
      <c r="BH638" s="69">
        <f>IF($E638=BH$8,$G638,0)</f>
        <v/>
      </c>
      <c r="BI638" s="69">
        <f>IF($E638=BI$8,$G638,0)</f>
        <v/>
      </c>
      <c r="BJ638" s="69">
        <f>IF($E638=BJ$8,$G638,0)</f>
        <v/>
      </c>
      <c r="BK638" s="69">
        <f>IF($E638=BK$8,$G638,0)</f>
        <v/>
      </c>
      <c r="BL638" s="69">
        <f>IF($E638=BL$8,$G638,0)</f>
        <v/>
      </c>
      <c r="BM638" s="69">
        <f>IF($E638=BM$8,$G638,0)</f>
        <v/>
      </c>
      <c r="BN638" s="69">
        <f>IF($E638=BN$8,$G638,0)</f>
        <v/>
      </c>
      <c r="BO638" s="69">
        <f>IF($E638=BO$8,$G638,0)</f>
        <v/>
      </c>
      <c r="BP638" s="69">
        <f>IF($E638=BP$8,$G638,0)</f>
        <v/>
      </c>
      <c r="BQ638" s="69">
        <f>IF($E638=BQ$8,$G638,0)</f>
        <v/>
      </c>
      <c r="BR638" s="69">
        <f>IF($E638=BR$8,$G638,0)</f>
        <v/>
      </c>
      <c r="BS638" s="69">
        <f>IF($E638=BS$8,$G638,0)</f>
        <v/>
      </c>
      <c r="BT638" s="69">
        <f>IF($E638=BT$8,$G638,0)</f>
        <v/>
      </c>
      <c r="BU638" s="69">
        <f>IF($E638=BU$8,$G638,0)</f>
        <v/>
      </c>
      <c r="BV638" s="69">
        <f>IF($E638=BV$8,$G638,0)</f>
        <v/>
      </c>
      <c r="BW638" s="69">
        <f>IF($E638=BW$8,$G638,0)</f>
        <v/>
      </c>
      <c r="BX638" s="69">
        <f>IF($E638=BX$8,$G638,0)</f>
        <v/>
      </c>
      <c r="BY638" s="69">
        <f>IF($E638=BY$8,$G638,0)</f>
        <v/>
      </c>
      <c r="BZ638" s="69">
        <f>IF($E638=BZ$8,$G638,0)</f>
        <v/>
      </c>
      <c r="CA638" s="69">
        <f>IF($E638=CA$8,$G638,0)</f>
        <v/>
      </c>
      <c r="CB638" s="69">
        <f>IF($E638=CB$8,$G638,0)</f>
        <v/>
      </c>
      <c r="CC638" s="69">
        <f>IF($E638=CC$8,$G638,0)</f>
        <v/>
      </c>
      <c r="CD638" s="69">
        <f>IF($E638=CD$8,$G638,0)</f>
        <v/>
      </c>
      <c r="CE638" s="69">
        <f>IF($E638=CE$8,$G638,0)</f>
        <v/>
      </c>
      <c r="CF638" s="69">
        <f>IF($E638=CF$8,$G638,0)</f>
        <v/>
      </c>
      <c r="CG638" s="69">
        <f>IF($E638=CG$8,$G638,0)</f>
        <v/>
      </c>
      <c r="CH638" s="69">
        <f>IF($E638=CH$8,$G638,0)</f>
        <v/>
      </c>
      <c r="CI638" s="69">
        <f>IF($E638=CI$8,$G638,0)</f>
        <v/>
      </c>
      <c r="CJ638" s="69">
        <f>IF($E638=CJ$8,$G638,0)</f>
        <v/>
      </c>
      <c r="CK638" s="69">
        <f>IF($E638=CK$8,$G638,0)</f>
        <v/>
      </c>
      <c r="CL638" s="69">
        <f>IF($E638=CL$8,$G638,0)</f>
        <v/>
      </c>
      <c r="CM638" s="69">
        <f>IF($E638=CM$8,$G638,0)</f>
        <v/>
      </c>
      <c r="CN638" s="69">
        <f>IF($E638=CN$8,$G638,0)</f>
        <v/>
      </c>
      <c r="CO638" s="69">
        <f>IF($E638=CO$8,$G638,0)</f>
        <v/>
      </c>
      <c r="CP638" s="69">
        <f>IF($E638=CP$8,$G638,0)</f>
        <v/>
      </c>
      <c r="CQ638" s="69">
        <f>IF($E638=CQ$8,$G638,0)</f>
        <v/>
      </c>
      <c r="CR638" s="69">
        <f>IF($E638=CR$8,$G638,0)</f>
        <v/>
      </c>
      <c r="CS638" s="69">
        <f>IF($E638=CS$8,$G638,0)</f>
        <v/>
      </c>
      <c r="CT638" s="69">
        <f>IF($E638=CT$8,$G638,0)</f>
        <v/>
      </c>
      <c r="CU638" s="69">
        <f>IF($E638=CU$8,$G638,0)</f>
        <v/>
      </c>
      <c r="CV638" s="69">
        <f>IF($E638=CV$8,$G638,0)</f>
        <v/>
      </c>
      <c r="CW638" s="69">
        <f>IF($E638=CW$8,$G638,0)</f>
        <v/>
      </c>
      <c r="CX638" s="69">
        <f>IF($E638=CX$8,$G638,0)</f>
        <v/>
      </c>
      <c r="CY638" s="69">
        <f>IF($E638=CY$8,$G638,0)</f>
        <v/>
      </c>
      <c r="CZ638" s="69">
        <f>IF($E638=CZ$8,$G638,0)</f>
        <v/>
      </c>
      <c r="DA638" s="70">
        <f>IF($E638=DA$8,$G638,0)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JUNIO!$I639-JUNIO!$H639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IF($D639="AL",$G639,0)</f>
        <v/>
      </c>
      <c r="O639" s="66">
        <f>IF($D639="BA",$G639,0)</f>
        <v/>
      </c>
      <c r="P639" s="66">
        <f>IF($D639="GF",$G639,0)</f>
        <v/>
      </c>
      <c r="Q639" s="66">
        <f>IF($D639="OT",$G639,0)</f>
        <v/>
      </c>
      <c r="R639" s="67">
        <f>IF($D639="AS",$G639,0)</f>
        <v/>
      </c>
      <c r="S639" s="5" t="n"/>
      <c r="T639" s="68">
        <f>IF($E639=T$8,$G639,0)</f>
        <v/>
      </c>
      <c r="U639" s="69">
        <f>IF($E639=U$8,$G639,0)</f>
        <v/>
      </c>
      <c r="V639" s="69">
        <f>IF($E639=V$8,$G639,0)</f>
        <v/>
      </c>
      <c r="W639" s="69">
        <f>IF($E639=W$8,$G639,0)</f>
        <v/>
      </c>
      <c r="X639" s="69">
        <f>IF($E639=X$8,$G639,0)</f>
        <v/>
      </c>
      <c r="Y639" s="69">
        <f>IF($E639=Y$8,$G639,0)</f>
        <v/>
      </c>
      <c r="Z639" s="69">
        <f>IF($E639=Z$8,$G639,0)</f>
        <v/>
      </c>
      <c r="AA639" s="69">
        <f>IF($E639=AA$8,$G639,0)</f>
        <v/>
      </c>
      <c r="AB639" s="69">
        <f>IF($E639=AB$8,$G639,0)</f>
        <v/>
      </c>
      <c r="AC639" s="69">
        <f>IF($E639=AC$8,$G639,0)</f>
        <v/>
      </c>
      <c r="AD639" s="69">
        <f>IF($E639=AD$8,$G639,0)</f>
        <v/>
      </c>
      <c r="AE639" s="69">
        <f>IF($E639=AE$8,$G639,0)</f>
        <v/>
      </c>
      <c r="AF639" s="69">
        <f>IF($E639=AF$8,$G639,0)</f>
        <v/>
      </c>
      <c r="AG639" s="69">
        <f>IF($E639=AG$8,$G639,0)</f>
        <v/>
      </c>
      <c r="AH639" s="69">
        <f>IF($E639=AH$8,$G639,0)</f>
        <v/>
      </c>
      <c r="AI639" s="69">
        <f>IF($E639=AI$8,$G639,0)</f>
        <v/>
      </c>
      <c r="AJ639" s="69">
        <f>IF($E639=AJ$8,$G639,0)</f>
        <v/>
      </c>
      <c r="AK639" s="69">
        <f>IF($E639=AK$8,$G639,0)</f>
        <v/>
      </c>
      <c r="AL639" s="69">
        <f>IF($E639=AL$8,$G639,0)</f>
        <v/>
      </c>
      <c r="AM639" s="69">
        <f>IF($E639=AM$8,$G639,0)</f>
        <v/>
      </c>
      <c r="AN639" s="69">
        <f>IF($E639=AN$8,$G639,0)</f>
        <v/>
      </c>
      <c r="AO639" s="69">
        <f>IF($E639=AO$8,$G639,0)</f>
        <v/>
      </c>
      <c r="AP639" s="69">
        <f>IF($E639=AP$8,$G639,0)</f>
        <v/>
      </c>
      <c r="AQ639" s="69">
        <f>IF($E639=AQ$8,$G639,0)</f>
        <v/>
      </c>
      <c r="AR639" s="69">
        <f>IF($E639=AR$8,$G639,0)</f>
        <v/>
      </c>
      <c r="AS639" s="69">
        <f>IF($E639=AS$8,$G639,0)</f>
        <v/>
      </c>
      <c r="AT639" s="69">
        <f>IF($E639=AT$8,$G639,0)</f>
        <v/>
      </c>
      <c r="AU639" s="69">
        <f>IF($E639=AU$8,$G639,0)</f>
        <v/>
      </c>
      <c r="AV639" s="69">
        <f>IF($E639=AV$8,$G639,0)</f>
        <v/>
      </c>
      <c r="AW639" s="69">
        <f>IF($E639=AW$8,$G639,0)</f>
        <v/>
      </c>
      <c r="AX639" s="69">
        <f>IF($E639=AX$8,$G639,0)</f>
        <v/>
      </c>
      <c r="AY639" s="69">
        <f>IF($E639=AY$8,$G639,0)</f>
        <v/>
      </c>
      <c r="AZ639" s="69">
        <f>IF($E639=AZ$8,$G639,0)</f>
        <v/>
      </c>
      <c r="BA639" s="69">
        <f>IF($E639=BA$8,$G639,0)</f>
        <v/>
      </c>
      <c r="BB639" s="69">
        <f>IF($E639=BB$8,$G639,0)</f>
        <v/>
      </c>
      <c r="BC639" s="69">
        <f>IF($E639=BC$8,$G639,0)</f>
        <v/>
      </c>
      <c r="BD639" s="69">
        <f>IF($E639=BD$8,$G639,0)</f>
        <v/>
      </c>
      <c r="BE639" s="69">
        <f>IF($E639=BE$8,$G639,0)</f>
        <v/>
      </c>
      <c r="BF639" s="69">
        <f>IF($E639=BF$8,$G639,0)</f>
        <v/>
      </c>
      <c r="BG639" s="69">
        <f>IF($E639=BG$8,$G639,0)</f>
        <v/>
      </c>
      <c r="BH639" s="69">
        <f>IF($E639=BH$8,$G639,0)</f>
        <v/>
      </c>
      <c r="BI639" s="69">
        <f>IF($E639=BI$8,$G639,0)</f>
        <v/>
      </c>
      <c r="BJ639" s="69">
        <f>IF($E639=BJ$8,$G639,0)</f>
        <v/>
      </c>
      <c r="BK639" s="69">
        <f>IF($E639=BK$8,$G639,0)</f>
        <v/>
      </c>
      <c r="BL639" s="69">
        <f>IF($E639=BL$8,$G639,0)</f>
        <v/>
      </c>
      <c r="BM639" s="69">
        <f>IF($E639=BM$8,$G639,0)</f>
        <v/>
      </c>
      <c r="BN639" s="69">
        <f>IF($E639=BN$8,$G639,0)</f>
        <v/>
      </c>
      <c r="BO639" s="69">
        <f>IF($E639=BO$8,$G639,0)</f>
        <v/>
      </c>
      <c r="BP639" s="69">
        <f>IF($E639=BP$8,$G639,0)</f>
        <v/>
      </c>
      <c r="BQ639" s="69">
        <f>IF($E639=BQ$8,$G639,0)</f>
        <v/>
      </c>
      <c r="BR639" s="69">
        <f>IF($E639=BR$8,$G639,0)</f>
        <v/>
      </c>
      <c r="BS639" s="69">
        <f>IF($E639=BS$8,$G639,0)</f>
        <v/>
      </c>
      <c r="BT639" s="69">
        <f>IF($E639=BT$8,$G639,0)</f>
        <v/>
      </c>
      <c r="BU639" s="69">
        <f>IF($E639=BU$8,$G639,0)</f>
        <v/>
      </c>
      <c r="BV639" s="69">
        <f>IF($E639=BV$8,$G639,0)</f>
        <v/>
      </c>
      <c r="BW639" s="69">
        <f>IF($E639=BW$8,$G639,0)</f>
        <v/>
      </c>
      <c r="BX639" s="69">
        <f>IF($E639=BX$8,$G639,0)</f>
        <v/>
      </c>
      <c r="BY639" s="69">
        <f>IF($E639=BY$8,$G639,0)</f>
        <v/>
      </c>
      <c r="BZ639" s="69">
        <f>IF($E639=BZ$8,$G639,0)</f>
        <v/>
      </c>
      <c r="CA639" s="69">
        <f>IF($E639=CA$8,$G639,0)</f>
        <v/>
      </c>
      <c r="CB639" s="69">
        <f>IF($E639=CB$8,$G639,0)</f>
        <v/>
      </c>
      <c r="CC639" s="69">
        <f>IF($E639=CC$8,$G639,0)</f>
        <v/>
      </c>
      <c r="CD639" s="69">
        <f>IF($E639=CD$8,$G639,0)</f>
        <v/>
      </c>
      <c r="CE639" s="69">
        <f>IF($E639=CE$8,$G639,0)</f>
        <v/>
      </c>
      <c r="CF639" s="69">
        <f>IF($E639=CF$8,$G639,0)</f>
        <v/>
      </c>
      <c r="CG639" s="69">
        <f>IF($E639=CG$8,$G639,0)</f>
        <v/>
      </c>
      <c r="CH639" s="69">
        <f>IF($E639=CH$8,$G639,0)</f>
        <v/>
      </c>
      <c r="CI639" s="69">
        <f>IF($E639=CI$8,$G639,0)</f>
        <v/>
      </c>
      <c r="CJ639" s="69">
        <f>IF($E639=CJ$8,$G639,0)</f>
        <v/>
      </c>
      <c r="CK639" s="69">
        <f>IF($E639=CK$8,$G639,0)</f>
        <v/>
      </c>
      <c r="CL639" s="69">
        <f>IF($E639=CL$8,$G639,0)</f>
        <v/>
      </c>
      <c r="CM639" s="69">
        <f>IF($E639=CM$8,$G639,0)</f>
        <v/>
      </c>
      <c r="CN639" s="69">
        <f>IF($E639=CN$8,$G639,0)</f>
        <v/>
      </c>
      <c r="CO639" s="69">
        <f>IF($E639=CO$8,$G639,0)</f>
        <v/>
      </c>
      <c r="CP639" s="69">
        <f>IF($E639=CP$8,$G639,0)</f>
        <v/>
      </c>
      <c r="CQ639" s="69">
        <f>IF($E639=CQ$8,$G639,0)</f>
        <v/>
      </c>
      <c r="CR639" s="69">
        <f>IF($E639=CR$8,$G639,0)</f>
        <v/>
      </c>
      <c r="CS639" s="69">
        <f>IF($E639=CS$8,$G639,0)</f>
        <v/>
      </c>
      <c r="CT639" s="69">
        <f>IF($E639=CT$8,$G639,0)</f>
        <v/>
      </c>
      <c r="CU639" s="69">
        <f>IF($E639=CU$8,$G639,0)</f>
        <v/>
      </c>
      <c r="CV639" s="69">
        <f>IF($E639=CV$8,$G639,0)</f>
        <v/>
      </c>
      <c r="CW639" s="69">
        <f>IF($E639=CW$8,$G639,0)</f>
        <v/>
      </c>
      <c r="CX639" s="69">
        <f>IF($E639=CX$8,$G639,0)</f>
        <v/>
      </c>
      <c r="CY639" s="69">
        <f>IF($E639=CY$8,$G639,0)</f>
        <v/>
      </c>
      <c r="CZ639" s="69">
        <f>IF($E639=CZ$8,$G639,0)</f>
        <v/>
      </c>
      <c r="DA639" s="70">
        <f>IF($E639=DA$8,$G639,0)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JUNIO!$I640-JUNIO!$H640</f>
        <v/>
      </c>
      <c r="H640" s="121" t="n"/>
      <c r="I640" s="121" t="n"/>
      <c r="J640" s="123" t="n"/>
      <c r="K640" s="120" t="n"/>
      <c r="L640" s="64" t="n"/>
      <c r="M640" s="5" t="n"/>
      <c r="N640" s="71">
        <f>IF($D640="AL",$G640,0)</f>
        <v/>
      </c>
      <c r="O640" s="66">
        <f>IF($D640="BA",$G640,0)</f>
        <v/>
      </c>
      <c r="P640" s="66">
        <f>IF($D640="GF",$G640,0)</f>
        <v/>
      </c>
      <c r="Q640" s="66">
        <f>IF($D640="OT",$G640,0)</f>
        <v/>
      </c>
      <c r="R640" s="67">
        <f>IF($D640="AS",$G640,0)</f>
        <v/>
      </c>
      <c r="S640" s="5" t="n"/>
      <c r="T640" s="68">
        <f>IF($E640=T$8,$G640,0)</f>
        <v/>
      </c>
      <c r="U640" s="69">
        <f>IF($E640=U$8,$G640,0)</f>
        <v/>
      </c>
      <c r="V640" s="69">
        <f>IF($E640=V$8,$G640,0)</f>
        <v/>
      </c>
      <c r="W640" s="69">
        <f>IF($E640=W$8,$G640,0)</f>
        <v/>
      </c>
      <c r="X640" s="69">
        <f>IF($E640=X$8,$G640,0)</f>
        <v/>
      </c>
      <c r="Y640" s="69">
        <f>IF($E640=Y$8,$G640,0)</f>
        <v/>
      </c>
      <c r="Z640" s="69">
        <f>IF($E640=Z$8,$G640,0)</f>
        <v/>
      </c>
      <c r="AA640" s="69">
        <f>IF($E640=AA$8,$G640,0)</f>
        <v/>
      </c>
      <c r="AB640" s="69">
        <f>IF($E640=AB$8,$G640,0)</f>
        <v/>
      </c>
      <c r="AC640" s="69">
        <f>IF($E640=AC$8,$G640,0)</f>
        <v/>
      </c>
      <c r="AD640" s="69">
        <f>IF($E640=AD$8,$G640,0)</f>
        <v/>
      </c>
      <c r="AE640" s="69">
        <f>IF($E640=AE$8,$G640,0)</f>
        <v/>
      </c>
      <c r="AF640" s="69">
        <f>IF($E640=AF$8,$G640,0)</f>
        <v/>
      </c>
      <c r="AG640" s="69">
        <f>IF($E640=AG$8,$G640,0)</f>
        <v/>
      </c>
      <c r="AH640" s="69">
        <f>IF($E640=AH$8,$G640,0)</f>
        <v/>
      </c>
      <c r="AI640" s="69">
        <f>IF($E640=AI$8,$G640,0)</f>
        <v/>
      </c>
      <c r="AJ640" s="69">
        <f>IF($E640=AJ$8,$G640,0)</f>
        <v/>
      </c>
      <c r="AK640" s="69">
        <f>IF($E640=AK$8,$G640,0)</f>
        <v/>
      </c>
      <c r="AL640" s="69">
        <f>IF($E640=AL$8,$G640,0)</f>
        <v/>
      </c>
      <c r="AM640" s="69">
        <f>IF($E640=AM$8,$G640,0)</f>
        <v/>
      </c>
      <c r="AN640" s="69">
        <f>IF($E640=AN$8,$G640,0)</f>
        <v/>
      </c>
      <c r="AO640" s="69">
        <f>IF($E640=AO$8,$G640,0)</f>
        <v/>
      </c>
      <c r="AP640" s="69">
        <f>IF($E640=AP$8,$G640,0)</f>
        <v/>
      </c>
      <c r="AQ640" s="69">
        <f>IF($E640=AQ$8,$G640,0)</f>
        <v/>
      </c>
      <c r="AR640" s="69">
        <f>IF($E640=AR$8,$G640,0)</f>
        <v/>
      </c>
      <c r="AS640" s="69">
        <f>IF($E640=AS$8,$G640,0)</f>
        <v/>
      </c>
      <c r="AT640" s="69">
        <f>IF($E640=AT$8,$G640,0)</f>
        <v/>
      </c>
      <c r="AU640" s="69">
        <f>IF($E640=AU$8,$G640,0)</f>
        <v/>
      </c>
      <c r="AV640" s="69">
        <f>IF($E640=AV$8,$G640,0)</f>
        <v/>
      </c>
      <c r="AW640" s="69">
        <f>IF($E640=AW$8,$G640,0)</f>
        <v/>
      </c>
      <c r="AX640" s="69">
        <f>IF($E640=AX$8,$G640,0)</f>
        <v/>
      </c>
      <c r="AY640" s="69">
        <f>IF($E640=AY$8,$G640,0)</f>
        <v/>
      </c>
      <c r="AZ640" s="69">
        <f>IF($E640=AZ$8,$G640,0)</f>
        <v/>
      </c>
      <c r="BA640" s="69">
        <f>IF($E640=BA$8,$G640,0)</f>
        <v/>
      </c>
      <c r="BB640" s="69">
        <f>IF($E640=BB$8,$G640,0)</f>
        <v/>
      </c>
      <c r="BC640" s="69">
        <f>IF($E640=BC$8,$G640,0)</f>
        <v/>
      </c>
      <c r="BD640" s="69">
        <f>IF($E640=BD$8,$G640,0)</f>
        <v/>
      </c>
      <c r="BE640" s="69">
        <f>IF($E640=BE$8,$G640,0)</f>
        <v/>
      </c>
      <c r="BF640" s="69">
        <f>IF($E640=BF$8,$G640,0)</f>
        <v/>
      </c>
      <c r="BG640" s="69">
        <f>IF($E640=BG$8,$G640,0)</f>
        <v/>
      </c>
      <c r="BH640" s="69">
        <f>IF($E640=BH$8,$G640,0)</f>
        <v/>
      </c>
      <c r="BI640" s="69">
        <f>IF($E640=BI$8,$G640,0)</f>
        <v/>
      </c>
      <c r="BJ640" s="69">
        <f>IF($E640=BJ$8,$G640,0)</f>
        <v/>
      </c>
      <c r="BK640" s="69">
        <f>IF($E640=BK$8,$G640,0)</f>
        <v/>
      </c>
      <c r="BL640" s="69">
        <f>IF($E640=BL$8,$G640,0)</f>
        <v/>
      </c>
      <c r="BM640" s="69">
        <f>IF($E640=BM$8,$G640,0)</f>
        <v/>
      </c>
      <c r="BN640" s="69">
        <f>IF($E640=BN$8,$G640,0)</f>
        <v/>
      </c>
      <c r="BO640" s="69">
        <f>IF($E640=BO$8,$G640,0)</f>
        <v/>
      </c>
      <c r="BP640" s="69">
        <f>IF($E640=BP$8,$G640,0)</f>
        <v/>
      </c>
      <c r="BQ640" s="69">
        <f>IF($E640=BQ$8,$G640,0)</f>
        <v/>
      </c>
      <c r="BR640" s="69">
        <f>IF($E640=BR$8,$G640,0)</f>
        <v/>
      </c>
      <c r="BS640" s="69">
        <f>IF($E640=BS$8,$G640,0)</f>
        <v/>
      </c>
      <c r="BT640" s="69">
        <f>IF($E640=BT$8,$G640,0)</f>
        <v/>
      </c>
      <c r="BU640" s="69">
        <f>IF($E640=BU$8,$G640,0)</f>
        <v/>
      </c>
      <c r="BV640" s="69">
        <f>IF($E640=BV$8,$G640,0)</f>
        <v/>
      </c>
      <c r="BW640" s="69">
        <f>IF($E640=BW$8,$G640,0)</f>
        <v/>
      </c>
      <c r="BX640" s="69">
        <f>IF($E640=BX$8,$G640,0)</f>
        <v/>
      </c>
      <c r="BY640" s="69">
        <f>IF($E640=BY$8,$G640,0)</f>
        <v/>
      </c>
      <c r="BZ640" s="69">
        <f>IF($E640=BZ$8,$G640,0)</f>
        <v/>
      </c>
      <c r="CA640" s="69">
        <f>IF($E640=CA$8,$G640,0)</f>
        <v/>
      </c>
      <c r="CB640" s="69">
        <f>IF($E640=CB$8,$G640,0)</f>
        <v/>
      </c>
      <c r="CC640" s="69">
        <f>IF($E640=CC$8,$G640,0)</f>
        <v/>
      </c>
      <c r="CD640" s="69">
        <f>IF($E640=CD$8,$G640,0)</f>
        <v/>
      </c>
      <c r="CE640" s="69">
        <f>IF($E640=CE$8,$G640,0)</f>
        <v/>
      </c>
      <c r="CF640" s="69">
        <f>IF($E640=CF$8,$G640,0)</f>
        <v/>
      </c>
      <c r="CG640" s="69">
        <f>IF($E640=CG$8,$G640,0)</f>
        <v/>
      </c>
      <c r="CH640" s="69">
        <f>IF($E640=CH$8,$G640,0)</f>
        <v/>
      </c>
      <c r="CI640" s="69">
        <f>IF($E640=CI$8,$G640,0)</f>
        <v/>
      </c>
      <c r="CJ640" s="69">
        <f>IF($E640=CJ$8,$G640,0)</f>
        <v/>
      </c>
      <c r="CK640" s="69">
        <f>IF($E640=CK$8,$G640,0)</f>
        <v/>
      </c>
      <c r="CL640" s="69">
        <f>IF($E640=CL$8,$G640,0)</f>
        <v/>
      </c>
      <c r="CM640" s="69">
        <f>IF($E640=CM$8,$G640,0)</f>
        <v/>
      </c>
      <c r="CN640" s="69">
        <f>IF($E640=CN$8,$G640,0)</f>
        <v/>
      </c>
      <c r="CO640" s="69">
        <f>IF($E640=CO$8,$G640,0)</f>
        <v/>
      </c>
      <c r="CP640" s="69">
        <f>IF($E640=CP$8,$G640,0)</f>
        <v/>
      </c>
      <c r="CQ640" s="69">
        <f>IF($E640=CQ$8,$G640,0)</f>
        <v/>
      </c>
      <c r="CR640" s="69">
        <f>IF($E640=CR$8,$G640,0)</f>
        <v/>
      </c>
      <c r="CS640" s="69">
        <f>IF($E640=CS$8,$G640,0)</f>
        <v/>
      </c>
      <c r="CT640" s="69">
        <f>IF($E640=CT$8,$G640,0)</f>
        <v/>
      </c>
      <c r="CU640" s="69">
        <f>IF($E640=CU$8,$G640,0)</f>
        <v/>
      </c>
      <c r="CV640" s="69">
        <f>IF($E640=CV$8,$G640,0)</f>
        <v/>
      </c>
      <c r="CW640" s="69">
        <f>IF($E640=CW$8,$G640,0)</f>
        <v/>
      </c>
      <c r="CX640" s="69">
        <f>IF($E640=CX$8,$G640,0)</f>
        <v/>
      </c>
      <c r="CY640" s="69">
        <f>IF($E640=CY$8,$G640,0)</f>
        <v/>
      </c>
      <c r="CZ640" s="69">
        <f>IF($E640=CZ$8,$G640,0)</f>
        <v/>
      </c>
      <c r="DA640" s="70">
        <f>IF($E640=DA$8,$G640,0)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JUNIO!$I641-JUNIO!$H641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IF($D641="AL",$G641,0)</f>
        <v/>
      </c>
      <c r="O641" s="66">
        <f>IF($D641="BA",$G641,0)</f>
        <v/>
      </c>
      <c r="P641" s="66">
        <f>IF($D641="GF",$G641,0)</f>
        <v/>
      </c>
      <c r="Q641" s="66">
        <f>IF($D641="OT",$G641,0)</f>
        <v/>
      </c>
      <c r="R641" s="67">
        <f>IF($D641="AS",$G641,0)</f>
        <v/>
      </c>
      <c r="S641" s="5" t="n"/>
      <c r="T641" s="68">
        <f>IF($E641=T$8,$G641,0)</f>
        <v/>
      </c>
      <c r="U641" s="69">
        <f>IF($E641=U$8,$G641,0)</f>
        <v/>
      </c>
      <c r="V641" s="69">
        <f>IF($E641=V$8,$G641,0)</f>
        <v/>
      </c>
      <c r="W641" s="69">
        <f>IF($E641=W$8,$G641,0)</f>
        <v/>
      </c>
      <c r="X641" s="69">
        <f>IF($E641=X$8,$G641,0)</f>
        <v/>
      </c>
      <c r="Y641" s="69">
        <f>IF($E641=Y$8,$G641,0)</f>
        <v/>
      </c>
      <c r="Z641" s="69">
        <f>IF($E641=Z$8,$G641,0)</f>
        <v/>
      </c>
      <c r="AA641" s="69">
        <f>IF($E641=AA$8,$G641,0)</f>
        <v/>
      </c>
      <c r="AB641" s="69">
        <f>IF($E641=AB$8,$G641,0)</f>
        <v/>
      </c>
      <c r="AC641" s="69">
        <f>IF($E641=AC$8,$G641,0)</f>
        <v/>
      </c>
      <c r="AD641" s="69">
        <f>IF($E641=AD$8,$G641,0)</f>
        <v/>
      </c>
      <c r="AE641" s="69">
        <f>IF($E641=AE$8,$G641,0)</f>
        <v/>
      </c>
      <c r="AF641" s="69">
        <f>IF($E641=AF$8,$G641,0)</f>
        <v/>
      </c>
      <c r="AG641" s="69">
        <f>IF($E641=AG$8,$G641,0)</f>
        <v/>
      </c>
      <c r="AH641" s="69">
        <f>IF($E641=AH$8,$G641,0)</f>
        <v/>
      </c>
      <c r="AI641" s="69">
        <f>IF($E641=AI$8,$G641,0)</f>
        <v/>
      </c>
      <c r="AJ641" s="69">
        <f>IF($E641=AJ$8,$G641,0)</f>
        <v/>
      </c>
      <c r="AK641" s="69">
        <f>IF($E641=AK$8,$G641,0)</f>
        <v/>
      </c>
      <c r="AL641" s="69">
        <f>IF($E641=AL$8,$G641,0)</f>
        <v/>
      </c>
      <c r="AM641" s="69">
        <f>IF($E641=AM$8,$G641,0)</f>
        <v/>
      </c>
      <c r="AN641" s="69">
        <f>IF($E641=AN$8,$G641,0)</f>
        <v/>
      </c>
      <c r="AO641" s="69">
        <f>IF($E641=AO$8,$G641,0)</f>
        <v/>
      </c>
      <c r="AP641" s="69">
        <f>IF($E641=AP$8,$G641,0)</f>
        <v/>
      </c>
      <c r="AQ641" s="69">
        <f>IF($E641=AQ$8,$G641,0)</f>
        <v/>
      </c>
      <c r="AR641" s="69">
        <f>IF($E641=AR$8,$G641,0)</f>
        <v/>
      </c>
      <c r="AS641" s="69">
        <f>IF($E641=AS$8,$G641,0)</f>
        <v/>
      </c>
      <c r="AT641" s="69">
        <f>IF($E641=AT$8,$G641,0)</f>
        <v/>
      </c>
      <c r="AU641" s="69">
        <f>IF($E641=AU$8,$G641,0)</f>
        <v/>
      </c>
      <c r="AV641" s="69">
        <f>IF($E641=AV$8,$G641,0)</f>
        <v/>
      </c>
      <c r="AW641" s="69">
        <f>IF($E641=AW$8,$G641,0)</f>
        <v/>
      </c>
      <c r="AX641" s="69">
        <f>IF($E641=AX$8,$G641,0)</f>
        <v/>
      </c>
      <c r="AY641" s="69">
        <f>IF($E641=AY$8,$G641,0)</f>
        <v/>
      </c>
      <c r="AZ641" s="69">
        <f>IF($E641=AZ$8,$G641,0)</f>
        <v/>
      </c>
      <c r="BA641" s="69">
        <f>IF($E641=BA$8,$G641,0)</f>
        <v/>
      </c>
      <c r="BB641" s="69">
        <f>IF($E641=BB$8,$G641,0)</f>
        <v/>
      </c>
      <c r="BC641" s="69">
        <f>IF($E641=BC$8,$G641,0)</f>
        <v/>
      </c>
      <c r="BD641" s="69">
        <f>IF($E641=BD$8,$G641,0)</f>
        <v/>
      </c>
      <c r="BE641" s="69">
        <f>IF($E641=BE$8,$G641,0)</f>
        <v/>
      </c>
      <c r="BF641" s="69">
        <f>IF($E641=BF$8,$G641,0)</f>
        <v/>
      </c>
      <c r="BG641" s="69">
        <f>IF($E641=BG$8,$G641,0)</f>
        <v/>
      </c>
      <c r="BH641" s="69">
        <f>IF($E641=BH$8,$G641,0)</f>
        <v/>
      </c>
      <c r="BI641" s="69">
        <f>IF($E641=BI$8,$G641,0)</f>
        <v/>
      </c>
      <c r="BJ641" s="69">
        <f>IF($E641=BJ$8,$G641,0)</f>
        <v/>
      </c>
      <c r="BK641" s="69">
        <f>IF($E641=BK$8,$G641,0)</f>
        <v/>
      </c>
      <c r="BL641" s="69">
        <f>IF($E641=BL$8,$G641,0)</f>
        <v/>
      </c>
      <c r="BM641" s="69">
        <f>IF($E641=BM$8,$G641,0)</f>
        <v/>
      </c>
      <c r="BN641" s="69">
        <f>IF($E641=BN$8,$G641,0)</f>
        <v/>
      </c>
      <c r="BO641" s="69">
        <f>IF($E641=BO$8,$G641,0)</f>
        <v/>
      </c>
      <c r="BP641" s="69">
        <f>IF($E641=BP$8,$G641,0)</f>
        <v/>
      </c>
      <c r="BQ641" s="69">
        <f>IF($E641=BQ$8,$G641,0)</f>
        <v/>
      </c>
      <c r="BR641" s="69">
        <f>IF($E641=BR$8,$G641,0)</f>
        <v/>
      </c>
      <c r="BS641" s="69">
        <f>IF($E641=BS$8,$G641,0)</f>
        <v/>
      </c>
      <c r="BT641" s="69">
        <f>IF($E641=BT$8,$G641,0)</f>
        <v/>
      </c>
      <c r="BU641" s="69">
        <f>IF($E641=BU$8,$G641,0)</f>
        <v/>
      </c>
      <c r="BV641" s="69">
        <f>IF($E641=BV$8,$G641,0)</f>
        <v/>
      </c>
      <c r="BW641" s="69">
        <f>IF($E641=BW$8,$G641,0)</f>
        <v/>
      </c>
      <c r="BX641" s="69">
        <f>IF($E641=BX$8,$G641,0)</f>
        <v/>
      </c>
      <c r="BY641" s="69">
        <f>IF($E641=BY$8,$G641,0)</f>
        <v/>
      </c>
      <c r="BZ641" s="69">
        <f>IF($E641=BZ$8,$G641,0)</f>
        <v/>
      </c>
      <c r="CA641" s="69">
        <f>IF($E641=CA$8,$G641,0)</f>
        <v/>
      </c>
      <c r="CB641" s="69">
        <f>IF($E641=CB$8,$G641,0)</f>
        <v/>
      </c>
      <c r="CC641" s="69">
        <f>IF($E641=CC$8,$G641,0)</f>
        <v/>
      </c>
      <c r="CD641" s="69">
        <f>IF($E641=CD$8,$G641,0)</f>
        <v/>
      </c>
      <c r="CE641" s="69">
        <f>IF($E641=CE$8,$G641,0)</f>
        <v/>
      </c>
      <c r="CF641" s="69">
        <f>IF($E641=CF$8,$G641,0)</f>
        <v/>
      </c>
      <c r="CG641" s="69">
        <f>IF($E641=CG$8,$G641,0)</f>
        <v/>
      </c>
      <c r="CH641" s="69">
        <f>IF($E641=CH$8,$G641,0)</f>
        <v/>
      </c>
      <c r="CI641" s="69">
        <f>IF($E641=CI$8,$G641,0)</f>
        <v/>
      </c>
      <c r="CJ641" s="69">
        <f>IF($E641=CJ$8,$G641,0)</f>
        <v/>
      </c>
      <c r="CK641" s="69">
        <f>IF($E641=CK$8,$G641,0)</f>
        <v/>
      </c>
      <c r="CL641" s="69">
        <f>IF($E641=CL$8,$G641,0)</f>
        <v/>
      </c>
      <c r="CM641" s="69">
        <f>IF($E641=CM$8,$G641,0)</f>
        <v/>
      </c>
      <c r="CN641" s="69">
        <f>IF($E641=CN$8,$G641,0)</f>
        <v/>
      </c>
      <c r="CO641" s="69">
        <f>IF($E641=CO$8,$G641,0)</f>
        <v/>
      </c>
      <c r="CP641" s="69">
        <f>IF($E641=CP$8,$G641,0)</f>
        <v/>
      </c>
      <c r="CQ641" s="69">
        <f>IF($E641=CQ$8,$G641,0)</f>
        <v/>
      </c>
      <c r="CR641" s="69">
        <f>IF($E641=CR$8,$G641,0)</f>
        <v/>
      </c>
      <c r="CS641" s="69">
        <f>IF($E641=CS$8,$G641,0)</f>
        <v/>
      </c>
      <c r="CT641" s="69">
        <f>IF($E641=CT$8,$G641,0)</f>
        <v/>
      </c>
      <c r="CU641" s="69">
        <f>IF($E641=CU$8,$G641,0)</f>
        <v/>
      </c>
      <c r="CV641" s="69">
        <f>IF($E641=CV$8,$G641,0)</f>
        <v/>
      </c>
      <c r="CW641" s="69">
        <f>IF($E641=CW$8,$G641,0)</f>
        <v/>
      </c>
      <c r="CX641" s="69">
        <f>IF($E641=CX$8,$G641,0)</f>
        <v/>
      </c>
      <c r="CY641" s="69">
        <f>IF($E641=CY$8,$G641,0)</f>
        <v/>
      </c>
      <c r="CZ641" s="69">
        <f>IF($E641=CZ$8,$G641,0)</f>
        <v/>
      </c>
      <c r="DA641" s="70">
        <f>IF($E641=DA$8,$G641,0)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JUNIO!$I642-JUNIO!$H642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IF($D642="AL",$G642,0)</f>
        <v/>
      </c>
      <c r="O642" s="66">
        <f>IF($D642="BA",$G642,0)</f>
        <v/>
      </c>
      <c r="P642" s="66">
        <f>IF($D642="GF",$G642,0)</f>
        <v/>
      </c>
      <c r="Q642" s="66">
        <f>IF($D642="OT",$G642,0)</f>
        <v/>
      </c>
      <c r="R642" s="67">
        <f>IF($D642="AS",$G642,0)</f>
        <v/>
      </c>
      <c r="S642" s="5" t="n"/>
      <c r="T642" s="68">
        <f>IF($E642=T$8,$G642,0)</f>
        <v/>
      </c>
      <c r="U642" s="69">
        <f>IF($E642=U$8,$G642,0)</f>
        <v/>
      </c>
      <c r="V642" s="69">
        <f>IF($E642=V$8,$G642,0)</f>
        <v/>
      </c>
      <c r="W642" s="69">
        <f>IF($E642=W$8,$G642,0)</f>
        <v/>
      </c>
      <c r="X642" s="69">
        <f>IF($E642=X$8,$G642,0)</f>
        <v/>
      </c>
      <c r="Y642" s="69">
        <f>IF($E642=Y$8,$G642,0)</f>
        <v/>
      </c>
      <c r="Z642" s="69">
        <f>IF($E642=Z$8,$G642,0)</f>
        <v/>
      </c>
      <c r="AA642" s="69">
        <f>IF($E642=AA$8,$G642,0)</f>
        <v/>
      </c>
      <c r="AB642" s="69">
        <f>IF($E642=AB$8,$G642,0)</f>
        <v/>
      </c>
      <c r="AC642" s="69">
        <f>IF($E642=AC$8,$G642,0)</f>
        <v/>
      </c>
      <c r="AD642" s="69">
        <f>IF($E642=AD$8,$G642,0)</f>
        <v/>
      </c>
      <c r="AE642" s="69">
        <f>IF($E642=AE$8,$G642,0)</f>
        <v/>
      </c>
      <c r="AF642" s="69">
        <f>IF($E642=AF$8,$G642,0)</f>
        <v/>
      </c>
      <c r="AG642" s="69">
        <f>IF($E642=AG$8,$G642,0)</f>
        <v/>
      </c>
      <c r="AH642" s="69">
        <f>IF($E642=AH$8,$G642,0)</f>
        <v/>
      </c>
      <c r="AI642" s="69">
        <f>IF($E642=AI$8,$G642,0)</f>
        <v/>
      </c>
      <c r="AJ642" s="69">
        <f>IF($E642=AJ$8,$G642,0)</f>
        <v/>
      </c>
      <c r="AK642" s="69">
        <f>IF($E642=AK$8,$G642,0)</f>
        <v/>
      </c>
      <c r="AL642" s="69">
        <f>IF($E642=AL$8,$G642,0)</f>
        <v/>
      </c>
      <c r="AM642" s="69">
        <f>IF($E642=AM$8,$G642,0)</f>
        <v/>
      </c>
      <c r="AN642" s="69">
        <f>IF($E642=AN$8,$G642,0)</f>
        <v/>
      </c>
      <c r="AO642" s="69">
        <f>IF($E642=AO$8,$G642,0)</f>
        <v/>
      </c>
      <c r="AP642" s="69">
        <f>IF($E642=AP$8,$G642,0)</f>
        <v/>
      </c>
      <c r="AQ642" s="69">
        <f>IF($E642=AQ$8,$G642,0)</f>
        <v/>
      </c>
      <c r="AR642" s="69">
        <f>IF($E642=AR$8,$G642,0)</f>
        <v/>
      </c>
      <c r="AS642" s="69">
        <f>IF($E642=AS$8,$G642,0)</f>
        <v/>
      </c>
      <c r="AT642" s="69">
        <f>IF($E642=AT$8,$G642,0)</f>
        <v/>
      </c>
      <c r="AU642" s="69">
        <f>IF($E642=AU$8,$G642,0)</f>
        <v/>
      </c>
      <c r="AV642" s="69">
        <f>IF($E642=AV$8,$G642,0)</f>
        <v/>
      </c>
      <c r="AW642" s="69">
        <f>IF($E642=AW$8,$G642,0)</f>
        <v/>
      </c>
      <c r="AX642" s="69">
        <f>IF($E642=AX$8,$G642,0)</f>
        <v/>
      </c>
      <c r="AY642" s="69">
        <f>IF($E642=AY$8,$G642,0)</f>
        <v/>
      </c>
      <c r="AZ642" s="69">
        <f>IF($E642=AZ$8,$G642,0)</f>
        <v/>
      </c>
      <c r="BA642" s="69">
        <f>IF($E642=BA$8,$G642,0)</f>
        <v/>
      </c>
      <c r="BB642" s="69">
        <f>IF($E642=BB$8,$G642,0)</f>
        <v/>
      </c>
      <c r="BC642" s="69">
        <f>IF($E642=BC$8,$G642,0)</f>
        <v/>
      </c>
      <c r="BD642" s="69">
        <f>IF($E642=BD$8,$G642,0)</f>
        <v/>
      </c>
      <c r="BE642" s="69">
        <f>IF($E642=BE$8,$G642,0)</f>
        <v/>
      </c>
      <c r="BF642" s="69">
        <f>IF($E642=BF$8,$G642,0)</f>
        <v/>
      </c>
      <c r="BG642" s="69">
        <f>IF($E642=BG$8,$G642,0)</f>
        <v/>
      </c>
      <c r="BH642" s="69">
        <f>IF($E642=BH$8,$G642,0)</f>
        <v/>
      </c>
      <c r="BI642" s="69">
        <f>IF($E642=BI$8,$G642,0)</f>
        <v/>
      </c>
      <c r="BJ642" s="69">
        <f>IF($E642=BJ$8,$G642,0)</f>
        <v/>
      </c>
      <c r="BK642" s="69">
        <f>IF($E642=BK$8,$G642,0)</f>
        <v/>
      </c>
      <c r="BL642" s="69">
        <f>IF($E642=BL$8,$G642,0)</f>
        <v/>
      </c>
      <c r="BM642" s="69">
        <f>IF($E642=BM$8,$G642,0)</f>
        <v/>
      </c>
      <c r="BN642" s="69">
        <f>IF($E642=BN$8,$G642,0)</f>
        <v/>
      </c>
      <c r="BO642" s="69">
        <f>IF($E642=BO$8,$G642,0)</f>
        <v/>
      </c>
      <c r="BP642" s="69">
        <f>IF($E642=BP$8,$G642,0)</f>
        <v/>
      </c>
      <c r="BQ642" s="69">
        <f>IF($E642=BQ$8,$G642,0)</f>
        <v/>
      </c>
      <c r="BR642" s="69">
        <f>IF($E642=BR$8,$G642,0)</f>
        <v/>
      </c>
      <c r="BS642" s="69">
        <f>IF($E642=BS$8,$G642,0)</f>
        <v/>
      </c>
      <c r="BT642" s="69">
        <f>IF($E642=BT$8,$G642,0)</f>
        <v/>
      </c>
      <c r="BU642" s="69">
        <f>IF($E642=BU$8,$G642,0)</f>
        <v/>
      </c>
      <c r="BV642" s="69">
        <f>IF($E642=BV$8,$G642,0)</f>
        <v/>
      </c>
      <c r="BW642" s="69">
        <f>IF($E642=BW$8,$G642,0)</f>
        <v/>
      </c>
      <c r="BX642" s="69">
        <f>IF($E642=BX$8,$G642,0)</f>
        <v/>
      </c>
      <c r="BY642" s="69">
        <f>IF($E642=BY$8,$G642,0)</f>
        <v/>
      </c>
      <c r="BZ642" s="69">
        <f>IF($E642=BZ$8,$G642,0)</f>
        <v/>
      </c>
      <c r="CA642" s="69">
        <f>IF($E642=CA$8,$G642,0)</f>
        <v/>
      </c>
      <c r="CB642" s="69">
        <f>IF($E642=CB$8,$G642,0)</f>
        <v/>
      </c>
      <c r="CC642" s="69">
        <f>IF($E642=CC$8,$G642,0)</f>
        <v/>
      </c>
      <c r="CD642" s="69">
        <f>IF($E642=CD$8,$G642,0)</f>
        <v/>
      </c>
      <c r="CE642" s="69">
        <f>IF($E642=CE$8,$G642,0)</f>
        <v/>
      </c>
      <c r="CF642" s="69">
        <f>IF($E642=CF$8,$G642,0)</f>
        <v/>
      </c>
      <c r="CG642" s="69">
        <f>IF($E642=CG$8,$G642,0)</f>
        <v/>
      </c>
      <c r="CH642" s="69">
        <f>IF($E642=CH$8,$G642,0)</f>
        <v/>
      </c>
      <c r="CI642" s="69">
        <f>IF($E642=CI$8,$G642,0)</f>
        <v/>
      </c>
      <c r="CJ642" s="69">
        <f>IF($E642=CJ$8,$G642,0)</f>
        <v/>
      </c>
      <c r="CK642" s="69">
        <f>IF($E642=CK$8,$G642,0)</f>
        <v/>
      </c>
      <c r="CL642" s="69">
        <f>IF($E642=CL$8,$G642,0)</f>
        <v/>
      </c>
      <c r="CM642" s="69">
        <f>IF($E642=CM$8,$G642,0)</f>
        <v/>
      </c>
      <c r="CN642" s="69">
        <f>IF($E642=CN$8,$G642,0)</f>
        <v/>
      </c>
      <c r="CO642" s="69">
        <f>IF($E642=CO$8,$G642,0)</f>
        <v/>
      </c>
      <c r="CP642" s="69">
        <f>IF($E642=CP$8,$G642,0)</f>
        <v/>
      </c>
      <c r="CQ642" s="69">
        <f>IF($E642=CQ$8,$G642,0)</f>
        <v/>
      </c>
      <c r="CR642" s="69">
        <f>IF($E642=CR$8,$G642,0)</f>
        <v/>
      </c>
      <c r="CS642" s="69">
        <f>IF($E642=CS$8,$G642,0)</f>
        <v/>
      </c>
      <c r="CT642" s="69">
        <f>IF($E642=CT$8,$G642,0)</f>
        <v/>
      </c>
      <c r="CU642" s="69">
        <f>IF($E642=CU$8,$G642,0)</f>
        <v/>
      </c>
      <c r="CV642" s="69">
        <f>IF($E642=CV$8,$G642,0)</f>
        <v/>
      </c>
      <c r="CW642" s="69">
        <f>IF($E642=CW$8,$G642,0)</f>
        <v/>
      </c>
      <c r="CX642" s="69">
        <f>IF($E642=CX$8,$G642,0)</f>
        <v/>
      </c>
      <c r="CY642" s="69">
        <f>IF($E642=CY$8,$G642,0)</f>
        <v/>
      </c>
      <c r="CZ642" s="69">
        <f>IF($E642=CZ$8,$G642,0)</f>
        <v/>
      </c>
      <c r="DA642" s="70">
        <f>IF($E642=DA$8,$G642,0)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JUNIO!$I643-JUNIO!$H643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IF($D643="AL",$G643,0)</f>
        <v/>
      </c>
      <c r="O643" s="66">
        <f>IF($D643="BA",$G643,0)</f>
        <v/>
      </c>
      <c r="P643" s="66">
        <f>IF($D643="GF",$G643,0)</f>
        <v/>
      </c>
      <c r="Q643" s="66">
        <f>IF($D643="OT",$G643,0)</f>
        <v/>
      </c>
      <c r="R643" s="67">
        <f>IF($D643="AS",$G643,0)</f>
        <v/>
      </c>
      <c r="S643" s="5" t="n"/>
      <c r="T643" s="68">
        <f>IF($E643=T$8,$G643,0)</f>
        <v/>
      </c>
      <c r="U643" s="69">
        <f>IF($E643=U$8,$G643,0)</f>
        <v/>
      </c>
      <c r="V643" s="69">
        <f>IF($E643=V$8,$G643,0)</f>
        <v/>
      </c>
      <c r="W643" s="69">
        <f>IF($E643=W$8,$G643,0)</f>
        <v/>
      </c>
      <c r="X643" s="69">
        <f>IF($E643=X$8,$G643,0)</f>
        <v/>
      </c>
      <c r="Y643" s="69">
        <f>IF($E643=Y$8,$G643,0)</f>
        <v/>
      </c>
      <c r="Z643" s="69">
        <f>IF($E643=Z$8,$G643,0)</f>
        <v/>
      </c>
      <c r="AA643" s="69">
        <f>IF($E643=AA$8,$G643,0)</f>
        <v/>
      </c>
      <c r="AB643" s="69">
        <f>IF($E643=AB$8,$G643,0)</f>
        <v/>
      </c>
      <c r="AC643" s="69">
        <f>IF($E643=AC$8,$G643,0)</f>
        <v/>
      </c>
      <c r="AD643" s="69">
        <f>IF($E643=AD$8,$G643,0)</f>
        <v/>
      </c>
      <c r="AE643" s="69">
        <f>IF($E643=AE$8,$G643,0)</f>
        <v/>
      </c>
      <c r="AF643" s="69">
        <f>IF($E643=AF$8,$G643,0)</f>
        <v/>
      </c>
      <c r="AG643" s="69">
        <f>IF($E643=AG$8,$G643,0)</f>
        <v/>
      </c>
      <c r="AH643" s="69">
        <f>IF($E643=AH$8,$G643,0)</f>
        <v/>
      </c>
      <c r="AI643" s="69">
        <f>IF($E643=AI$8,$G643,0)</f>
        <v/>
      </c>
      <c r="AJ643" s="69">
        <f>IF($E643=AJ$8,$G643,0)</f>
        <v/>
      </c>
      <c r="AK643" s="69">
        <f>IF($E643=AK$8,$G643,0)</f>
        <v/>
      </c>
      <c r="AL643" s="69">
        <f>IF($E643=AL$8,$G643,0)</f>
        <v/>
      </c>
      <c r="AM643" s="69">
        <f>IF($E643=AM$8,$G643,0)</f>
        <v/>
      </c>
      <c r="AN643" s="69">
        <f>IF($E643=AN$8,$G643,0)</f>
        <v/>
      </c>
      <c r="AO643" s="69">
        <f>IF($E643=AO$8,$G643,0)</f>
        <v/>
      </c>
      <c r="AP643" s="69">
        <f>IF($E643=AP$8,$G643,0)</f>
        <v/>
      </c>
      <c r="AQ643" s="69">
        <f>IF($E643=AQ$8,$G643,0)</f>
        <v/>
      </c>
      <c r="AR643" s="69">
        <f>IF($E643=AR$8,$G643,0)</f>
        <v/>
      </c>
      <c r="AS643" s="69">
        <f>IF($E643=AS$8,$G643,0)</f>
        <v/>
      </c>
      <c r="AT643" s="69">
        <f>IF($E643=AT$8,$G643,0)</f>
        <v/>
      </c>
      <c r="AU643" s="69">
        <f>IF($E643=AU$8,$G643,0)</f>
        <v/>
      </c>
      <c r="AV643" s="69">
        <f>IF($E643=AV$8,$G643,0)</f>
        <v/>
      </c>
      <c r="AW643" s="69">
        <f>IF($E643=AW$8,$G643,0)</f>
        <v/>
      </c>
      <c r="AX643" s="69">
        <f>IF($E643=AX$8,$G643,0)</f>
        <v/>
      </c>
      <c r="AY643" s="69">
        <f>IF($E643=AY$8,$G643,0)</f>
        <v/>
      </c>
      <c r="AZ643" s="69">
        <f>IF($E643=AZ$8,$G643,0)</f>
        <v/>
      </c>
      <c r="BA643" s="69">
        <f>IF($E643=BA$8,$G643,0)</f>
        <v/>
      </c>
      <c r="BB643" s="69">
        <f>IF($E643=BB$8,$G643,0)</f>
        <v/>
      </c>
      <c r="BC643" s="69">
        <f>IF($E643=BC$8,$G643,0)</f>
        <v/>
      </c>
      <c r="BD643" s="69">
        <f>IF($E643=BD$8,$G643,0)</f>
        <v/>
      </c>
      <c r="BE643" s="69">
        <f>IF($E643=BE$8,$G643,0)</f>
        <v/>
      </c>
      <c r="BF643" s="69">
        <f>IF($E643=BF$8,$G643,0)</f>
        <v/>
      </c>
      <c r="BG643" s="69">
        <f>IF($E643=BG$8,$G643,0)</f>
        <v/>
      </c>
      <c r="BH643" s="69">
        <f>IF($E643=BH$8,$G643,0)</f>
        <v/>
      </c>
      <c r="BI643" s="69">
        <f>IF($E643=BI$8,$G643,0)</f>
        <v/>
      </c>
      <c r="BJ643" s="69">
        <f>IF($E643=BJ$8,$G643,0)</f>
        <v/>
      </c>
      <c r="BK643" s="69">
        <f>IF($E643=BK$8,$G643,0)</f>
        <v/>
      </c>
      <c r="BL643" s="69">
        <f>IF($E643=BL$8,$G643,0)</f>
        <v/>
      </c>
      <c r="BM643" s="69">
        <f>IF($E643=BM$8,$G643,0)</f>
        <v/>
      </c>
      <c r="BN643" s="69">
        <f>IF($E643=BN$8,$G643,0)</f>
        <v/>
      </c>
      <c r="BO643" s="69">
        <f>IF($E643=BO$8,$G643,0)</f>
        <v/>
      </c>
      <c r="BP643" s="69">
        <f>IF($E643=BP$8,$G643,0)</f>
        <v/>
      </c>
      <c r="BQ643" s="69">
        <f>IF($E643=BQ$8,$G643,0)</f>
        <v/>
      </c>
      <c r="BR643" s="69">
        <f>IF($E643=BR$8,$G643,0)</f>
        <v/>
      </c>
      <c r="BS643" s="69">
        <f>IF($E643=BS$8,$G643,0)</f>
        <v/>
      </c>
      <c r="BT643" s="69">
        <f>IF($E643=BT$8,$G643,0)</f>
        <v/>
      </c>
      <c r="BU643" s="69">
        <f>IF($E643=BU$8,$G643,0)</f>
        <v/>
      </c>
      <c r="BV643" s="69">
        <f>IF($E643=BV$8,$G643,0)</f>
        <v/>
      </c>
      <c r="BW643" s="69">
        <f>IF($E643=BW$8,$G643,0)</f>
        <v/>
      </c>
      <c r="BX643" s="69">
        <f>IF($E643=BX$8,$G643,0)</f>
        <v/>
      </c>
      <c r="BY643" s="69">
        <f>IF($E643=BY$8,$G643,0)</f>
        <v/>
      </c>
      <c r="BZ643" s="69">
        <f>IF($E643=BZ$8,$G643,0)</f>
        <v/>
      </c>
      <c r="CA643" s="69">
        <f>IF($E643=CA$8,$G643,0)</f>
        <v/>
      </c>
      <c r="CB643" s="69">
        <f>IF($E643=CB$8,$G643,0)</f>
        <v/>
      </c>
      <c r="CC643" s="69">
        <f>IF($E643=CC$8,$G643,0)</f>
        <v/>
      </c>
      <c r="CD643" s="69">
        <f>IF($E643=CD$8,$G643,0)</f>
        <v/>
      </c>
      <c r="CE643" s="69">
        <f>IF($E643=CE$8,$G643,0)</f>
        <v/>
      </c>
      <c r="CF643" s="69">
        <f>IF($E643=CF$8,$G643,0)</f>
        <v/>
      </c>
      <c r="CG643" s="69">
        <f>IF($E643=CG$8,$G643,0)</f>
        <v/>
      </c>
      <c r="CH643" s="69">
        <f>IF($E643=CH$8,$G643,0)</f>
        <v/>
      </c>
      <c r="CI643" s="69">
        <f>IF($E643=CI$8,$G643,0)</f>
        <v/>
      </c>
      <c r="CJ643" s="69">
        <f>IF($E643=CJ$8,$G643,0)</f>
        <v/>
      </c>
      <c r="CK643" s="69">
        <f>IF($E643=CK$8,$G643,0)</f>
        <v/>
      </c>
      <c r="CL643" s="69">
        <f>IF($E643=CL$8,$G643,0)</f>
        <v/>
      </c>
      <c r="CM643" s="69">
        <f>IF($E643=CM$8,$G643,0)</f>
        <v/>
      </c>
      <c r="CN643" s="69">
        <f>IF($E643=CN$8,$G643,0)</f>
        <v/>
      </c>
      <c r="CO643" s="69">
        <f>IF($E643=CO$8,$G643,0)</f>
        <v/>
      </c>
      <c r="CP643" s="69">
        <f>IF($E643=CP$8,$G643,0)</f>
        <v/>
      </c>
      <c r="CQ643" s="69">
        <f>IF($E643=CQ$8,$G643,0)</f>
        <v/>
      </c>
      <c r="CR643" s="69">
        <f>IF($E643=CR$8,$G643,0)</f>
        <v/>
      </c>
      <c r="CS643" s="69">
        <f>IF($E643=CS$8,$G643,0)</f>
        <v/>
      </c>
      <c r="CT643" s="69">
        <f>IF($E643=CT$8,$G643,0)</f>
        <v/>
      </c>
      <c r="CU643" s="69">
        <f>IF($E643=CU$8,$G643,0)</f>
        <v/>
      </c>
      <c r="CV643" s="69">
        <f>IF($E643=CV$8,$G643,0)</f>
        <v/>
      </c>
      <c r="CW643" s="69">
        <f>IF($E643=CW$8,$G643,0)</f>
        <v/>
      </c>
      <c r="CX643" s="69">
        <f>IF($E643=CX$8,$G643,0)</f>
        <v/>
      </c>
      <c r="CY643" s="69">
        <f>IF($E643=CY$8,$G643,0)</f>
        <v/>
      </c>
      <c r="CZ643" s="69">
        <f>IF($E643=CZ$8,$G643,0)</f>
        <v/>
      </c>
      <c r="DA643" s="70">
        <f>IF($E643=DA$8,$G643,0)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JUNIO!$I644-JUNIO!$H644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IF($D644="AL",$G644,0)</f>
        <v/>
      </c>
      <c r="O644" s="66">
        <f>IF($D644="BA",$G644,0)</f>
        <v/>
      </c>
      <c r="P644" s="66">
        <f>IF($D644="GF",$G644,0)</f>
        <v/>
      </c>
      <c r="Q644" s="66">
        <f>IF($D644="OT",$G644,0)</f>
        <v/>
      </c>
      <c r="R644" s="67">
        <f>IF($D644="AS",$G644,0)</f>
        <v/>
      </c>
      <c r="S644" s="5" t="n"/>
      <c r="T644" s="68">
        <f>IF($E644=T$8,$G644,0)</f>
        <v/>
      </c>
      <c r="U644" s="69">
        <f>IF($E644=U$8,$G644,0)</f>
        <v/>
      </c>
      <c r="V644" s="69">
        <f>IF($E644=V$8,$G644,0)</f>
        <v/>
      </c>
      <c r="W644" s="69">
        <f>IF($E644=W$8,$G644,0)</f>
        <v/>
      </c>
      <c r="X644" s="69">
        <f>IF($E644=X$8,$G644,0)</f>
        <v/>
      </c>
      <c r="Y644" s="69">
        <f>IF($E644=Y$8,$G644,0)</f>
        <v/>
      </c>
      <c r="Z644" s="69">
        <f>IF($E644=Z$8,$G644,0)</f>
        <v/>
      </c>
      <c r="AA644" s="69">
        <f>IF($E644=AA$8,$G644,0)</f>
        <v/>
      </c>
      <c r="AB644" s="69">
        <f>IF($E644=AB$8,$G644,0)</f>
        <v/>
      </c>
      <c r="AC644" s="69">
        <f>IF($E644=AC$8,$G644,0)</f>
        <v/>
      </c>
      <c r="AD644" s="69">
        <f>IF($E644=AD$8,$G644,0)</f>
        <v/>
      </c>
      <c r="AE644" s="69">
        <f>IF($E644=AE$8,$G644,0)</f>
        <v/>
      </c>
      <c r="AF644" s="69">
        <f>IF($E644=AF$8,$G644,0)</f>
        <v/>
      </c>
      <c r="AG644" s="69">
        <f>IF($E644=AG$8,$G644,0)</f>
        <v/>
      </c>
      <c r="AH644" s="69">
        <f>IF($E644=AH$8,$G644,0)</f>
        <v/>
      </c>
      <c r="AI644" s="69">
        <f>IF($E644=AI$8,$G644,0)</f>
        <v/>
      </c>
      <c r="AJ644" s="69">
        <f>IF($E644=AJ$8,$G644,0)</f>
        <v/>
      </c>
      <c r="AK644" s="69">
        <f>IF($E644=AK$8,$G644,0)</f>
        <v/>
      </c>
      <c r="AL644" s="69">
        <f>IF($E644=AL$8,$G644,0)</f>
        <v/>
      </c>
      <c r="AM644" s="69">
        <f>IF($E644=AM$8,$G644,0)</f>
        <v/>
      </c>
      <c r="AN644" s="69">
        <f>IF($E644=AN$8,$G644,0)</f>
        <v/>
      </c>
      <c r="AO644" s="69">
        <f>IF($E644=AO$8,$G644,0)</f>
        <v/>
      </c>
      <c r="AP644" s="69">
        <f>IF($E644=AP$8,$G644,0)</f>
        <v/>
      </c>
      <c r="AQ644" s="69">
        <f>IF($E644=AQ$8,$G644,0)</f>
        <v/>
      </c>
      <c r="AR644" s="69">
        <f>IF($E644=AR$8,$G644,0)</f>
        <v/>
      </c>
      <c r="AS644" s="69">
        <f>IF($E644=AS$8,$G644,0)</f>
        <v/>
      </c>
      <c r="AT644" s="69">
        <f>IF($E644=AT$8,$G644,0)</f>
        <v/>
      </c>
      <c r="AU644" s="69">
        <f>IF($E644=AU$8,$G644,0)</f>
        <v/>
      </c>
      <c r="AV644" s="69">
        <f>IF($E644=AV$8,$G644,0)</f>
        <v/>
      </c>
      <c r="AW644" s="69">
        <f>IF($E644=AW$8,$G644,0)</f>
        <v/>
      </c>
      <c r="AX644" s="69">
        <f>IF($E644=AX$8,$G644,0)</f>
        <v/>
      </c>
      <c r="AY644" s="69">
        <f>IF($E644=AY$8,$G644,0)</f>
        <v/>
      </c>
      <c r="AZ644" s="69">
        <f>IF($E644=AZ$8,$G644,0)</f>
        <v/>
      </c>
      <c r="BA644" s="69">
        <f>IF($E644=BA$8,$G644,0)</f>
        <v/>
      </c>
      <c r="BB644" s="69">
        <f>IF($E644=BB$8,$G644,0)</f>
        <v/>
      </c>
      <c r="BC644" s="69">
        <f>IF($E644=BC$8,$G644,0)</f>
        <v/>
      </c>
      <c r="BD644" s="69">
        <f>IF($E644=BD$8,$G644,0)</f>
        <v/>
      </c>
      <c r="BE644" s="69">
        <f>IF($E644=BE$8,$G644,0)</f>
        <v/>
      </c>
      <c r="BF644" s="69">
        <f>IF($E644=BF$8,$G644,0)</f>
        <v/>
      </c>
      <c r="BG644" s="69">
        <f>IF($E644=BG$8,$G644,0)</f>
        <v/>
      </c>
      <c r="BH644" s="69">
        <f>IF($E644=BH$8,$G644,0)</f>
        <v/>
      </c>
      <c r="BI644" s="69">
        <f>IF($E644=BI$8,$G644,0)</f>
        <v/>
      </c>
      <c r="BJ644" s="69">
        <f>IF($E644=BJ$8,$G644,0)</f>
        <v/>
      </c>
      <c r="BK644" s="69">
        <f>IF($E644=BK$8,$G644,0)</f>
        <v/>
      </c>
      <c r="BL644" s="69">
        <f>IF($E644=BL$8,$G644,0)</f>
        <v/>
      </c>
      <c r="BM644" s="69">
        <f>IF($E644=BM$8,$G644,0)</f>
        <v/>
      </c>
      <c r="BN644" s="69">
        <f>IF($E644=BN$8,$G644,0)</f>
        <v/>
      </c>
      <c r="BO644" s="69">
        <f>IF($E644=BO$8,$G644,0)</f>
        <v/>
      </c>
      <c r="BP644" s="69">
        <f>IF($E644=BP$8,$G644,0)</f>
        <v/>
      </c>
      <c r="BQ644" s="69">
        <f>IF($E644=BQ$8,$G644,0)</f>
        <v/>
      </c>
      <c r="BR644" s="69">
        <f>IF($E644=BR$8,$G644,0)</f>
        <v/>
      </c>
      <c r="BS644" s="69">
        <f>IF($E644=BS$8,$G644,0)</f>
        <v/>
      </c>
      <c r="BT644" s="69">
        <f>IF($E644=BT$8,$G644,0)</f>
        <v/>
      </c>
      <c r="BU644" s="69">
        <f>IF($E644=BU$8,$G644,0)</f>
        <v/>
      </c>
      <c r="BV644" s="69">
        <f>IF($E644=BV$8,$G644,0)</f>
        <v/>
      </c>
      <c r="BW644" s="69">
        <f>IF($E644=BW$8,$G644,0)</f>
        <v/>
      </c>
      <c r="BX644" s="69">
        <f>IF($E644=BX$8,$G644,0)</f>
        <v/>
      </c>
      <c r="BY644" s="69">
        <f>IF($E644=BY$8,$G644,0)</f>
        <v/>
      </c>
      <c r="BZ644" s="69">
        <f>IF($E644=BZ$8,$G644,0)</f>
        <v/>
      </c>
      <c r="CA644" s="69">
        <f>IF($E644=CA$8,$G644,0)</f>
        <v/>
      </c>
      <c r="CB644" s="69">
        <f>IF($E644=CB$8,$G644,0)</f>
        <v/>
      </c>
      <c r="CC644" s="69">
        <f>IF($E644=CC$8,$G644,0)</f>
        <v/>
      </c>
      <c r="CD644" s="69">
        <f>IF($E644=CD$8,$G644,0)</f>
        <v/>
      </c>
      <c r="CE644" s="69">
        <f>IF($E644=CE$8,$G644,0)</f>
        <v/>
      </c>
      <c r="CF644" s="69">
        <f>IF($E644=CF$8,$G644,0)</f>
        <v/>
      </c>
      <c r="CG644" s="69">
        <f>IF($E644=CG$8,$G644,0)</f>
        <v/>
      </c>
      <c r="CH644" s="69">
        <f>IF($E644=CH$8,$G644,0)</f>
        <v/>
      </c>
      <c r="CI644" s="69">
        <f>IF($E644=CI$8,$G644,0)</f>
        <v/>
      </c>
      <c r="CJ644" s="69">
        <f>IF($E644=CJ$8,$G644,0)</f>
        <v/>
      </c>
      <c r="CK644" s="69">
        <f>IF($E644=CK$8,$G644,0)</f>
        <v/>
      </c>
      <c r="CL644" s="69">
        <f>IF($E644=CL$8,$G644,0)</f>
        <v/>
      </c>
      <c r="CM644" s="69">
        <f>IF($E644=CM$8,$G644,0)</f>
        <v/>
      </c>
      <c r="CN644" s="69">
        <f>IF($E644=CN$8,$G644,0)</f>
        <v/>
      </c>
      <c r="CO644" s="69">
        <f>IF($E644=CO$8,$G644,0)</f>
        <v/>
      </c>
      <c r="CP644" s="69">
        <f>IF($E644=CP$8,$G644,0)</f>
        <v/>
      </c>
      <c r="CQ644" s="69">
        <f>IF($E644=CQ$8,$G644,0)</f>
        <v/>
      </c>
      <c r="CR644" s="69">
        <f>IF($E644=CR$8,$G644,0)</f>
        <v/>
      </c>
      <c r="CS644" s="69">
        <f>IF($E644=CS$8,$G644,0)</f>
        <v/>
      </c>
      <c r="CT644" s="69">
        <f>IF($E644=CT$8,$G644,0)</f>
        <v/>
      </c>
      <c r="CU644" s="69">
        <f>IF($E644=CU$8,$G644,0)</f>
        <v/>
      </c>
      <c r="CV644" s="69">
        <f>IF($E644=CV$8,$G644,0)</f>
        <v/>
      </c>
      <c r="CW644" s="69">
        <f>IF($E644=CW$8,$G644,0)</f>
        <v/>
      </c>
      <c r="CX644" s="69">
        <f>IF($E644=CX$8,$G644,0)</f>
        <v/>
      </c>
      <c r="CY644" s="69">
        <f>IF($E644=CY$8,$G644,0)</f>
        <v/>
      </c>
      <c r="CZ644" s="69">
        <f>IF($E644=CZ$8,$G644,0)</f>
        <v/>
      </c>
      <c r="DA644" s="70">
        <f>IF($E644=DA$8,$G644,0)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JUNIO!$I645-JUNIO!$H645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IF($D645="AL",$G645,0)</f>
        <v/>
      </c>
      <c r="O645" s="66">
        <f>IF($D645="BA",$G645,0)</f>
        <v/>
      </c>
      <c r="P645" s="66">
        <f>IF($D645="GF",$G645,0)</f>
        <v/>
      </c>
      <c r="Q645" s="66">
        <f>IF($D645="OT",$G645,0)</f>
        <v/>
      </c>
      <c r="R645" s="67">
        <f>IF($D645="AS",$G645,0)</f>
        <v/>
      </c>
      <c r="S645" s="5" t="n"/>
      <c r="T645" s="68">
        <f>IF($E645=T$8,$G645,0)</f>
        <v/>
      </c>
      <c r="U645" s="69">
        <f>IF($E645=U$8,$G645,0)</f>
        <v/>
      </c>
      <c r="V645" s="69">
        <f>IF($E645=V$8,$G645,0)</f>
        <v/>
      </c>
      <c r="W645" s="69">
        <f>IF($E645=W$8,$G645,0)</f>
        <v/>
      </c>
      <c r="X645" s="69">
        <f>IF($E645=X$8,$G645,0)</f>
        <v/>
      </c>
      <c r="Y645" s="69">
        <f>IF($E645=Y$8,$G645,0)</f>
        <v/>
      </c>
      <c r="Z645" s="69">
        <f>IF($E645=Z$8,$G645,0)</f>
        <v/>
      </c>
      <c r="AA645" s="69">
        <f>IF($E645=AA$8,$G645,0)</f>
        <v/>
      </c>
      <c r="AB645" s="69">
        <f>IF($E645=AB$8,$G645,0)</f>
        <v/>
      </c>
      <c r="AC645" s="69">
        <f>IF($E645=AC$8,$G645,0)</f>
        <v/>
      </c>
      <c r="AD645" s="69">
        <f>IF($E645=AD$8,$G645,0)</f>
        <v/>
      </c>
      <c r="AE645" s="69">
        <f>IF($E645=AE$8,$G645,0)</f>
        <v/>
      </c>
      <c r="AF645" s="69">
        <f>IF($E645=AF$8,$G645,0)</f>
        <v/>
      </c>
      <c r="AG645" s="69">
        <f>IF($E645=AG$8,$G645,0)</f>
        <v/>
      </c>
      <c r="AH645" s="69">
        <f>IF($E645=AH$8,$G645,0)</f>
        <v/>
      </c>
      <c r="AI645" s="69">
        <f>IF($E645=AI$8,$G645,0)</f>
        <v/>
      </c>
      <c r="AJ645" s="69">
        <f>IF($E645=AJ$8,$G645,0)</f>
        <v/>
      </c>
      <c r="AK645" s="69">
        <f>IF($E645=AK$8,$G645,0)</f>
        <v/>
      </c>
      <c r="AL645" s="69">
        <f>IF($E645=AL$8,$G645,0)</f>
        <v/>
      </c>
      <c r="AM645" s="69">
        <f>IF($E645=AM$8,$G645,0)</f>
        <v/>
      </c>
      <c r="AN645" s="69">
        <f>IF($E645=AN$8,$G645,0)</f>
        <v/>
      </c>
      <c r="AO645" s="69">
        <f>IF($E645=AO$8,$G645,0)</f>
        <v/>
      </c>
      <c r="AP645" s="69">
        <f>IF($E645=AP$8,$G645,0)</f>
        <v/>
      </c>
      <c r="AQ645" s="69">
        <f>IF($E645=AQ$8,$G645,0)</f>
        <v/>
      </c>
      <c r="AR645" s="69">
        <f>IF($E645=AR$8,$G645,0)</f>
        <v/>
      </c>
      <c r="AS645" s="69">
        <f>IF($E645=AS$8,$G645,0)</f>
        <v/>
      </c>
      <c r="AT645" s="69">
        <f>IF($E645=AT$8,$G645,0)</f>
        <v/>
      </c>
      <c r="AU645" s="69">
        <f>IF($E645=AU$8,$G645,0)</f>
        <v/>
      </c>
      <c r="AV645" s="69">
        <f>IF($E645=AV$8,$G645,0)</f>
        <v/>
      </c>
      <c r="AW645" s="69">
        <f>IF($E645=AW$8,$G645,0)</f>
        <v/>
      </c>
      <c r="AX645" s="69">
        <f>IF($E645=AX$8,$G645,0)</f>
        <v/>
      </c>
      <c r="AY645" s="69">
        <f>IF($E645=AY$8,$G645,0)</f>
        <v/>
      </c>
      <c r="AZ645" s="69">
        <f>IF($E645=AZ$8,$G645,0)</f>
        <v/>
      </c>
      <c r="BA645" s="69">
        <f>IF($E645=BA$8,$G645,0)</f>
        <v/>
      </c>
      <c r="BB645" s="69">
        <f>IF($E645=BB$8,$G645,0)</f>
        <v/>
      </c>
      <c r="BC645" s="69">
        <f>IF($E645=BC$8,$G645,0)</f>
        <v/>
      </c>
      <c r="BD645" s="69">
        <f>IF($E645=BD$8,$G645,0)</f>
        <v/>
      </c>
      <c r="BE645" s="69">
        <f>IF($E645=BE$8,$G645,0)</f>
        <v/>
      </c>
      <c r="BF645" s="69">
        <f>IF($E645=BF$8,$G645,0)</f>
        <v/>
      </c>
      <c r="BG645" s="69">
        <f>IF($E645=BG$8,$G645,0)</f>
        <v/>
      </c>
      <c r="BH645" s="69">
        <f>IF($E645=BH$8,$G645,0)</f>
        <v/>
      </c>
      <c r="BI645" s="69">
        <f>IF($E645=BI$8,$G645,0)</f>
        <v/>
      </c>
      <c r="BJ645" s="69">
        <f>IF($E645=BJ$8,$G645,0)</f>
        <v/>
      </c>
      <c r="BK645" s="69">
        <f>IF($E645=BK$8,$G645,0)</f>
        <v/>
      </c>
      <c r="BL645" s="69">
        <f>IF($E645=BL$8,$G645,0)</f>
        <v/>
      </c>
      <c r="BM645" s="69">
        <f>IF($E645=BM$8,$G645,0)</f>
        <v/>
      </c>
      <c r="BN645" s="69">
        <f>IF($E645=BN$8,$G645,0)</f>
        <v/>
      </c>
      <c r="BO645" s="69">
        <f>IF($E645=BO$8,$G645,0)</f>
        <v/>
      </c>
      <c r="BP645" s="69">
        <f>IF($E645=BP$8,$G645,0)</f>
        <v/>
      </c>
      <c r="BQ645" s="69">
        <f>IF($E645=BQ$8,$G645,0)</f>
        <v/>
      </c>
      <c r="BR645" s="69">
        <f>IF($E645=BR$8,$G645,0)</f>
        <v/>
      </c>
      <c r="BS645" s="69">
        <f>IF($E645=BS$8,$G645,0)</f>
        <v/>
      </c>
      <c r="BT645" s="69">
        <f>IF($E645=BT$8,$G645,0)</f>
        <v/>
      </c>
      <c r="BU645" s="69">
        <f>IF($E645=BU$8,$G645,0)</f>
        <v/>
      </c>
      <c r="BV645" s="69">
        <f>IF($E645=BV$8,$G645,0)</f>
        <v/>
      </c>
      <c r="BW645" s="69">
        <f>IF($E645=BW$8,$G645,0)</f>
        <v/>
      </c>
      <c r="BX645" s="69">
        <f>IF($E645=BX$8,$G645,0)</f>
        <v/>
      </c>
      <c r="BY645" s="69">
        <f>IF($E645=BY$8,$G645,0)</f>
        <v/>
      </c>
      <c r="BZ645" s="69">
        <f>IF($E645=BZ$8,$G645,0)</f>
        <v/>
      </c>
      <c r="CA645" s="69">
        <f>IF($E645=CA$8,$G645,0)</f>
        <v/>
      </c>
      <c r="CB645" s="69">
        <f>IF($E645=CB$8,$G645,0)</f>
        <v/>
      </c>
      <c r="CC645" s="69">
        <f>IF($E645=CC$8,$G645,0)</f>
        <v/>
      </c>
      <c r="CD645" s="69">
        <f>IF($E645=CD$8,$G645,0)</f>
        <v/>
      </c>
      <c r="CE645" s="69">
        <f>IF($E645=CE$8,$G645,0)</f>
        <v/>
      </c>
      <c r="CF645" s="69">
        <f>IF($E645=CF$8,$G645,0)</f>
        <v/>
      </c>
      <c r="CG645" s="69">
        <f>IF($E645=CG$8,$G645,0)</f>
        <v/>
      </c>
      <c r="CH645" s="69">
        <f>IF($E645=CH$8,$G645,0)</f>
        <v/>
      </c>
      <c r="CI645" s="69">
        <f>IF($E645=CI$8,$G645,0)</f>
        <v/>
      </c>
      <c r="CJ645" s="69">
        <f>IF($E645=CJ$8,$G645,0)</f>
        <v/>
      </c>
      <c r="CK645" s="69">
        <f>IF($E645=CK$8,$G645,0)</f>
        <v/>
      </c>
      <c r="CL645" s="69">
        <f>IF($E645=CL$8,$G645,0)</f>
        <v/>
      </c>
      <c r="CM645" s="69">
        <f>IF($E645=CM$8,$G645,0)</f>
        <v/>
      </c>
      <c r="CN645" s="69">
        <f>IF($E645=CN$8,$G645,0)</f>
        <v/>
      </c>
      <c r="CO645" s="69">
        <f>IF($E645=CO$8,$G645,0)</f>
        <v/>
      </c>
      <c r="CP645" s="69">
        <f>IF($E645=CP$8,$G645,0)</f>
        <v/>
      </c>
      <c r="CQ645" s="69">
        <f>IF($E645=CQ$8,$G645,0)</f>
        <v/>
      </c>
      <c r="CR645" s="69">
        <f>IF($E645=CR$8,$G645,0)</f>
        <v/>
      </c>
      <c r="CS645" s="69">
        <f>IF($E645=CS$8,$G645,0)</f>
        <v/>
      </c>
      <c r="CT645" s="69">
        <f>IF($E645=CT$8,$G645,0)</f>
        <v/>
      </c>
      <c r="CU645" s="69">
        <f>IF($E645=CU$8,$G645,0)</f>
        <v/>
      </c>
      <c r="CV645" s="69">
        <f>IF($E645=CV$8,$G645,0)</f>
        <v/>
      </c>
      <c r="CW645" s="69">
        <f>IF($E645=CW$8,$G645,0)</f>
        <v/>
      </c>
      <c r="CX645" s="69">
        <f>IF($E645=CX$8,$G645,0)</f>
        <v/>
      </c>
      <c r="CY645" s="69">
        <f>IF($E645=CY$8,$G645,0)</f>
        <v/>
      </c>
      <c r="CZ645" s="69">
        <f>IF($E645=CZ$8,$G645,0)</f>
        <v/>
      </c>
      <c r="DA645" s="70">
        <f>IF($E645=DA$8,$G645,0)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JUNIO!$I646-JUNIO!$H646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IF($D646="AL",$G646,0)</f>
        <v/>
      </c>
      <c r="O646" s="66">
        <f>IF($D646="BA",$G646,0)</f>
        <v/>
      </c>
      <c r="P646" s="66">
        <f>IF($D646="GF",$G646,0)</f>
        <v/>
      </c>
      <c r="Q646" s="66">
        <f>IF($D646="OT",$G646,0)</f>
        <v/>
      </c>
      <c r="R646" s="67">
        <f>IF($D646="AS",$G646,0)</f>
        <v/>
      </c>
      <c r="S646" s="5" t="n"/>
      <c r="T646" s="68">
        <f>IF($E646=T$8,$G646,0)</f>
        <v/>
      </c>
      <c r="U646" s="69">
        <f>IF($E646=U$8,$G646,0)</f>
        <v/>
      </c>
      <c r="V646" s="69">
        <f>IF($E646=V$8,$G646,0)</f>
        <v/>
      </c>
      <c r="W646" s="69">
        <f>IF($E646=W$8,$G646,0)</f>
        <v/>
      </c>
      <c r="X646" s="69">
        <f>IF($E646=X$8,$G646,0)</f>
        <v/>
      </c>
      <c r="Y646" s="69">
        <f>IF($E646=Y$8,$G646,0)</f>
        <v/>
      </c>
      <c r="Z646" s="69">
        <f>IF($E646=Z$8,$G646,0)</f>
        <v/>
      </c>
      <c r="AA646" s="69">
        <f>IF($E646=AA$8,$G646,0)</f>
        <v/>
      </c>
      <c r="AB646" s="69">
        <f>IF($E646=AB$8,$G646,0)</f>
        <v/>
      </c>
      <c r="AC646" s="69">
        <f>IF($E646=AC$8,$G646,0)</f>
        <v/>
      </c>
      <c r="AD646" s="69">
        <f>IF($E646=AD$8,$G646,0)</f>
        <v/>
      </c>
      <c r="AE646" s="69">
        <f>IF($E646=AE$8,$G646,0)</f>
        <v/>
      </c>
      <c r="AF646" s="69">
        <f>IF($E646=AF$8,$G646,0)</f>
        <v/>
      </c>
      <c r="AG646" s="69">
        <f>IF($E646=AG$8,$G646,0)</f>
        <v/>
      </c>
      <c r="AH646" s="69">
        <f>IF($E646=AH$8,$G646,0)</f>
        <v/>
      </c>
      <c r="AI646" s="69">
        <f>IF($E646=AI$8,$G646,0)</f>
        <v/>
      </c>
      <c r="AJ646" s="69">
        <f>IF($E646=AJ$8,$G646,0)</f>
        <v/>
      </c>
      <c r="AK646" s="69">
        <f>IF($E646=AK$8,$G646,0)</f>
        <v/>
      </c>
      <c r="AL646" s="69">
        <f>IF($E646=AL$8,$G646,0)</f>
        <v/>
      </c>
      <c r="AM646" s="69">
        <f>IF($E646=AM$8,$G646,0)</f>
        <v/>
      </c>
      <c r="AN646" s="69">
        <f>IF($E646=AN$8,$G646,0)</f>
        <v/>
      </c>
      <c r="AO646" s="69">
        <f>IF($E646=AO$8,$G646,0)</f>
        <v/>
      </c>
      <c r="AP646" s="69">
        <f>IF($E646=AP$8,$G646,0)</f>
        <v/>
      </c>
      <c r="AQ646" s="69">
        <f>IF($E646=AQ$8,$G646,0)</f>
        <v/>
      </c>
      <c r="AR646" s="69">
        <f>IF($E646=AR$8,$G646,0)</f>
        <v/>
      </c>
      <c r="AS646" s="69">
        <f>IF($E646=AS$8,$G646,0)</f>
        <v/>
      </c>
      <c r="AT646" s="69">
        <f>IF($E646=AT$8,$G646,0)</f>
        <v/>
      </c>
      <c r="AU646" s="69">
        <f>IF($E646=AU$8,$G646,0)</f>
        <v/>
      </c>
      <c r="AV646" s="69">
        <f>IF($E646=AV$8,$G646,0)</f>
        <v/>
      </c>
      <c r="AW646" s="69">
        <f>IF($E646=AW$8,$G646,0)</f>
        <v/>
      </c>
      <c r="AX646" s="69">
        <f>IF($E646=AX$8,$G646,0)</f>
        <v/>
      </c>
      <c r="AY646" s="69">
        <f>IF($E646=AY$8,$G646,0)</f>
        <v/>
      </c>
      <c r="AZ646" s="69">
        <f>IF($E646=AZ$8,$G646,0)</f>
        <v/>
      </c>
      <c r="BA646" s="69">
        <f>IF($E646=BA$8,$G646,0)</f>
        <v/>
      </c>
      <c r="BB646" s="69">
        <f>IF($E646=BB$8,$G646,0)</f>
        <v/>
      </c>
      <c r="BC646" s="69">
        <f>IF($E646=BC$8,$G646,0)</f>
        <v/>
      </c>
      <c r="BD646" s="69">
        <f>IF($E646=BD$8,$G646,0)</f>
        <v/>
      </c>
      <c r="BE646" s="69">
        <f>IF($E646=BE$8,$G646,0)</f>
        <v/>
      </c>
      <c r="BF646" s="69">
        <f>IF($E646=BF$8,$G646,0)</f>
        <v/>
      </c>
      <c r="BG646" s="69">
        <f>IF($E646=BG$8,$G646,0)</f>
        <v/>
      </c>
      <c r="BH646" s="69">
        <f>IF($E646=BH$8,$G646,0)</f>
        <v/>
      </c>
      <c r="BI646" s="69">
        <f>IF($E646=BI$8,$G646,0)</f>
        <v/>
      </c>
      <c r="BJ646" s="69">
        <f>IF($E646=BJ$8,$G646,0)</f>
        <v/>
      </c>
      <c r="BK646" s="69">
        <f>IF($E646=BK$8,$G646,0)</f>
        <v/>
      </c>
      <c r="BL646" s="69">
        <f>IF($E646=BL$8,$G646,0)</f>
        <v/>
      </c>
      <c r="BM646" s="69">
        <f>IF($E646=BM$8,$G646,0)</f>
        <v/>
      </c>
      <c r="BN646" s="69">
        <f>IF($E646=BN$8,$G646,0)</f>
        <v/>
      </c>
      <c r="BO646" s="69">
        <f>IF($E646=BO$8,$G646,0)</f>
        <v/>
      </c>
      <c r="BP646" s="69">
        <f>IF($E646=BP$8,$G646,0)</f>
        <v/>
      </c>
      <c r="BQ646" s="69">
        <f>IF($E646=BQ$8,$G646,0)</f>
        <v/>
      </c>
      <c r="BR646" s="69">
        <f>IF($E646=BR$8,$G646,0)</f>
        <v/>
      </c>
      <c r="BS646" s="69">
        <f>IF($E646=BS$8,$G646,0)</f>
        <v/>
      </c>
      <c r="BT646" s="69">
        <f>IF($E646=BT$8,$G646,0)</f>
        <v/>
      </c>
      <c r="BU646" s="69">
        <f>IF($E646=BU$8,$G646,0)</f>
        <v/>
      </c>
      <c r="BV646" s="69">
        <f>IF($E646=BV$8,$G646,0)</f>
        <v/>
      </c>
      <c r="BW646" s="69">
        <f>IF($E646=BW$8,$G646,0)</f>
        <v/>
      </c>
      <c r="BX646" s="69">
        <f>IF($E646=BX$8,$G646,0)</f>
        <v/>
      </c>
      <c r="BY646" s="69">
        <f>IF($E646=BY$8,$G646,0)</f>
        <v/>
      </c>
      <c r="BZ646" s="69">
        <f>IF($E646=BZ$8,$G646,0)</f>
        <v/>
      </c>
      <c r="CA646" s="69">
        <f>IF($E646=CA$8,$G646,0)</f>
        <v/>
      </c>
      <c r="CB646" s="69">
        <f>IF($E646=CB$8,$G646,0)</f>
        <v/>
      </c>
      <c r="CC646" s="69">
        <f>IF($E646=CC$8,$G646,0)</f>
        <v/>
      </c>
      <c r="CD646" s="69">
        <f>IF($E646=CD$8,$G646,0)</f>
        <v/>
      </c>
      <c r="CE646" s="69">
        <f>IF($E646=CE$8,$G646,0)</f>
        <v/>
      </c>
      <c r="CF646" s="69">
        <f>IF($E646=CF$8,$G646,0)</f>
        <v/>
      </c>
      <c r="CG646" s="69">
        <f>IF($E646=CG$8,$G646,0)</f>
        <v/>
      </c>
      <c r="CH646" s="69">
        <f>IF($E646=CH$8,$G646,0)</f>
        <v/>
      </c>
      <c r="CI646" s="69">
        <f>IF($E646=CI$8,$G646,0)</f>
        <v/>
      </c>
      <c r="CJ646" s="69">
        <f>IF($E646=CJ$8,$G646,0)</f>
        <v/>
      </c>
      <c r="CK646" s="69">
        <f>IF($E646=CK$8,$G646,0)</f>
        <v/>
      </c>
      <c r="CL646" s="69">
        <f>IF($E646=CL$8,$G646,0)</f>
        <v/>
      </c>
      <c r="CM646" s="69">
        <f>IF($E646=CM$8,$G646,0)</f>
        <v/>
      </c>
      <c r="CN646" s="69">
        <f>IF($E646=CN$8,$G646,0)</f>
        <v/>
      </c>
      <c r="CO646" s="69">
        <f>IF($E646=CO$8,$G646,0)</f>
        <v/>
      </c>
      <c r="CP646" s="69">
        <f>IF($E646=CP$8,$G646,0)</f>
        <v/>
      </c>
      <c r="CQ646" s="69">
        <f>IF($E646=CQ$8,$G646,0)</f>
        <v/>
      </c>
      <c r="CR646" s="69">
        <f>IF($E646=CR$8,$G646,0)</f>
        <v/>
      </c>
      <c r="CS646" s="69">
        <f>IF($E646=CS$8,$G646,0)</f>
        <v/>
      </c>
      <c r="CT646" s="69">
        <f>IF($E646=CT$8,$G646,0)</f>
        <v/>
      </c>
      <c r="CU646" s="69">
        <f>IF($E646=CU$8,$G646,0)</f>
        <v/>
      </c>
      <c r="CV646" s="69">
        <f>IF($E646=CV$8,$G646,0)</f>
        <v/>
      </c>
      <c r="CW646" s="69">
        <f>IF($E646=CW$8,$G646,0)</f>
        <v/>
      </c>
      <c r="CX646" s="69">
        <f>IF($E646=CX$8,$G646,0)</f>
        <v/>
      </c>
      <c r="CY646" s="69">
        <f>IF($E646=CY$8,$G646,0)</f>
        <v/>
      </c>
      <c r="CZ646" s="69">
        <f>IF($E646=CZ$8,$G646,0)</f>
        <v/>
      </c>
      <c r="DA646" s="70">
        <f>IF($E646=DA$8,$G646,0)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JUNIO!$I647-JUNIO!$H647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IF($D647="AL",$G647,0)</f>
        <v/>
      </c>
      <c r="O647" s="66">
        <f>IF($D647="BA",$G647,0)</f>
        <v/>
      </c>
      <c r="P647" s="66">
        <f>IF($D647="GF",$G647,0)</f>
        <v/>
      </c>
      <c r="Q647" s="66">
        <f>IF($D647="OT",$G647,0)</f>
        <v/>
      </c>
      <c r="R647" s="67">
        <f>IF($D647="AS",$G647,0)</f>
        <v/>
      </c>
      <c r="S647" s="5" t="n"/>
      <c r="T647" s="68">
        <f>IF($E647=T$8,$G647,0)</f>
        <v/>
      </c>
      <c r="U647" s="69">
        <f>IF($E647=U$8,$G647,0)</f>
        <v/>
      </c>
      <c r="V647" s="69">
        <f>IF($E647=V$8,$G647,0)</f>
        <v/>
      </c>
      <c r="W647" s="69">
        <f>IF($E647=W$8,$G647,0)</f>
        <v/>
      </c>
      <c r="X647" s="69">
        <f>IF($E647=X$8,$G647,0)</f>
        <v/>
      </c>
      <c r="Y647" s="69">
        <f>IF($E647=Y$8,$G647,0)</f>
        <v/>
      </c>
      <c r="Z647" s="69">
        <f>IF($E647=Z$8,$G647,0)</f>
        <v/>
      </c>
      <c r="AA647" s="69">
        <f>IF($E647=AA$8,$G647,0)</f>
        <v/>
      </c>
      <c r="AB647" s="69">
        <f>IF($E647=AB$8,$G647,0)</f>
        <v/>
      </c>
      <c r="AC647" s="69">
        <f>IF($E647=AC$8,$G647,0)</f>
        <v/>
      </c>
      <c r="AD647" s="69">
        <f>IF($E647=AD$8,$G647,0)</f>
        <v/>
      </c>
      <c r="AE647" s="69">
        <f>IF($E647=AE$8,$G647,0)</f>
        <v/>
      </c>
      <c r="AF647" s="69">
        <f>IF($E647=AF$8,$G647,0)</f>
        <v/>
      </c>
      <c r="AG647" s="69">
        <f>IF($E647=AG$8,$G647,0)</f>
        <v/>
      </c>
      <c r="AH647" s="69">
        <f>IF($E647=AH$8,$G647,0)</f>
        <v/>
      </c>
      <c r="AI647" s="69">
        <f>IF($E647=AI$8,$G647,0)</f>
        <v/>
      </c>
      <c r="AJ647" s="69">
        <f>IF($E647=AJ$8,$G647,0)</f>
        <v/>
      </c>
      <c r="AK647" s="69">
        <f>IF($E647=AK$8,$G647,0)</f>
        <v/>
      </c>
      <c r="AL647" s="69">
        <f>IF($E647=AL$8,$G647,0)</f>
        <v/>
      </c>
      <c r="AM647" s="69">
        <f>IF($E647=AM$8,$G647,0)</f>
        <v/>
      </c>
      <c r="AN647" s="69">
        <f>IF($E647=AN$8,$G647,0)</f>
        <v/>
      </c>
      <c r="AO647" s="69">
        <f>IF($E647=AO$8,$G647,0)</f>
        <v/>
      </c>
      <c r="AP647" s="69">
        <f>IF($E647=AP$8,$G647,0)</f>
        <v/>
      </c>
      <c r="AQ647" s="69">
        <f>IF($E647=AQ$8,$G647,0)</f>
        <v/>
      </c>
      <c r="AR647" s="69">
        <f>IF($E647=AR$8,$G647,0)</f>
        <v/>
      </c>
      <c r="AS647" s="69">
        <f>IF($E647=AS$8,$G647,0)</f>
        <v/>
      </c>
      <c r="AT647" s="69">
        <f>IF($E647=AT$8,$G647,0)</f>
        <v/>
      </c>
      <c r="AU647" s="69">
        <f>IF($E647=AU$8,$G647,0)</f>
        <v/>
      </c>
      <c r="AV647" s="69">
        <f>IF($E647=AV$8,$G647,0)</f>
        <v/>
      </c>
      <c r="AW647" s="69">
        <f>IF($E647=AW$8,$G647,0)</f>
        <v/>
      </c>
      <c r="AX647" s="69">
        <f>IF($E647=AX$8,$G647,0)</f>
        <v/>
      </c>
      <c r="AY647" s="69">
        <f>IF($E647=AY$8,$G647,0)</f>
        <v/>
      </c>
      <c r="AZ647" s="69">
        <f>IF($E647=AZ$8,$G647,0)</f>
        <v/>
      </c>
      <c r="BA647" s="69">
        <f>IF($E647=BA$8,$G647,0)</f>
        <v/>
      </c>
      <c r="BB647" s="69">
        <f>IF($E647=BB$8,$G647,0)</f>
        <v/>
      </c>
      <c r="BC647" s="69">
        <f>IF($E647=BC$8,$G647,0)</f>
        <v/>
      </c>
      <c r="BD647" s="69">
        <f>IF($E647=BD$8,$G647,0)</f>
        <v/>
      </c>
      <c r="BE647" s="69">
        <f>IF($E647=BE$8,$G647,0)</f>
        <v/>
      </c>
      <c r="BF647" s="69">
        <f>IF($E647=BF$8,$G647,0)</f>
        <v/>
      </c>
      <c r="BG647" s="69">
        <f>IF($E647=BG$8,$G647,0)</f>
        <v/>
      </c>
      <c r="BH647" s="69">
        <f>IF($E647=BH$8,$G647,0)</f>
        <v/>
      </c>
      <c r="BI647" s="69">
        <f>IF($E647=BI$8,$G647,0)</f>
        <v/>
      </c>
      <c r="BJ647" s="69">
        <f>IF($E647=BJ$8,$G647,0)</f>
        <v/>
      </c>
      <c r="BK647" s="69">
        <f>IF($E647=BK$8,$G647,0)</f>
        <v/>
      </c>
      <c r="BL647" s="69">
        <f>IF($E647=BL$8,$G647,0)</f>
        <v/>
      </c>
      <c r="BM647" s="69">
        <f>IF($E647=BM$8,$G647,0)</f>
        <v/>
      </c>
      <c r="BN647" s="69">
        <f>IF($E647=BN$8,$G647,0)</f>
        <v/>
      </c>
      <c r="BO647" s="69">
        <f>IF($E647=BO$8,$G647,0)</f>
        <v/>
      </c>
      <c r="BP647" s="69">
        <f>IF($E647=BP$8,$G647,0)</f>
        <v/>
      </c>
      <c r="BQ647" s="69">
        <f>IF($E647=BQ$8,$G647,0)</f>
        <v/>
      </c>
      <c r="BR647" s="69">
        <f>IF($E647=BR$8,$G647,0)</f>
        <v/>
      </c>
      <c r="BS647" s="69">
        <f>IF($E647=BS$8,$G647,0)</f>
        <v/>
      </c>
      <c r="BT647" s="69">
        <f>IF($E647=BT$8,$G647,0)</f>
        <v/>
      </c>
      <c r="BU647" s="69">
        <f>IF($E647=BU$8,$G647,0)</f>
        <v/>
      </c>
      <c r="BV647" s="69">
        <f>IF($E647=BV$8,$G647,0)</f>
        <v/>
      </c>
      <c r="BW647" s="69">
        <f>IF($E647=BW$8,$G647,0)</f>
        <v/>
      </c>
      <c r="BX647" s="69">
        <f>IF($E647=BX$8,$G647,0)</f>
        <v/>
      </c>
      <c r="BY647" s="69">
        <f>IF($E647=BY$8,$G647,0)</f>
        <v/>
      </c>
      <c r="BZ647" s="69">
        <f>IF($E647=BZ$8,$G647,0)</f>
        <v/>
      </c>
      <c r="CA647" s="69">
        <f>IF($E647=CA$8,$G647,0)</f>
        <v/>
      </c>
      <c r="CB647" s="69">
        <f>IF($E647=CB$8,$G647,0)</f>
        <v/>
      </c>
      <c r="CC647" s="69">
        <f>IF($E647=CC$8,$G647,0)</f>
        <v/>
      </c>
      <c r="CD647" s="69">
        <f>IF($E647=CD$8,$G647,0)</f>
        <v/>
      </c>
      <c r="CE647" s="69">
        <f>IF($E647=CE$8,$G647,0)</f>
        <v/>
      </c>
      <c r="CF647" s="69">
        <f>IF($E647=CF$8,$G647,0)</f>
        <v/>
      </c>
      <c r="CG647" s="69">
        <f>IF($E647=CG$8,$G647,0)</f>
        <v/>
      </c>
      <c r="CH647" s="69">
        <f>IF($E647=CH$8,$G647,0)</f>
        <v/>
      </c>
      <c r="CI647" s="69">
        <f>IF($E647=CI$8,$G647,0)</f>
        <v/>
      </c>
      <c r="CJ647" s="69">
        <f>IF($E647=CJ$8,$G647,0)</f>
        <v/>
      </c>
      <c r="CK647" s="69">
        <f>IF($E647=CK$8,$G647,0)</f>
        <v/>
      </c>
      <c r="CL647" s="69">
        <f>IF($E647=CL$8,$G647,0)</f>
        <v/>
      </c>
      <c r="CM647" s="69">
        <f>IF($E647=CM$8,$G647,0)</f>
        <v/>
      </c>
      <c r="CN647" s="69">
        <f>IF($E647=CN$8,$G647,0)</f>
        <v/>
      </c>
      <c r="CO647" s="69">
        <f>IF($E647=CO$8,$G647,0)</f>
        <v/>
      </c>
      <c r="CP647" s="69">
        <f>IF($E647=CP$8,$G647,0)</f>
        <v/>
      </c>
      <c r="CQ647" s="69">
        <f>IF($E647=CQ$8,$G647,0)</f>
        <v/>
      </c>
      <c r="CR647" s="69">
        <f>IF($E647=CR$8,$G647,0)</f>
        <v/>
      </c>
      <c r="CS647" s="69">
        <f>IF($E647=CS$8,$G647,0)</f>
        <v/>
      </c>
      <c r="CT647" s="69">
        <f>IF($E647=CT$8,$G647,0)</f>
        <v/>
      </c>
      <c r="CU647" s="69">
        <f>IF($E647=CU$8,$G647,0)</f>
        <v/>
      </c>
      <c r="CV647" s="69">
        <f>IF($E647=CV$8,$G647,0)</f>
        <v/>
      </c>
      <c r="CW647" s="69">
        <f>IF($E647=CW$8,$G647,0)</f>
        <v/>
      </c>
      <c r="CX647" s="69">
        <f>IF($E647=CX$8,$G647,0)</f>
        <v/>
      </c>
      <c r="CY647" s="69">
        <f>IF($E647=CY$8,$G647,0)</f>
        <v/>
      </c>
      <c r="CZ647" s="69">
        <f>IF($E647=CZ$8,$G647,0)</f>
        <v/>
      </c>
      <c r="DA647" s="70">
        <f>IF($E647=DA$8,$G647,0)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JUNIO!$I648-JUNIO!$H648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IF($D648="AL",$G648,0)</f>
        <v/>
      </c>
      <c r="O648" s="66">
        <f>IF($D648="BA",$G648,0)</f>
        <v/>
      </c>
      <c r="P648" s="66">
        <f>IF($D648="GF",$G648,0)</f>
        <v/>
      </c>
      <c r="Q648" s="66">
        <f>IF($D648="OT",$G648,0)</f>
        <v/>
      </c>
      <c r="R648" s="67">
        <f>IF($D648="AS",$G648,0)</f>
        <v/>
      </c>
      <c r="S648" s="5" t="n"/>
      <c r="T648" s="68">
        <f>IF($E648=T$8,$G648,0)</f>
        <v/>
      </c>
      <c r="U648" s="69">
        <f>IF($E648=U$8,$G648,0)</f>
        <v/>
      </c>
      <c r="V648" s="69">
        <f>IF($E648=V$8,$G648,0)</f>
        <v/>
      </c>
      <c r="W648" s="69">
        <f>IF($E648=W$8,$G648,0)</f>
        <v/>
      </c>
      <c r="X648" s="69">
        <f>IF($E648=X$8,$G648,0)</f>
        <v/>
      </c>
      <c r="Y648" s="69">
        <f>IF($E648=Y$8,$G648,0)</f>
        <v/>
      </c>
      <c r="Z648" s="69">
        <f>IF($E648=Z$8,$G648,0)</f>
        <v/>
      </c>
      <c r="AA648" s="69">
        <f>IF($E648=AA$8,$G648,0)</f>
        <v/>
      </c>
      <c r="AB648" s="69">
        <f>IF($E648=AB$8,$G648,0)</f>
        <v/>
      </c>
      <c r="AC648" s="69">
        <f>IF($E648=AC$8,$G648,0)</f>
        <v/>
      </c>
      <c r="AD648" s="69">
        <f>IF($E648=AD$8,$G648,0)</f>
        <v/>
      </c>
      <c r="AE648" s="69">
        <f>IF($E648=AE$8,$G648,0)</f>
        <v/>
      </c>
      <c r="AF648" s="69">
        <f>IF($E648=AF$8,$G648,0)</f>
        <v/>
      </c>
      <c r="AG648" s="69">
        <f>IF($E648=AG$8,$G648,0)</f>
        <v/>
      </c>
      <c r="AH648" s="69">
        <f>IF($E648=AH$8,$G648,0)</f>
        <v/>
      </c>
      <c r="AI648" s="69">
        <f>IF($E648=AI$8,$G648,0)</f>
        <v/>
      </c>
      <c r="AJ648" s="69">
        <f>IF($E648=AJ$8,$G648,0)</f>
        <v/>
      </c>
      <c r="AK648" s="69">
        <f>IF($E648=AK$8,$G648,0)</f>
        <v/>
      </c>
      <c r="AL648" s="69">
        <f>IF($E648=AL$8,$G648,0)</f>
        <v/>
      </c>
      <c r="AM648" s="69">
        <f>IF($E648=AM$8,$G648,0)</f>
        <v/>
      </c>
      <c r="AN648" s="69">
        <f>IF($E648=AN$8,$G648,0)</f>
        <v/>
      </c>
      <c r="AO648" s="69">
        <f>IF($E648=AO$8,$G648,0)</f>
        <v/>
      </c>
      <c r="AP648" s="69">
        <f>IF($E648=AP$8,$G648,0)</f>
        <v/>
      </c>
      <c r="AQ648" s="69">
        <f>IF($E648=AQ$8,$G648,0)</f>
        <v/>
      </c>
      <c r="AR648" s="69">
        <f>IF($E648=AR$8,$G648,0)</f>
        <v/>
      </c>
      <c r="AS648" s="69">
        <f>IF($E648=AS$8,$G648,0)</f>
        <v/>
      </c>
      <c r="AT648" s="69">
        <f>IF($E648=AT$8,$G648,0)</f>
        <v/>
      </c>
      <c r="AU648" s="69">
        <f>IF($E648=AU$8,$G648,0)</f>
        <v/>
      </c>
      <c r="AV648" s="69">
        <f>IF($E648=AV$8,$G648,0)</f>
        <v/>
      </c>
      <c r="AW648" s="69">
        <f>IF($E648=AW$8,$G648,0)</f>
        <v/>
      </c>
      <c r="AX648" s="69">
        <f>IF($E648=AX$8,$G648,0)</f>
        <v/>
      </c>
      <c r="AY648" s="69">
        <f>IF($E648=AY$8,$G648,0)</f>
        <v/>
      </c>
      <c r="AZ648" s="69">
        <f>IF($E648=AZ$8,$G648,0)</f>
        <v/>
      </c>
      <c r="BA648" s="69">
        <f>IF($E648=BA$8,$G648,0)</f>
        <v/>
      </c>
      <c r="BB648" s="69">
        <f>IF($E648=BB$8,$G648,0)</f>
        <v/>
      </c>
      <c r="BC648" s="69">
        <f>IF($E648=BC$8,$G648,0)</f>
        <v/>
      </c>
      <c r="BD648" s="69">
        <f>IF($E648=BD$8,$G648,0)</f>
        <v/>
      </c>
      <c r="BE648" s="69">
        <f>IF($E648=BE$8,$G648,0)</f>
        <v/>
      </c>
      <c r="BF648" s="69">
        <f>IF($E648=BF$8,$G648,0)</f>
        <v/>
      </c>
      <c r="BG648" s="69">
        <f>IF($E648=BG$8,$G648,0)</f>
        <v/>
      </c>
      <c r="BH648" s="69">
        <f>IF($E648=BH$8,$G648,0)</f>
        <v/>
      </c>
      <c r="BI648" s="69">
        <f>IF($E648=BI$8,$G648,0)</f>
        <v/>
      </c>
      <c r="BJ648" s="69">
        <f>IF($E648=BJ$8,$G648,0)</f>
        <v/>
      </c>
      <c r="BK648" s="69">
        <f>IF($E648=BK$8,$G648,0)</f>
        <v/>
      </c>
      <c r="BL648" s="69">
        <f>IF($E648=BL$8,$G648,0)</f>
        <v/>
      </c>
      <c r="BM648" s="69">
        <f>IF($E648=BM$8,$G648,0)</f>
        <v/>
      </c>
      <c r="BN648" s="69">
        <f>IF($E648=BN$8,$G648,0)</f>
        <v/>
      </c>
      <c r="BO648" s="69">
        <f>IF($E648=BO$8,$G648,0)</f>
        <v/>
      </c>
      <c r="BP648" s="69">
        <f>IF($E648=BP$8,$G648,0)</f>
        <v/>
      </c>
      <c r="BQ648" s="69">
        <f>IF($E648=BQ$8,$G648,0)</f>
        <v/>
      </c>
      <c r="BR648" s="69">
        <f>IF($E648=BR$8,$G648,0)</f>
        <v/>
      </c>
      <c r="BS648" s="69">
        <f>IF($E648=BS$8,$G648,0)</f>
        <v/>
      </c>
      <c r="BT648" s="69">
        <f>IF($E648=BT$8,$G648,0)</f>
        <v/>
      </c>
      <c r="BU648" s="69">
        <f>IF($E648=BU$8,$G648,0)</f>
        <v/>
      </c>
      <c r="BV648" s="69">
        <f>IF($E648=BV$8,$G648,0)</f>
        <v/>
      </c>
      <c r="BW648" s="69">
        <f>IF($E648=BW$8,$G648,0)</f>
        <v/>
      </c>
      <c r="BX648" s="69">
        <f>IF($E648=BX$8,$G648,0)</f>
        <v/>
      </c>
      <c r="BY648" s="69">
        <f>IF($E648=BY$8,$G648,0)</f>
        <v/>
      </c>
      <c r="BZ648" s="69">
        <f>IF($E648=BZ$8,$G648,0)</f>
        <v/>
      </c>
      <c r="CA648" s="69">
        <f>IF($E648=CA$8,$G648,0)</f>
        <v/>
      </c>
      <c r="CB648" s="69">
        <f>IF($E648=CB$8,$G648,0)</f>
        <v/>
      </c>
      <c r="CC648" s="69">
        <f>IF($E648=CC$8,$G648,0)</f>
        <v/>
      </c>
      <c r="CD648" s="69">
        <f>IF($E648=CD$8,$G648,0)</f>
        <v/>
      </c>
      <c r="CE648" s="69">
        <f>IF($E648=CE$8,$G648,0)</f>
        <v/>
      </c>
      <c r="CF648" s="69">
        <f>IF($E648=CF$8,$G648,0)</f>
        <v/>
      </c>
      <c r="CG648" s="69">
        <f>IF($E648=CG$8,$G648,0)</f>
        <v/>
      </c>
      <c r="CH648" s="69">
        <f>IF($E648=CH$8,$G648,0)</f>
        <v/>
      </c>
      <c r="CI648" s="69">
        <f>IF($E648=CI$8,$G648,0)</f>
        <v/>
      </c>
      <c r="CJ648" s="69">
        <f>IF($E648=CJ$8,$G648,0)</f>
        <v/>
      </c>
      <c r="CK648" s="69">
        <f>IF($E648=CK$8,$G648,0)</f>
        <v/>
      </c>
      <c r="CL648" s="69">
        <f>IF($E648=CL$8,$G648,0)</f>
        <v/>
      </c>
      <c r="CM648" s="69">
        <f>IF($E648=CM$8,$G648,0)</f>
        <v/>
      </c>
      <c r="CN648" s="69">
        <f>IF($E648=CN$8,$G648,0)</f>
        <v/>
      </c>
      <c r="CO648" s="69">
        <f>IF($E648=CO$8,$G648,0)</f>
        <v/>
      </c>
      <c r="CP648" s="69">
        <f>IF($E648=CP$8,$G648,0)</f>
        <v/>
      </c>
      <c r="CQ648" s="69">
        <f>IF($E648=CQ$8,$G648,0)</f>
        <v/>
      </c>
      <c r="CR648" s="69">
        <f>IF($E648=CR$8,$G648,0)</f>
        <v/>
      </c>
      <c r="CS648" s="69">
        <f>IF($E648=CS$8,$G648,0)</f>
        <v/>
      </c>
      <c r="CT648" s="69">
        <f>IF($E648=CT$8,$G648,0)</f>
        <v/>
      </c>
      <c r="CU648" s="69">
        <f>IF($E648=CU$8,$G648,0)</f>
        <v/>
      </c>
      <c r="CV648" s="69">
        <f>IF($E648=CV$8,$G648,0)</f>
        <v/>
      </c>
      <c r="CW648" s="69">
        <f>IF($E648=CW$8,$G648,0)</f>
        <v/>
      </c>
      <c r="CX648" s="69">
        <f>IF($E648=CX$8,$G648,0)</f>
        <v/>
      </c>
      <c r="CY648" s="69">
        <f>IF($E648=CY$8,$G648,0)</f>
        <v/>
      </c>
      <c r="CZ648" s="69">
        <f>IF($E648=CZ$8,$G648,0)</f>
        <v/>
      </c>
      <c r="DA648" s="70">
        <f>IF($E648=DA$8,$G648,0)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JUNIO!$I649-JUNIO!$H649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IF($D649="AL",$G649,0)</f>
        <v/>
      </c>
      <c r="O649" s="66">
        <f>IF($D649="BA",$G649,0)</f>
        <v/>
      </c>
      <c r="P649" s="66">
        <f>IF($D649="GF",$G649,0)</f>
        <v/>
      </c>
      <c r="Q649" s="66">
        <f>IF($D649="OT",$G649,0)</f>
        <v/>
      </c>
      <c r="R649" s="67">
        <f>IF($D649="AS",$G649,0)</f>
        <v/>
      </c>
      <c r="S649" s="5" t="n"/>
      <c r="T649" s="68">
        <f>IF($E649=T$8,$G649,0)</f>
        <v/>
      </c>
      <c r="U649" s="69">
        <f>IF($E649=U$8,$G649,0)</f>
        <v/>
      </c>
      <c r="V649" s="69">
        <f>IF($E649=V$8,$G649,0)</f>
        <v/>
      </c>
      <c r="W649" s="69">
        <f>IF($E649=W$8,$G649,0)</f>
        <v/>
      </c>
      <c r="X649" s="69">
        <f>IF($E649=X$8,$G649,0)</f>
        <v/>
      </c>
      <c r="Y649" s="69">
        <f>IF($E649=Y$8,$G649,0)</f>
        <v/>
      </c>
      <c r="Z649" s="69">
        <f>IF($E649=Z$8,$G649,0)</f>
        <v/>
      </c>
      <c r="AA649" s="69">
        <f>IF($E649=AA$8,$G649,0)</f>
        <v/>
      </c>
      <c r="AB649" s="69">
        <f>IF($E649=AB$8,$G649,0)</f>
        <v/>
      </c>
      <c r="AC649" s="69">
        <f>IF($E649=AC$8,$G649,0)</f>
        <v/>
      </c>
      <c r="AD649" s="69">
        <f>IF($E649=AD$8,$G649,0)</f>
        <v/>
      </c>
      <c r="AE649" s="69">
        <f>IF($E649=AE$8,$G649,0)</f>
        <v/>
      </c>
      <c r="AF649" s="69">
        <f>IF($E649=AF$8,$G649,0)</f>
        <v/>
      </c>
      <c r="AG649" s="69">
        <f>IF($E649=AG$8,$G649,0)</f>
        <v/>
      </c>
      <c r="AH649" s="69">
        <f>IF($E649=AH$8,$G649,0)</f>
        <v/>
      </c>
      <c r="AI649" s="69">
        <f>IF($E649=AI$8,$G649,0)</f>
        <v/>
      </c>
      <c r="AJ649" s="69">
        <f>IF($E649=AJ$8,$G649,0)</f>
        <v/>
      </c>
      <c r="AK649" s="69">
        <f>IF($E649=AK$8,$G649,0)</f>
        <v/>
      </c>
      <c r="AL649" s="69">
        <f>IF($E649=AL$8,$G649,0)</f>
        <v/>
      </c>
      <c r="AM649" s="69">
        <f>IF($E649=AM$8,$G649,0)</f>
        <v/>
      </c>
      <c r="AN649" s="69">
        <f>IF($E649=AN$8,$G649,0)</f>
        <v/>
      </c>
      <c r="AO649" s="69">
        <f>IF($E649=AO$8,$G649,0)</f>
        <v/>
      </c>
      <c r="AP649" s="69">
        <f>IF($E649=AP$8,$G649,0)</f>
        <v/>
      </c>
      <c r="AQ649" s="69">
        <f>IF($E649=AQ$8,$G649,0)</f>
        <v/>
      </c>
      <c r="AR649" s="69">
        <f>IF($E649=AR$8,$G649,0)</f>
        <v/>
      </c>
      <c r="AS649" s="69">
        <f>IF($E649=AS$8,$G649,0)</f>
        <v/>
      </c>
      <c r="AT649" s="69">
        <f>IF($E649=AT$8,$G649,0)</f>
        <v/>
      </c>
      <c r="AU649" s="69">
        <f>IF($E649=AU$8,$G649,0)</f>
        <v/>
      </c>
      <c r="AV649" s="69">
        <f>IF($E649=AV$8,$G649,0)</f>
        <v/>
      </c>
      <c r="AW649" s="69">
        <f>IF($E649=AW$8,$G649,0)</f>
        <v/>
      </c>
      <c r="AX649" s="69">
        <f>IF($E649=AX$8,$G649,0)</f>
        <v/>
      </c>
      <c r="AY649" s="69">
        <f>IF($E649=AY$8,$G649,0)</f>
        <v/>
      </c>
      <c r="AZ649" s="69">
        <f>IF($E649=AZ$8,$G649,0)</f>
        <v/>
      </c>
      <c r="BA649" s="69">
        <f>IF($E649=BA$8,$G649,0)</f>
        <v/>
      </c>
      <c r="BB649" s="69">
        <f>IF($E649=BB$8,$G649,0)</f>
        <v/>
      </c>
      <c r="BC649" s="69">
        <f>IF($E649=BC$8,$G649,0)</f>
        <v/>
      </c>
      <c r="BD649" s="69">
        <f>IF($E649=BD$8,$G649,0)</f>
        <v/>
      </c>
      <c r="BE649" s="69">
        <f>IF($E649=BE$8,$G649,0)</f>
        <v/>
      </c>
      <c r="BF649" s="69">
        <f>IF($E649=BF$8,$G649,0)</f>
        <v/>
      </c>
      <c r="BG649" s="69">
        <f>IF($E649=BG$8,$G649,0)</f>
        <v/>
      </c>
      <c r="BH649" s="69">
        <f>IF($E649=BH$8,$G649,0)</f>
        <v/>
      </c>
      <c r="BI649" s="69">
        <f>IF($E649=BI$8,$G649,0)</f>
        <v/>
      </c>
      <c r="BJ649" s="69">
        <f>IF($E649=BJ$8,$G649,0)</f>
        <v/>
      </c>
      <c r="BK649" s="69">
        <f>IF($E649=BK$8,$G649,0)</f>
        <v/>
      </c>
      <c r="BL649" s="69">
        <f>IF($E649=BL$8,$G649,0)</f>
        <v/>
      </c>
      <c r="BM649" s="69">
        <f>IF($E649=BM$8,$G649,0)</f>
        <v/>
      </c>
      <c r="BN649" s="69">
        <f>IF($E649=BN$8,$G649,0)</f>
        <v/>
      </c>
      <c r="BO649" s="69">
        <f>IF($E649=BO$8,$G649,0)</f>
        <v/>
      </c>
      <c r="BP649" s="69">
        <f>IF($E649=BP$8,$G649,0)</f>
        <v/>
      </c>
      <c r="BQ649" s="69">
        <f>IF($E649=BQ$8,$G649,0)</f>
        <v/>
      </c>
      <c r="BR649" s="69">
        <f>IF($E649=BR$8,$G649,0)</f>
        <v/>
      </c>
      <c r="BS649" s="69">
        <f>IF($E649=BS$8,$G649,0)</f>
        <v/>
      </c>
      <c r="BT649" s="69">
        <f>IF($E649=BT$8,$G649,0)</f>
        <v/>
      </c>
      <c r="BU649" s="69">
        <f>IF($E649=BU$8,$G649,0)</f>
        <v/>
      </c>
      <c r="BV649" s="69">
        <f>IF($E649=BV$8,$G649,0)</f>
        <v/>
      </c>
      <c r="BW649" s="69">
        <f>IF($E649=BW$8,$G649,0)</f>
        <v/>
      </c>
      <c r="BX649" s="69">
        <f>IF($E649=BX$8,$G649,0)</f>
        <v/>
      </c>
      <c r="BY649" s="69">
        <f>IF($E649=BY$8,$G649,0)</f>
        <v/>
      </c>
      <c r="BZ649" s="69">
        <f>IF($E649=BZ$8,$G649,0)</f>
        <v/>
      </c>
      <c r="CA649" s="69">
        <f>IF($E649=CA$8,$G649,0)</f>
        <v/>
      </c>
      <c r="CB649" s="69">
        <f>IF($E649=CB$8,$G649,0)</f>
        <v/>
      </c>
      <c r="CC649" s="69">
        <f>IF($E649=CC$8,$G649,0)</f>
        <v/>
      </c>
      <c r="CD649" s="69">
        <f>IF($E649=CD$8,$G649,0)</f>
        <v/>
      </c>
      <c r="CE649" s="69">
        <f>IF($E649=CE$8,$G649,0)</f>
        <v/>
      </c>
      <c r="CF649" s="69">
        <f>IF($E649=CF$8,$G649,0)</f>
        <v/>
      </c>
      <c r="CG649" s="69">
        <f>IF($E649=CG$8,$G649,0)</f>
        <v/>
      </c>
      <c r="CH649" s="69">
        <f>IF($E649=CH$8,$G649,0)</f>
        <v/>
      </c>
      <c r="CI649" s="69">
        <f>IF($E649=CI$8,$G649,0)</f>
        <v/>
      </c>
      <c r="CJ649" s="69">
        <f>IF($E649=CJ$8,$G649,0)</f>
        <v/>
      </c>
      <c r="CK649" s="69">
        <f>IF($E649=CK$8,$G649,0)</f>
        <v/>
      </c>
      <c r="CL649" s="69">
        <f>IF($E649=CL$8,$G649,0)</f>
        <v/>
      </c>
      <c r="CM649" s="69">
        <f>IF($E649=CM$8,$G649,0)</f>
        <v/>
      </c>
      <c r="CN649" s="69">
        <f>IF($E649=CN$8,$G649,0)</f>
        <v/>
      </c>
      <c r="CO649" s="69">
        <f>IF($E649=CO$8,$G649,0)</f>
        <v/>
      </c>
      <c r="CP649" s="69">
        <f>IF($E649=CP$8,$G649,0)</f>
        <v/>
      </c>
      <c r="CQ649" s="69">
        <f>IF($E649=CQ$8,$G649,0)</f>
        <v/>
      </c>
      <c r="CR649" s="69">
        <f>IF($E649=CR$8,$G649,0)</f>
        <v/>
      </c>
      <c r="CS649" s="69">
        <f>IF($E649=CS$8,$G649,0)</f>
        <v/>
      </c>
      <c r="CT649" s="69">
        <f>IF($E649=CT$8,$G649,0)</f>
        <v/>
      </c>
      <c r="CU649" s="69">
        <f>IF($E649=CU$8,$G649,0)</f>
        <v/>
      </c>
      <c r="CV649" s="69">
        <f>IF($E649=CV$8,$G649,0)</f>
        <v/>
      </c>
      <c r="CW649" s="69">
        <f>IF($E649=CW$8,$G649,0)</f>
        <v/>
      </c>
      <c r="CX649" s="69">
        <f>IF($E649=CX$8,$G649,0)</f>
        <v/>
      </c>
      <c r="CY649" s="69">
        <f>IF($E649=CY$8,$G649,0)</f>
        <v/>
      </c>
      <c r="CZ649" s="69">
        <f>IF($E649=CZ$8,$G649,0)</f>
        <v/>
      </c>
      <c r="DA649" s="70">
        <f>IF($E649=DA$8,$G649,0)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JUNIO!$I650-JUNIO!$H650</f>
        <v/>
      </c>
      <c r="H650" s="121" t="n"/>
      <c r="I650" s="121" t="n"/>
      <c r="J650" s="123" t="n"/>
      <c r="K650" s="120" t="n"/>
      <c r="L650" s="64" t="n"/>
      <c r="M650" s="5" t="n"/>
      <c r="N650" s="71">
        <f>IF($D650="AL",$G650,0)</f>
        <v/>
      </c>
      <c r="O650" s="66">
        <f>IF($D650="BA",$G650,0)</f>
        <v/>
      </c>
      <c r="P650" s="66">
        <f>IF($D650="GF",$G650,0)</f>
        <v/>
      </c>
      <c r="Q650" s="66">
        <f>IF($D650="OT",$G650,0)</f>
        <v/>
      </c>
      <c r="R650" s="67">
        <f>IF($D650="AS",$G650,0)</f>
        <v/>
      </c>
      <c r="S650" s="5" t="n"/>
      <c r="T650" s="68">
        <f>IF($E650=T$8,$G650,0)</f>
        <v/>
      </c>
      <c r="U650" s="69">
        <f>IF($E650=U$8,$G650,0)</f>
        <v/>
      </c>
      <c r="V650" s="69">
        <f>IF($E650=V$8,$G650,0)</f>
        <v/>
      </c>
      <c r="W650" s="69">
        <f>IF($E650=W$8,$G650,0)</f>
        <v/>
      </c>
      <c r="X650" s="69">
        <f>IF($E650=X$8,$G650,0)</f>
        <v/>
      </c>
      <c r="Y650" s="69">
        <f>IF($E650=Y$8,$G650,0)</f>
        <v/>
      </c>
      <c r="Z650" s="69">
        <f>IF($E650=Z$8,$G650,0)</f>
        <v/>
      </c>
      <c r="AA650" s="69">
        <f>IF($E650=AA$8,$G650,0)</f>
        <v/>
      </c>
      <c r="AB650" s="69">
        <f>IF($E650=AB$8,$G650,0)</f>
        <v/>
      </c>
      <c r="AC650" s="69">
        <f>IF($E650=AC$8,$G650,0)</f>
        <v/>
      </c>
      <c r="AD650" s="69">
        <f>IF($E650=AD$8,$G650,0)</f>
        <v/>
      </c>
      <c r="AE650" s="69">
        <f>IF($E650=AE$8,$G650,0)</f>
        <v/>
      </c>
      <c r="AF650" s="69">
        <f>IF($E650=AF$8,$G650,0)</f>
        <v/>
      </c>
      <c r="AG650" s="69">
        <f>IF($E650=AG$8,$G650,0)</f>
        <v/>
      </c>
      <c r="AH650" s="69">
        <f>IF($E650=AH$8,$G650,0)</f>
        <v/>
      </c>
      <c r="AI650" s="69">
        <f>IF($E650=AI$8,$G650,0)</f>
        <v/>
      </c>
      <c r="AJ650" s="69">
        <f>IF($E650=AJ$8,$G650,0)</f>
        <v/>
      </c>
      <c r="AK650" s="69">
        <f>IF($E650=AK$8,$G650,0)</f>
        <v/>
      </c>
      <c r="AL650" s="69">
        <f>IF($E650=AL$8,$G650,0)</f>
        <v/>
      </c>
      <c r="AM650" s="69">
        <f>IF($E650=AM$8,$G650,0)</f>
        <v/>
      </c>
      <c r="AN650" s="69">
        <f>IF($E650=AN$8,$G650,0)</f>
        <v/>
      </c>
      <c r="AO650" s="69">
        <f>IF($E650=AO$8,$G650,0)</f>
        <v/>
      </c>
      <c r="AP650" s="69">
        <f>IF($E650=AP$8,$G650,0)</f>
        <v/>
      </c>
      <c r="AQ650" s="69">
        <f>IF($E650=AQ$8,$G650,0)</f>
        <v/>
      </c>
      <c r="AR650" s="69">
        <f>IF($E650=AR$8,$G650,0)</f>
        <v/>
      </c>
      <c r="AS650" s="69">
        <f>IF($E650=AS$8,$G650,0)</f>
        <v/>
      </c>
      <c r="AT650" s="69">
        <f>IF($E650=AT$8,$G650,0)</f>
        <v/>
      </c>
      <c r="AU650" s="69">
        <f>IF($E650=AU$8,$G650,0)</f>
        <v/>
      </c>
      <c r="AV650" s="69">
        <f>IF($E650=AV$8,$G650,0)</f>
        <v/>
      </c>
      <c r="AW650" s="69">
        <f>IF($E650=AW$8,$G650,0)</f>
        <v/>
      </c>
      <c r="AX650" s="69">
        <f>IF($E650=AX$8,$G650,0)</f>
        <v/>
      </c>
      <c r="AY650" s="69">
        <f>IF($E650=AY$8,$G650,0)</f>
        <v/>
      </c>
      <c r="AZ650" s="69">
        <f>IF($E650=AZ$8,$G650,0)</f>
        <v/>
      </c>
      <c r="BA650" s="69">
        <f>IF($E650=BA$8,$G650,0)</f>
        <v/>
      </c>
      <c r="BB650" s="69">
        <f>IF($E650=BB$8,$G650,0)</f>
        <v/>
      </c>
      <c r="BC650" s="69">
        <f>IF($E650=BC$8,$G650,0)</f>
        <v/>
      </c>
      <c r="BD650" s="69">
        <f>IF($E650=BD$8,$G650,0)</f>
        <v/>
      </c>
      <c r="BE650" s="69">
        <f>IF($E650=BE$8,$G650,0)</f>
        <v/>
      </c>
      <c r="BF650" s="69">
        <f>IF($E650=BF$8,$G650,0)</f>
        <v/>
      </c>
      <c r="BG650" s="69">
        <f>IF($E650=BG$8,$G650,0)</f>
        <v/>
      </c>
      <c r="BH650" s="69">
        <f>IF($E650=BH$8,$G650,0)</f>
        <v/>
      </c>
      <c r="BI650" s="69">
        <f>IF($E650=BI$8,$G650,0)</f>
        <v/>
      </c>
      <c r="BJ650" s="69">
        <f>IF($E650=BJ$8,$G650,0)</f>
        <v/>
      </c>
      <c r="BK650" s="69">
        <f>IF($E650=BK$8,$G650,0)</f>
        <v/>
      </c>
      <c r="BL650" s="69">
        <f>IF($E650=BL$8,$G650,0)</f>
        <v/>
      </c>
      <c r="BM650" s="69">
        <f>IF($E650=BM$8,$G650,0)</f>
        <v/>
      </c>
      <c r="BN650" s="69">
        <f>IF($E650=BN$8,$G650,0)</f>
        <v/>
      </c>
      <c r="BO650" s="69">
        <f>IF($E650=BO$8,$G650,0)</f>
        <v/>
      </c>
      <c r="BP650" s="69">
        <f>IF($E650=BP$8,$G650,0)</f>
        <v/>
      </c>
      <c r="BQ650" s="69">
        <f>IF($E650=BQ$8,$G650,0)</f>
        <v/>
      </c>
      <c r="BR650" s="69">
        <f>IF($E650=BR$8,$G650,0)</f>
        <v/>
      </c>
      <c r="BS650" s="69">
        <f>IF($E650=BS$8,$G650,0)</f>
        <v/>
      </c>
      <c r="BT650" s="69">
        <f>IF($E650=BT$8,$G650,0)</f>
        <v/>
      </c>
      <c r="BU650" s="69">
        <f>IF($E650=BU$8,$G650,0)</f>
        <v/>
      </c>
      <c r="BV650" s="69">
        <f>IF($E650=BV$8,$G650,0)</f>
        <v/>
      </c>
      <c r="BW650" s="69">
        <f>IF($E650=BW$8,$G650,0)</f>
        <v/>
      </c>
      <c r="BX650" s="69">
        <f>IF($E650=BX$8,$G650,0)</f>
        <v/>
      </c>
      <c r="BY650" s="69">
        <f>IF($E650=BY$8,$G650,0)</f>
        <v/>
      </c>
      <c r="BZ650" s="69">
        <f>IF($E650=BZ$8,$G650,0)</f>
        <v/>
      </c>
      <c r="CA650" s="69">
        <f>IF($E650=CA$8,$G650,0)</f>
        <v/>
      </c>
      <c r="CB650" s="69">
        <f>IF($E650=CB$8,$G650,0)</f>
        <v/>
      </c>
      <c r="CC650" s="69">
        <f>IF($E650=CC$8,$G650,0)</f>
        <v/>
      </c>
      <c r="CD650" s="69">
        <f>IF($E650=CD$8,$G650,0)</f>
        <v/>
      </c>
      <c r="CE650" s="69">
        <f>IF($E650=CE$8,$G650,0)</f>
        <v/>
      </c>
      <c r="CF650" s="69">
        <f>IF($E650=CF$8,$G650,0)</f>
        <v/>
      </c>
      <c r="CG650" s="69">
        <f>IF($E650=CG$8,$G650,0)</f>
        <v/>
      </c>
      <c r="CH650" s="69">
        <f>IF($E650=CH$8,$G650,0)</f>
        <v/>
      </c>
      <c r="CI650" s="69">
        <f>IF($E650=CI$8,$G650,0)</f>
        <v/>
      </c>
      <c r="CJ650" s="69">
        <f>IF($E650=CJ$8,$G650,0)</f>
        <v/>
      </c>
      <c r="CK650" s="69">
        <f>IF($E650=CK$8,$G650,0)</f>
        <v/>
      </c>
      <c r="CL650" s="69">
        <f>IF($E650=CL$8,$G650,0)</f>
        <v/>
      </c>
      <c r="CM650" s="69">
        <f>IF($E650=CM$8,$G650,0)</f>
        <v/>
      </c>
      <c r="CN650" s="69">
        <f>IF($E650=CN$8,$G650,0)</f>
        <v/>
      </c>
      <c r="CO650" s="69">
        <f>IF($E650=CO$8,$G650,0)</f>
        <v/>
      </c>
      <c r="CP650" s="69">
        <f>IF($E650=CP$8,$G650,0)</f>
        <v/>
      </c>
      <c r="CQ650" s="69">
        <f>IF($E650=CQ$8,$G650,0)</f>
        <v/>
      </c>
      <c r="CR650" s="69">
        <f>IF($E650=CR$8,$G650,0)</f>
        <v/>
      </c>
      <c r="CS650" s="69">
        <f>IF($E650=CS$8,$G650,0)</f>
        <v/>
      </c>
      <c r="CT650" s="69">
        <f>IF($E650=CT$8,$G650,0)</f>
        <v/>
      </c>
      <c r="CU650" s="69">
        <f>IF($E650=CU$8,$G650,0)</f>
        <v/>
      </c>
      <c r="CV650" s="69">
        <f>IF($E650=CV$8,$G650,0)</f>
        <v/>
      </c>
      <c r="CW650" s="69">
        <f>IF($E650=CW$8,$G650,0)</f>
        <v/>
      </c>
      <c r="CX650" s="69">
        <f>IF($E650=CX$8,$G650,0)</f>
        <v/>
      </c>
      <c r="CY650" s="69">
        <f>IF($E650=CY$8,$G650,0)</f>
        <v/>
      </c>
      <c r="CZ650" s="69">
        <f>IF($E650=CZ$8,$G650,0)</f>
        <v/>
      </c>
      <c r="DA650" s="70">
        <f>IF($E650=DA$8,$G650,0)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JUNIO!$I651-JUNIO!$H651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IF($D651="AL",$G651,0)</f>
        <v/>
      </c>
      <c r="O651" s="66">
        <f>IF($D651="BA",$G651,0)</f>
        <v/>
      </c>
      <c r="P651" s="66">
        <f>IF($D651="GF",$G651,0)</f>
        <v/>
      </c>
      <c r="Q651" s="66">
        <f>IF($D651="OT",$G651,0)</f>
        <v/>
      </c>
      <c r="R651" s="67">
        <f>IF($D651="AS",$G651,0)</f>
        <v/>
      </c>
      <c r="S651" s="5" t="n"/>
      <c r="T651" s="68">
        <f>IF($E651=T$8,$G651,0)</f>
        <v/>
      </c>
      <c r="U651" s="69">
        <f>IF($E651=U$8,$G651,0)</f>
        <v/>
      </c>
      <c r="V651" s="69">
        <f>IF($E651=V$8,$G651,0)</f>
        <v/>
      </c>
      <c r="W651" s="69">
        <f>IF($E651=W$8,$G651,0)</f>
        <v/>
      </c>
      <c r="X651" s="69">
        <f>IF($E651=X$8,$G651,0)</f>
        <v/>
      </c>
      <c r="Y651" s="69">
        <f>IF($E651=Y$8,$G651,0)</f>
        <v/>
      </c>
      <c r="Z651" s="69">
        <f>IF($E651=Z$8,$G651,0)</f>
        <v/>
      </c>
      <c r="AA651" s="69">
        <f>IF($E651=AA$8,$G651,0)</f>
        <v/>
      </c>
      <c r="AB651" s="69">
        <f>IF($E651=AB$8,$G651,0)</f>
        <v/>
      </c>
      <c r="AC651" s="69">
        <f>IF($E651=AC$8,$G651,0)</f>
        <v/>
      </c>
      <c r="AD651" s="69">
        <f>IF($E651=AD$8,$G651,0)</f>
        <v/>
      </c>
      <c r="AE651" s="69">
        <f>IF($E651=AE$8,$G651,0)</f>
        <v/>
      </c>
      <c r="AF651" s="69">
        <f>IF($E651=AF$8,$G651,0)</f>
        <v/>
      </c>
      <c r="AG651" s="69">
        <f>IF($E651=AG$8,$G651,0)</f>
        <v/>
      </c>
      <c r="AH651" s="69">
        <f>IF($E651=AH$8,$G651,0)</f>
        <v/>
      </c>
      <c r="AI651" s="69">
        <f>IF($E651=AI$8,$G651,0)</f>
        <v/>
      </c>
      <c r="AJ651" s="69">
        <f>IF($E651=AJ$8,$G651,0)</f>
        <v/>
      </c>
      <c r="AK651" s="69">
        <f>IF($E651=AK$8,$G651,0)</f>
        <v/>
      </c>
      <c r="AL651" s="69">
        <f>IF($E651=AL$8,$G651,0)</f>
        <v/>
      </c>
      <c r="AM651" s="69">
        <f>IF($E651=AM$8,$G651,0)</f>
        <v/>
      </c>
      <c r="AN651" s="69">
        <f>IF($E651=AN$8,$G651,0)</f>
        <v/>
      </c>
      <c r="AO651" s="69">
        <f>IF($E651=AO$8,$G651,0)</f>
        <v/>
      </c>
      <c r="AP651" s="69">
        <f>IF($E651=AP$8,$G651,0)</f>
        <v/>
      </c>
      <c r="AQ651" s="69">
        <f>IF($E651=AQ$8,$G651,0)</f>
        <v/>
      </c>
      <c r="AR651" s="69">
        <f>IF($E651=AR$8,$G651,0)</f>
        <v/>
      </c>
      <c r="AS651" s="69">
        <f>IF($E651=AS$8,$G651,0)</f>
        <v/>
      </c>
      <c r="AT651" s="69">
        <f>IF($E651=AT$8,$G651,0)</f>
        <v/>
      </c>
      <c r="AU651" s="69">
        <f>IF($E651=AU$8,$G651,0)</f>
        <v/>
      </c>
      <c r="AV651" s="69">
        <f>IF($E651=AV$8,$G651,0)</f>
        <v/>
      </c>
      <c r="AW651" s="69">
        <f>IF($E651=AW$8,$G651,0)</f>
        <v/>
      </c>
      <c r="AX651" s="69">
        <f>IF($E651=AX$8,$G651,0)</f>
        <v/>
      </c>
      <c r="AY651" s="69">
        <f>IF($E651=AY$8,$G651,0)</f>
        <v/>
      </c>
      <c r="AZ651" s="69">
        <f>IF($E651=AZ$8,$G651,0)</f>
        <v/>
      </c>
      <c r="BA651" s="69">
        <f>IF($E651=BA$8,$G651,0)</f>
        <v/>
      </c>
      <c r="BB651" s="69">
        <f>IF($E651=BB$8,$G651,0)</f>
        <v/>
      </c>
      <c r="BC651" s="69">
        <f>IF($E651=BC$8,$G651,0)</f>
        <v/>
      </c>
      <c r="BD651" s="69">
        <f>IF($E651=BD$8,$G651,0)</f>
        <v/>
      </c>
      <c r="BE651" s="69">
        <f>IF($E651=BE$8,$G651,0)</f>
        <v/>
      </c>
      <c r="BF651" s="69">
        <f>IF($E651=BF$8,$G651,0)</f>
        <v/>
      </c>
      <c r="BG651" s="69">
        <f>IF($E651=BG$8,$G651,0)</f>
        <v/>
      </c>
      <c r="BH651" s="69">
        <f>IF($E651=BH$8,$G651,0)</f>
        <v/>
      </c>
      <c r="BI651" s="69">
        <f>IF($E651=BI$8,$G651,0)</f>
        <v/>
      </c>
      <c r="BJ651" s="69">
        <f>IF($E651=BJ$8,$G651,0)</f>
        <v/>
      </c>
      <c r="BK651" s="69">
        <f>IF($E651=BK$8,$G651,0)</f>
        <v/>
      </c>
      <c r="BL651" s="69">
        <f>IF($E651=BL$8,$G651,0)</f>
        <v/>
      </c>
      <c r="BM651" s="69">
        <f>IF($E651=BM$8,$G651,0)</f>
        <v/>
      </c>
      <c r="BN651" s="69">
        <f>IF($E651=BN$8,$G651,0)</f>
        <v/>
      </c>
      <c r="BO651" s="69">
        <f>IF($E651=BO$8,$G651,0)</f>
        <v/>
      </c>
      <c r="BP651" s="69">
        <f>IF($E651=BP$8,$G651,0)</f>
        <v/>
      </c>
      <c r="BQ651" s="69">
        <f>IF($E651=BQ$8,$G651,0)</f>
        <v/>
      </c>
      <c r="BR651" s="69">
        <f>IF($E651=BR$8,$G651,0)</f>
        <v/>
      </c>
      <c r="BS651" s="69">
        <f>IF($E651=BS$8,$G651,0)</f>
        <v/>
      </c>
      <c r="BT651" s="69">
        <f>IF($E651=BT$8,$G651,0)</f>
        <v/>
      </c>
      <c r="BU651" s="69">
        <f>IF($E651=BU$8,$G651,0)</f>
        <v/>
      </c>
      <c r="BV651" s="69">
        <f>IF($E651=BV$8,$G651,0)</f>
        <v/>
      </c>
      <c r="BW651" s="69">
        <f>IF($E651=BW$8,$G651,0)</f>
        <v/>
      </c>
      <c r="BX651" s="69">
        <f>IF($E651=BX$8,$G651,0)</f>
        <v/>
      </c>
      <c r="BY651" s="69">
        <f>IF($E651=BY$8,$G651,0)</f>
        <v/>
      </c>
      <c r="BZ651" s="69">
        <f>IF($E651=BZ$8,$G651,0)</f>
        <v/>
      </c>
      <c r="CA651" s="69">
        <f>IF($E651=CA$8,$G651,0)</f>
        <v/>
      </c>
      <c r="CB651" s="69">
        <f>IF($E651=CB$8,$G651,0)</f>
        <v/>
      </c>
      <c r="CC651" s="69">
        <f>IF($E651=CC$8,$G651,0)</f>
        <v/>
      </c>
      <c r="CD651" s="69">
        <f>IF($E651=CD$8,$G651,0)</f>
        <v/>
      </c>
      <c r="CE651" s="69">
        <f>IF($E651=CE$8,$G651,0)</f>
        <v/>
      </c>
      <c r="CF651" s="69">
        <f>IF($E651=CF$8,$G651,0)</f>
        <v/>
      </c>
      <c r="CG651" s="69">
        <f>IF($E651=CG$8,$G651,0)</f>
        <v/>
      </c>
      <c r="CH651" s="69">
        <f>IF($E651=CH$8,$G651,0)</f>
        <v/>
      </c>
      <c r="CI651" s="69">
        <f>IF($E651=CI$8,$G651,0)</f>
        <v/>
      </c>
      <c r="CJ651" s="69">
        <f>IF($E651=CJ$8,$G651,0)</f>
        <v/>
      </c>
      <c r="CK651" s="69">
        <f>IF($E651=CK$8,$G651,0)</f>
        <v/>
      </c>
      <c r="CL651" s="69">
        <f>IF($E651=CL$8,$G651,0)</f>
        <v/>
      </c>
      <c r="CM651" s="69">
        <f>IF($E651=CM$8,$G651,0)</f>
        <v/>
      </c>
      <c r="CN651" s="69">
        <f>IF($E651=CN$8,$G651,0)</f>
        <v/>
      </c>
      <c r="CO651" s="69">
        <f>IF($E651=CO$8,$G651,0)</f>
        <v/>
      </c>
      <c r="CP651" s="69">
        <f>IF($E651=CP$8,$G651,0)</f>
        <v/>
      </c>
      <c r="CQ651" s="69">
        <f>IF($E651=CQ$8,$G651,0)</f>
        <v/>
      </c>
      <c r="CR651" s="69">
        <f>IF($E651=CR$8,$G651,0)</f>
        <v/>
      </c>
      <c r="CS651" s="69">
        <f>IF($E651=CS$8,$G651,0)</f>
        <v/>
      </c>
      <c r="CT651" s="69">
        <f>IF($E651=CT$8,$G651,0)</f>
        <v/>
      </c>
      <c r="CU651" s="69">
        <f>IF($E651=CU$8,$G651,0)</f>
        <v/>
      </c>
      <c r="CV651" s="69">
        <f>IF($E651=CV$8,$G651,0)</f>
        <v/>
      </c>
      <c r="CW651" s="69">
        <f>IF($E651=CW$8,$G651,0)</f>
        <v/>
      </c>
      <c r="CX651" s="69">
        <f>IF($E651=CX$8,$G651,0)</f>
        <v/>
      </c>
      <c r="CY651" s="69">
        <f>IF($E651=CY$8,$G651,0)</f>
        <v/>
      </c>
      <c r="CZ651" s="69">
        <f>IF($E651=CZ$8,$G651,0)</f>
        <v/>
      </c>
      <c r="DA651" s="70">
        <f>IF($E651=DA$8,$G651,0)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JUNIO!$I652-JUNIO!$H652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IF($D652="AL",$G652,0)</f>
        <v/>
      </c>
      <c r="O652" s="66">
        <f>IF($D652="BA",$G652,0)</f>
        <v/>
      </c>
      <c r="P652" s="66">
        <f>IF($D652="GF",$G652,0)</f>
        <v/>
      </c>
      <c r="Q652" s="66">
        <f>IF($D652="OT",$G652,0)</f>
        <v/>
      </c>
      <c r="R652" s="67">
        <f>IF($D652="AS",$G652,0)</f>
        <v/>
      </c>
      <c r="S652" s="5" t="n"/>
      <c r="T652" s="68">
        <f>IF($E652=T$8,$G652,0)</f>
        <v/>
      </c>
      <c r="U652" s="69">
        <f>IF($E652=U$8,$G652,0)</f>
        <v/>
      </c>
      <c r="V652" s="69">
        <f>IF($E652=V$8,$G652,0)</f>
        <v/>
      </c>
      <c r="W652" s="69">
        <f>IF($E652=W$8,$G652,0)</f>
        <v/>
      </c>
      <c r="X652" s="69">
        <f>IF($E652=X$8,$G652,0)</f>
        <v/>
      </c>
      <c r="Y652" s="69">
        <f>IF($E652=Y$8,$G652,0)</f>
        <v/>
      </c>
      <c r="Z652" s="69">
        <f>IF($E652=Z$8,$G652,0)</f>
        <v/>
      </c>
      <c r="AA652" s="69">
        <f>IF($E652=AA$8,$G652,0)</f>
        <v/>
      </c>
      <c r="AB652" s="69">
        <f>IF($E652=AB$8,$G652,0)</f>
        <v/>
      </c>
      <c r="AC652" s="69">
        <f>IF($E652=AC$8,$G652,0)</f>
        <v/>
      </c>
      <c r="AD652" s="69">
        <f>IF($E652=AD$8,$G652,0)</f>
        <v/>
      </c>
      <c r="AE652" s="69">
        <f>IF($E652=AE$8,$G652,0)</f>
        <v/>
      </c>
      <c r="AF652" s="69">
        <f>IF($E652=AF$8,$G652,0)</f>
        <v/>
      </c>
      <c r="AG652" s="69">
        <f>IF($E652=AG$8,$G652,0)</f>
        <v/>
      </c>
      <c r="AH652" s="69">
        <f>IF($E652=AH$8,$G652,0)</f>
        <v/>
      </c>
      <c r="AI652" s="69">
        <f>IF($E652=AI$8,$G652,0)</f>
        <v/>
      </c>
      <c r="AJ652" s="69">
        <f>IF($E652=AJ$8,$G652,0)</f>
        <v/>
      </c>
      <c r="AK652" s="69">
        <f>IF($E652=AK$8,$G652,0)</f>
        <v/>
      </c>
      <c r="AL652" s="69">
        <f>IF($E652=AL$8,$G652,0)</f>
        <v/>
      </c>
      <c r="AM652" s="69">
        <f>IF($E652=AM$8,$G652,0)</f>
        <v/>
      </c>
      <c r="AN652" s="69">
        <f>IF($E652=AN$8,$G652,0)</f>
        <v/>
      </c>
      <c r="AO652" s="69">
        <f>IF($E652=AO$8,$G652,0)</f>
        <v/>
      </c>
      <c r="AP652" s="69">
        <f>IF($E652=AP$8,$G652,0)</f>
        <v/>
      </c>
      <c r="AQ652" s="69">
        <f>IF($E652=AQ$8,$G652,0)</f>
        <v/>
      </c>
      <c r="AR652" s="69">
        <f>IF($E652=AR$8,$G652,0)</f>
        <v/>
      </c>
      <c r="AS652" s="69">
        <f>IF($E652=AS$8,$G652,0)</f>
        <v/>
      </c>
      <c r="AT652" s="69">
        <f>IF($E652=AT$8,$G652,0)</f>
        <v/>
      </c>
      <c r="AU652" s="69">
        <f>IF($E652=AU$8,$G652,0)</f>
        <v/>
      </c>
      <c r="AV652" s="69">
        <f>IF($E652=AV$8,$G652,0)</f>
        <v/>
      </c>
      <c r="AW652" s="69">
        <f>IF($E652=AW$8,$G652,0)</f>
        <v/>
      </c>
      <c r="AX652" s="69">
        <f>IF($E652=AX$8,$G652,0)</f>
        <v/>
      </c>
      <c r="AY652" s="69">
        <f>IF($E652=AY$8,$G652,0)</f>
        <v/>
      </c>
      <c r="AZ652" s="69">
        <f>IF($E652=AZ$8,$G652,0)</f>
        <v/>
      </c>
      <c r="BA652" s="69">
        <f>IF($E652=BA$8,$G652,0)</f>
        <v/>
      </c>
      <c r="BB652" s="69">
        <f>IF($E652=BB$8,$G652,0)</f>
        <v/>
      </c>
      <c r="BC652" s="69">
        <f>IF($E652=BC$8,$G652,0)</f>
        <v/>
      </c>
      <c r="BD652" s="69">
        <f>IF($E652=BD$8,$G652,0)</f>
        <v/>
      </c>
      <c r="BE652" s="69">
        <f>IF($E652=BE$8,$G652,0)</f>
        <v/>
      </c>
      <c r="BF652" s="69">
        <f>IF($E652=BF$8,$G652,0)</f>
        <v/>
      </c>
      <c r="BG652" s="69">
        <f>IF($E652=BG$8,$G652,0)</f>
        <v/>
      </c>
      <c r="BH652" s="69">
        <f>IF($E652=BH$8,$G652,0)</f>
        <v/>
      </c>
      <c r="BI652" s="69">
        <f>IF($E652=BI$8,$G652,0)</f>
        <v/>
      </c>
      <c r="BJ652" s="69">
        <f>IF($E652=BJ$8,$G652,0)</f>
        <v/>
      </c>
      <c r="BK652" s="69">
        <f>IF($E652=BK$8,$G652,0)</f>
        <v/>
      </c>
      <c r="BL652" s="69">
        <f>IF($E652=BL$8,$G652,0)</f>
        <v/>
      </c>
      <c r="BM652" s="69">
        <f>IF($E652=BM$8,$G652,0)</f>
        <v/>
      </c>
      <c r="BN652" s="69">
        <f>IF($E652=BN$8,$G652,0)</f>
        <v/>
      </c>
      <c r="BO652" s="69">
        <f>IF($E652=BO$8,$G652,0)</f>
        <v/>
      </c>
      <c r="BP652" s="69">
        <f>IF($E652=BP$8,$G652,0)</f>
        <v/>
      </c>
      <c r="BQ652" s="69">
        <f>IF($E652=BQ$8,$G652,0)</f>
        <v/>
      </c>
      <c r="BR652" s="69">
        <f>IF($E652=BR$8,$G652,0)</f>
        <v/>
      </c>
      <c r="BS652" s="69">
        <f>IF($E652=BS$8,$G652,0)</f>
        <v/>
      </c>
      <c r="BT652" s="69">
        <f>IF($E652=BT$8,$G652,0)</f>
        <v/>
      </c>
      <c r="BU652" s="69">
        <f>IF($E652=BU$8,$G652,0)</f>
        <v/>
      </c>
      <c r="BV652" s="69">
        <f>IF($E652=BV$8,$G652,0)</f>
        <v/>
      </c>
      <c r="BW652" s="69">
        <f>IF($E652=BW$8,$G652,0)</f>
        <v/>
      </c>
      <c r="BX652" s="69">
        <f>IF($E652=BX$8,$G652,0)</f>
        <v/>
      </c>
      <c r="BY652" s="69">
        <f>IF($E652=BY$8,$G652,0)</f>
        <v/>
      </c>
      <c r="BZ652" s="69">
        <f>IF($E652=BZ$8,$G652,0)</f>
        <v/>
      </c>
      <c r="CA652" s="69">
        <f>IF($E652=CA$8,$G652,0)</f>
        <v/>
      </c>
      <c r="CB652" s="69">
        <f>IF($E652=CB$8,$G652,0)</f>
        <v/>
      </c>
      <c r="CC652" s="69">
        <f>IF($E652=CC$8,$G652,0)</f>
        <v/>
      </c>
      <c r="CD652" s="69">
        <f>IF($E652=CD$8,$G652,0)</f>
        <v/>
      </c>
      <c r="CE652" s="69">
        <f>IF($E652=CE$8,$G652,0)</f>
        <v/>
      </c>
      <c r="CF652" s="69">
        <f>IF($E652=CF$8,$G652,0)</f>
        <v/>
      </c>
      <c r="CG652" s="69">
        <f>IF($E652=CG$8,$G652,0)</f>
        <v/>
      </c>
      <c r="CH652" s="69">
        <f>IF($E652=CH$8,$G652,0)</f>
        <v/>
      </c>
      <c r="CI652" s="69">
        <f>IF($E652=CI$8,$G652,0)</f>
        <v/>
      </c>
      <c r="CJ652" s="69">
        <f>IF($E652=CJ$8,$G652,0)</f>
        <v/>
      </c>
      <c r="CK652" s="69">
        <f>IF($E652=CK$8,$G652,0)</f>
        <v/>
      </c>
      <c r="CL652" s="69">
        <f>IF($E652=CL$8,$G652,0)</f>
        <v/>
      </c>
      <c r="CM652" s="69">
        <f>IF($E652=CM$8,$G652,0)</f>
        <v/>
      </c>
      <c r="CN652" s="69">
        <f>IF($E652=CN$8,$G652,0)</f>
        <v/>
      </c>
      <c r="CO652" s="69">
        <f>IF($E652=CO$8,$G652,0)</f>
        <v/>
      </c>
      <c r="CP652" s="69">
        <f>IF($E652=CP$8,$G652,0)</f>
        <v/>
      </c>
      <c r="CQ652" s="69">
        <f>IF($E652=CQ$8,$G652,0)</f>
        <v/>
      </c>
      <c r="CR652" s="69">
        <f>IF($E652=CR$8,$G652,0)</f>
        <v/>
      </c>
      <c r="CS652" s="69">
        <f>IF($E652=CS$8,$G652,0)</f>
        <v/>
      </c>
      <c r="CT652" s="69">
        <f>IF($E652=CT$8,$G652,0)</f>
        <v/>
      </c>
      <c r="CU652" s="69">
        <f>IF($E652=CU$8,$G652,0)</f>
        <v/>
      </c>
      <c r="CV652" s="69">
        <f>IF($E652=CV$8,$G652,0)</f>
        <v/>
      </c>
      <c r="CW652" s="69">
        <f>IF($E652=CW$8,$G652,0)</f>
        <v/>
      </c>
      <c r="CX652" s="69">
        <f>IF($E652=CX$8,$G652,0)</f>
        <v/>
      </c>
      <c r="CY652" s="69">
        <f>IF($E652=CY$8,$G652,0)</f>
        <v/>
      </c>
      <c r="CZ652" s="69">
        <f>IF($E652=CZ$8,$G652,0)</f>
        <v/>
      </c>
      <c r="DA652" s="70">
        <f>IF($E652=DA$8,$G652,0)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JUNIO!$I653-JUNIO!$H653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IF($D653="AL",$G653,0)</f>
        <v/>
      </c>
      <c r="O653" s="66">
        <f>IF($D653="BA",$G653,0)</f>
        <v/>
      </c>
      <c r="P653" s="66">
        <f>IF($D653="GF",$G653,0)</f>
        <v/>
      </c>
      <c r="Q653" s="66">
        <f>IF($D653="OT",$G653,0)</f>
        <v/>
      </c>
      <c r="R653" s="67">
        <f>IF($D653="AS",$G653,0)</f>
        <v/>
      </c>
      <c r="S653" s="5" t="n"/>
      <c r="T653" s="68">
        <f>IF($E653=T$8,$G653,0)</f>
        <v/>
      </c>
      <c r="U653" s="69">
        <f>IF($E653=U$8,$G653,0)</f>
        <v/>
      </c>
      <c r="V653" s="69">
        <f>IF($E653=V$8,$G653,0)</f>
        <v/>
      </c>
      <c r="W653" s="69">
        <f>IF($E653=W$8,$G653,0)</f>
        <v/>
      </c>
      <c r="X653" s="69">
        <f>IF($E653=X$8,$G653,0)</f>
        <v/>
      </c>
      <c r="Y653" s="69">
        <f>IF($E653=Y$8,$G653,0)</f>
        <v/>
      </c>
      <c r="Z653" s="69">
        <f>IF($E653=Z$8,$G653,0)</f>
        <v/>
      </c>
      <c r="AA653" s="69">
        <f>IF($E653=AA$8,$G653,0)</f>
        <v/>
      </c>
      <c r="AB653" s="69">
        <f>IF($E653=AB$8,$G653,0)</f>
        <v/>
      </c>
      <c r="AC653" s="69">
        <f>IF($E653=AC$8,$G653,0)</f>
        <v/>
      </c>
      <c r="AD653" s="69">
        <f>IF($E653=AD$8,$G653,0)</f>
        <v/>
      </c>
      <c r="AE653" s="69">
        <f>IF($E653=AE$8,$G653,0)</f>
        <v/>
      </c>
      <c r="AF653" s="69">
        <f>IF($E653=AF$8,$G653,0)</f>
        <v/>
      </c>
      <c r="AG653" s="69">
        <f>IF($E653=AG$8,$G653,0)</f>
        <v/>
      </c>
      <c r="AH653" s="69">
        <f>IF($E653=AH$8,$G653,0)</f>
        <v/>
      </c>
      <c r="AI653" s="69">
        <f>IF($E653=AI$8,$G653,0)</f>
        <v/>
      </c>
      <c r="AJ653" s="69">
        <f>IF($E653=AJ$8,$G653,0)</f>
        <v/>
      </c>
      <c r="AK653" s="69">
        <f>IF($E653=AK$8,$G653,0)</f>
        <v/>
      </c>
      <c r="AL653" s="69">
        <f>IF($E653=AL$8,$G653,0)</f>
        <v/>
      </c>
      <c r="AM653" s="69">
        <f>IF($E653=AM$8,$G653,0)</f>
        <v/>
      </c>
      <c r="AN653" s="69">
        <f>IF($E653=AN$8,$G653,0)</f>
        <v/>
      </c>
      <c r="AO653" s="69">
        <f>IF($E653=AO$8,$G653,0)</f>
        <v/>
      </c>
      <c r="AP653" s="69">
        <f>IF($E653=AP$8,$G653,0)</f>
        <v/>
      </c>
      <c r="AQ653" s="69">
        <f>IF($E653=AQ$8,$G653,0)</f>
        <v/>
      </c>
      <c r="AR653" s="69">
        <f>IF($E653=AR$8,$G653,0)</f>
        <v/>
      </c>
      <c r="AS653" s="69">
        <f>IF($E653=AS$8,$G653,0)</f>
        <v/>
      </c>
      <c r="AT653" s="69">
        <f>IF($E653=AT$8,$G653,0)</f>
        <v/>
      </c>
      <c r="AU653" s="69">
        <f>IF($E653=AU$8,$G653,0)</f>
        <v/>
      </c>
      <c r="AV653" s="69">
        <f>IF($E653=AV$8,$G653,0)</f>
        <v/>
      </c>
      <c r="AW653" s="69">
        <f>IF($E653=AW$8,$G653,0)</f>
        <v/>
      </c>
      <c r="AX653" s="69">
        <f>IF($E653=AX$8,$G653,0)</f>
        <v/>
      </c>
      <c r="AY653" s="69">
        <f>IF($E653=AY$8,$G653,0)</f>
        <v/>
      </c>
      <c r="AZ653" s="69">
        <f>IF($E653=AZ$8,$G653,0)</f>
        <v/>
      </c>
      <c r="BA653" s="69">
        <f>IF($E653=BA$8,$G653,0)</f>
        <v/>
      </c>
      <c r="BB653" s="69">
        <f>IF($E653=BB$8,$G653,0)</f>
        <v/>
      </c>
      <c r="BC653" s="69">
        <f>IF($E653=BC$8,$G653,0)</f>
        <v/>
      </c>
      <c r="BD653" s="69">
        <f>IF($E653=BD$8,$G653,0)</f>
        <v/>
      </c>
      <c r="BE653" s="69">
        <f>IF($E653=BE$8,$G653,0)</f>
        <v/>
      </c>
      <c r="BF653" s="69">
        <f>IF($E653=BF$8,$G653,0)</f>
        <v/>
      </c>
      <c r="BG653" s="69">
        <f>IF($E653=BG$8,$G653,0)</f>
        <v/>
      </c>
      <c r="BH653" s="69">
        <f>IF($E653=BH$8,$G653,0)</f>
        <v/>
      </c>
      <c r="BI653" s="69">
        <f>IF($E653=BI$8,$G653,0)</f>
        <v/>
      </c>
      <c r="BJ653" s="69">
        <f>IF($E653=BJ$8,$G653,0)</f>
        <v/>
      </c>
      <c r="BK653" s="69">
        <f>IF($E653=BK$8,$G653,0)</f>
        <v/>
      </c>
      <c r="BL653" s="69">
        <f>IF($E653=BL$8,$G653,0)</f>
        <v/>
      </c>
      <c r="BM653" s="69">
        <f>IF($E653=BM$8,$G653,0)</f>
        <v/>
      </c>
      <c r="BN653" s="69">
        <f>IF($E653=BN$8,$G653,0)</f>
        <v/>
      </c>
      <c r="BO653" s="69">
        <f>IF($E653=BO$8,$G653,0)</f>
        <v/>
      </c>
      <c r="BP653" s="69">
        <f>IF($E653=BP$8,$G653,0)</f>
        <v/>
      </c>
      <c r="BQ653" s="69">
        <f>IF($E653=BQ$8,$G653,0)</f>
        <v/>
      </c>
      <c r="BR653" s="69">
        <f>IF($E653=BR$8,$G653,0)</f>
        <v/>
      </c>
      <c r="BS653" s="69">
        <f>IF($E653=BS$8,$G653,0)</f>
        <v/>
      </c>
      <c r="BT653" s="69">
        <f>IF($E653=BT$8,$G653,0)</f>
        <v/>
      </c>
      <c r="BU653" s="69">
        <f>IF($E653=BU$8,$G653,0)</f>
        <v/>
      </c>
      <c r="BV653" s="69">
        <f>IF($E653=BV$8,$G653,0)</f>
        <v/>
      </c>
      <c r="BW653" s="69">
        <f>IF($E653=BW$8,$G653,0)</f>
        <v/>
      </c>
      <c r="BX653" s="69">
        <f>IF($E653=BX$8,$G653,0)</f>
        <v/>
      </c>
      <c r="BY653" s="69">
        <f>IF($E653=BY$8,$G653,0)</f>
        <v/>
      </c>
      <c r="BZ653" s="69">
        <f>IF($E653=BZ$8,$G653,0)</f>
        <v/>
      </c>
      <c r="CA653" s="69">
        <f>IF($E653=CA$8,$G653,0)</f>
        <v/>
      </c>
      <c r="CB653" s="69">
        <f>IF($E653=CB$8,$G653,0)</f>
        <v/>
      </c>
      <c r="CC653" s="69">
        <f>IF($E653=CC$8,$G653,0)</f>
        <v/>
      </c>
      <c r="CD653" s="69">
        <f>IF($E653=CD$8,$G653,0)</f>
        <v/>
      </c>
      <c r="CE653" s="69">
        <f>IF($E653=CE$8,$G653,0)</f>
        <v/>
      </c>
      <c r="CF653" s="69">
        <f>IF($E653=CF$8,$G653,0)</f>
        <v/>
      </c>
      <c r="CG653" s="69">
        <f>IF($E653=CG$8,$G653,0)</f>
        <v/>
      </c>
      <c r="CH653" s="69">
        <f>IF($E653=CH$8,$G653,0)</f>
        <v/>
      </c>
      <c r="CI653" s="69">
        <f>IF($E653=CI$8,$G653,0)</f>
        <v/>
      </c>
      <c r="CJ653" s="69">
        <f>IF($E653=CJ$8,$G653,0)</f>
        <v/>
      </c>
      <c r="CK653" s="69">
        <f>IF($E653=CK$8,$G653,0)</f>
        <v/>
      </c>
      <c r="CL653" s="69">
        <f>IF($E653=CL$8,$G653,0)</f>
        <v/>
      </c>
      <c r="CM653" s="69">
        <f>IF($E653=CM$8,$G653,0)</f>
        <v/>
      </c>
      <c r="CN653" s="69">
        <f>IF($E653=CN$8,$G653,0)</f>
        <v/>
      </c>
      <c r="CO653" s="69">
        <f>IF($E653=CO$8,$G653,0)</f>
        <v/>
      </c>
      <c r="CP653" s="69">
        <f>IF($E653=CP$8,$G653,0)</f>
        <v/>
      </c>
      <c r="CQ653" s="69">
        <f>IF($E653=CQ$8,$G653,0)</f>
        <v/>
      </c>
      <c r="CR653" s="69">
        <f>IF($E653=CR$8,$G653,0)</f>
        <v/>
      </c>
      <c r="CS653" s="69">
        <f>IF($E653=CS$8,$G653,0)</f>
        <v/>
      </c>
      <c r="CT653" s="69">
        <f>IF($E653=CT$8,$G653,0)</f>
        <v/>
      </c>
      <c r="CU653" s="69">
        <f>IF($E653=CU$8,$G653,0)</f>
        <v/>
      </c>
      <c r="CV653" s="69">
        <f>IF($E653=CV$8,$G653,0)</f>
        <v/>
      </c>
      <c r="CW653" s="69">
        <f>IF($E653=CW$8,$G653,0)</f>
        <v/>
      </c>
      <c r="CX653" s="69">
        <f>IF($E653=CX$8,$G653,0)</f>
        <v/>
      </c>
      <c r="CY653" s="69">
        <f>IF($E653=CY$8,$G653,0)</f>
        <v/>
      </c>
      <c r="CZ653" s="69">
        <f>IF($E653=CZ$8,$G653,0)</f>
        <v/>
      </c>
      <c r="DA653" s="70">
        <f>IF($E653=DA$8,$G653,0)</f>
        <v/>
      </c>
      <c r="DB653" s="5" t="n"/>
    </row>
    <row r="654" ht="15.75" customHeight="1" s="129">
      <c r="A654" s="1" t="n"/>
      <c r="B654" s="48" t="n"/>
      <c r="C654" s="49" t="n"/>
      <c r="D654" s="120" t="n"/>
      <c r="E654" s="120" t="n"/>
      <c r="F654" s="120" t="n"/>
      <c r="G654" s="63">
        <f>JUNIO!$I654-JUNIO!$H654</f>
        <v/>
      </c>
      <c r="H654" s="121" t="n"/>
      <c r="I654" s="121" t="n"/>
      <c r="J654" s="123" t="n"/>
      <c r="K654" s="120" t="n"/>
      <c r="L654" s="64" t="n"/>
      <c r="M654" s="5" t="n"/>
      <c r="N654" s="71">
        <f>IF($D654="AL",$G654,0)</f>
        <v/>
      </c>
      <c r="O654" s="66">
        <f>IF($D654="BA",$G654,0)</f>
        <v/>
      </c>
      <c r="P654" s="66">
        <f>IF($D654="GF",$G654,0)</f>
        <v/>
      </c>
      <c r="Q654" s="66">
        <f>IF($D654="OT",$G654,0)</f>
        <v/>
      </c>
      <c r="R654" s="67">
        <f>IF($D654="AS",$G654,0)</f>
        <v/>
      </c>
      <c r="S654" s="5" t="n"/>
      <c r="T654" s="68">
        <f>IF($E654=T$8,$G654,0)</f>
        <v/>
      </c>
      <c r="U654" s="69">
        <f>IF($E654=U$8,$G654,0)</f>
        <v/>
      </c>
      <c r="V654" s="69">
        <f>IF($E654=V$8,$G654,0)</f>
        <v/>
      </c>
      <c r="W654" s="69">
        <f>IF($E654=W$8,$G654,0)</f>
        <v/>
      </c>
      <c r="X654" s="69">
        <f>IF($E654=X$8,$G654,0)</f>
        <v/>
      </c>
      <c r="Y654" s="69">
        <f>IF($E654=Y$8,$G654,0)</f>
        <v/>
      </c>
      <c r="Z654" s="69">
        <f>IF($E654=Z$8,$G654,0)</f>
        <v/>
      </c>
      <c r="AA654" s="69">
        <f>IF($E654=AA$8,$G654,0)</f>
        <v/>
      </c>
      <c r="AB654" s="69">
        <f>IF($E654=AB$8,$G654,0)</f>
        <v/>
      </c>
      <c r="AC654" s="69">
        <f>IF($E654=AC$8,$G654,0)</f>
        <v/>
      </c>
      <c r="AD654" s="69">
        <f>IF($E654=AD$8,$G654,0)</f>
        <v/>
      </c>
      <c r="AE654" s="69">
        <f>IF($E654=AE$8,$G654,0)</f>
        <v/>
      </c>
      <c r="AF654" s="69">
        <f>IF($E654=AF$8,$G654,0)</f>
        <v/>
      </c>
      <c r="AG654" s="69">
        <f>IF($E654=AG$8,$G654,0)</f>
        <v/>
      </c>
      <c r="AH654" s="69">
        <f>IF($E654=AH$8,$G654,0)</f>
        <v/>
      </c>
      <c r="AI654" s="69">
        <f>IF($E654=AI$8,$G654,0)</f>
        <v/>
      </c>
      <c r="AJ654" s="69">
        <f>IF($E654=AJ$8,$G654,0)</f>
        <v/>
      </c>
      <c r="AK654" s="69">
        <f>IF($E654=AK$8,$G654,0)</f>
        <v/>
      </c>
      <c r="AL654" s="69">
        <f>IF($E654=AL$8,$G654,0)</f>
        <v/>
      </c>
      <c r="AM654" s="69">
        <f>IF($E654=AM$8,$G654,0)</f>
        <v/>
      </c>
      <c r="AN654" s="69">
        <f>IF($E654=AN$8,$G654,0)</f>
        <v/>
      </c>
      <c r="AO654" s="69">
        <f>IF($E654=AO$8,$G654,0)</f>
        <v/>
      </c>
      <c r="AP654" s="69">
        <f>IF($E654=AP$8,$G654,0)</f>
        <v/>
      </c>
      <c r="AQ654" s="69">
        <f>IF($E654=AQ$8,$G654,0)</f>
        <v/>
      </c>
      <c r="AR654" s="69">
        <f>IF($E654=AR$8,$G654,0)</f>
        <v/>
      </c>
      <c r="AS654" s="69">
        <f>IF($E654=AS$8,$G654,0)</f>
        <v/>
      </c>
      <c r="AT654" s="69">
        <f>IF($E654=AT$8,$G654,0)</f>
        <v/>
      </c>
      <c r="AU654" s="69">
        <f>IF($E654=AU$8,$G654,0)</f>
        <v/>
      </c>
      <c r="AV654" s="69">
        <f>IF($E654=AV$8,$G654,0)</f>
        <v/>
      </c>
      <c r="AW654" s="69">
        <f>IF($E654=AW$8,$G654,0)</f>
        <v/>
      </c>
      <c r="AX654" s="69">
        <f>IF($E654=AX$8,$G654,0)</f>
        <v/>
      </c>
      <c r="AY654" s="69">
        <f>IF($E654=AY$8,$G654,0)</f>
        <v/>
      </c>
      <c r="AZ654" s="69">
        <f>IF($E654=AZ$8,$G654,0)</f>
        <v/>
      </c>
      <c r="BA654" s="69">
        <f>IF($E654=BA$8,$G654,0)</f>
        <v/>
      </c>
      <c r="BB654" s="69">
        <f>IF($E654=BB$8,$G654,0)</f>
        <v/>
      </c>
      <c r="BC654" s="69">
        <f>IF($E654=BC$8,$G654,0)</f>
        <v/>
      </c>
      <c r="BD654" s="69">
        <f>IF($E654=BD$8,$G654,0)</f>
        <v/>
      </c>
      <c r="BE654" s="69">
        <f>IF($E654=BE$8,$G654,0)</f>
        <v/>
      </c>
      <c r="BF654" s="69">
        <f>IF($E654=BF$8,$G654,0)</f>
        <v/>
      </c>
      <c r="BG654" s="69">
        <f>IF($E654=BG$8,$G654,0)</f>
        <v/>
      </c>
      <c r="BH654" s="69">
        <f>IF($E654=BH$8,$G654,0)</f>
        <v/>
      </c>
      <c r="BI654" s="69">
        <f>IF($E654=BI$8,$G654,0)</f>
        <v/>
      </c>
      <c r="BJ654" s="69">
        <f>IF($E654=BJ$8,$G654,0)</f>
        <v/>
      </c>
      <c r="BK654" s="69">
        <f>IF($E654=BK$8,$G654,0)</f>
        <v/>
      </c>
      <c r="BL654" s="69">
        <f>IF($E654=BL$8,$G654,0)</f>
        <v/>
      </c>
      <c r="BM654" s="69">
        <f>IF($E654=BM$8,$G654,0)</f>
        <v/>
      </c>
      <c r="BN654" s="69">
        <f>IF($E654=BN$8,$G654,0)</f>
        <v/>
      </c>
      <c r="BO654" s="69">
        <f>IF($E654=BO$8,$G654,0)</f>
        <v/>
      </c>
      <c r="BP654" s="69">
        <f>IF($E654=BP$8,$G654,0)</f>
        <v/>
      </c>
      <c r="BQ654" s="69">
        <f>IF($E654=BQ$8,$G654,0)</f>
        <v/>
      </c>
      <c r="BR654" s="69">
        <f>IF($E654=BR$8,$G654,0)</f>
        <v/>
      </c>
      <c r="BS654" s="69">
        <f>IF($E654=BS$8,$G654,0)</f>
        <v/>
      </c>
      <c r="BT654" s="69">
        <f>IF($E654=BT$8,$G654,0)</f>
        <v/>
      </c>
      <c r="BU654" s="69">
        <f>IF($E654=BU$8,$G654,0)</f>
        <v/>
      </c>
      <c r="BV654" s="69">
        <f>IF($E654=BV$8,$G654,0)</f>
        <v/>
      </c>
      <c r="BW654" s="69">
        <f>IF($E654=BW$8,$G654,0)</f>
        <v/>
      </c>
      <c r="BX654" s="69">
        <f>IF($E654=BX$8,$G654,0)</f>
        <v/>
      </c>
      <c r="BY654" s="69">
        <f>IF($E654=BY$8,$G654,0)</f>
        <v/>
      </c>
      <c r="BZ654" s="69">
        <f>IF($E654=BZ$8,$G654,0)</f>
        <v/>
      </c>
      <c r="CA654" s="69">
        <f>IF($E654=CA$8,$G654,0)</f>
        <v/>
      </c>
      <c r="CB654" s="69">
        <f>IF($E654=CB$8,$G654,0)</f>
        <v/>
      </c>
      <c r="CC654" s="69">
        <f>IF($E654=CC$8,$G654,0)</f>
        <v/>
      </c>
      <c r="CD654" s="69">
        <f>IF($E654=CD$8,$G654,0)</f>
        <v/>
      </c>
      <c r="CE654" s="69">
        <f>IF($E654=CE$8,$G654,0)</f>
        <v/>
      </c>
      <c r="CF654" s="69">
        <f>IF($E654=CF$8,$G654,0)</f>
        <v/>
      </c>
      <c r="CG654" s="69">
        <f>IF($E654=CG$8,$G654,0)</f>
        <v/>
      </c>
      <c r="CH654" s="69">
        <f>IF($E654=CH$8,$G654,0)</f>
        <v/>
      </c>
      <c r="CI654" s="69">
        <f>IF($E654=CI$8,$G654,0)</f>
        <v/>
      </c>
      <c r="CJ654" s="69">
        <f>IF($E654=CJ$8,$G654,0)</f>
        <v/>
      </c>
      <c r="CK654" s="69">
        <f>IF($E654=CK$8,$G654,0)</f>
        <v/>
      </c>
      <c r="CL654" s="69">
        <f>IF($E654=CL$8,$G654,0)</f>
        <v/>
      </c>
      <c r="CM654" s="69">
        <f>IF($E654=CM$8,$G654,0)</f>
        <v/>
      </c>
      <c r="CN654" s="69">
        <f>IF($E654=CN$8,$G654,0)</f>
        <v/>
      </c>
      <c r="CO654" s="69">
        <f>IF($E654=CO$8,$G654,0)</f>
        <v/>
      </c>
      <c r="CP654" s="69">
        <f>IF($E654=CP$8,$G654,0)</f>
        <v/>
      </c>
      <c r="CQ654" s="69">
        <f>IF($E654=CQ$8,$G654,0)</f>
        <v/>
      </c>
      <c r="CR654" s="69">
        <f>IF($E654=CR$8,$G654,0)</f>
        <v/>
      </c>
      <c r="CS654" s="69">
        <f>IF($E654=CS$8,$G654,0)</f>
        <v/>
      </c>
      <c r="CT654" s="69">
        <f>IF($E654=CT$8,$G654,0)</f>
        <v/>
      </c>
      <c r="CU654" s="69">
        <f>IF($E654=CU$8,$G654,0)</f>
        <v/>
      </c>
      <c r="CV654" s="69">
        <f>IF($E654=CV$8,$G654,0)</f>
        <v/>
      </c>
      <c r="CW654" s="69">
        <f>IF($E654=CW$8,$G654,0)</f>
        <v/>
      </c>
      <c r="CX654" s="69">
        <f>IF($E654=CX$8,$G654,0)</f>
        <v/>
      </c>
      <c r="CY654" s="69">
        <f>IF($E654=CY$8,$G654,0)</f>
        <v/>
      </c>
      <c r="CZ654" s="69">
        <f>IF($E654=CZ$8,$G654,0)</f>
        <v/>
      </c>
      <c r="DA654" s="70">
        <f>IF($E654=DA$8,$G654,0)</f>
        <v/>
      </c>
      <c r="DB654" s="5" t="n"/>
    </row>
    <row r="655" ht="15.75" customHeight="1" s="129">
      <c r="A655" s="1" t="n"/>
      <c r="B655" s="48" t="n"/>
      <c r="C655" s="49" t="n"/>
      <c r="D655" s="120" t="n"/>
      <c r="E655" s="120" t="n"/>
      <c r="F655" s="120" t="n"/>
      <c r="G655" s="63">
        <f>JUNIO!$I655-JUNIO!$H655</f>
        <v/>
      </c>
      <c r="H655" s="121" t="n"/>
      <c r="I655" s="121" t="n"/>
      <c r="J655" s="123" t="n"/>
      <c r="K655" s="120" t="n"/>
      <c r="L655" s="64" t="n"/>
      <c r="M655" s="5" t="n"/>
      <c r="N655" s="71">
        <f>IF($D655="AL",$G655,0)</f>
        <v/>
      </c>
      <c r="O655" s="66">
        <f>IF($D655="BA",$G655,0)</f>
        <v/>
      </c>
      <c r="P655" s="66">
        <f>IF($D655="GF",$G655,0)</f>
        <v/>
      </c>
      <c r="Q655" s="66">
        <f>IF($D655="OT",$G655,0)</f>
        <v/>
      </c>
      <c r="R655" s="67">
        <f>IF($D655="AS",$G655,0)</f>
        <v/>
      </c>
      <c r="S655" s="5" t="n"/>
      <c r="T655" s="68">
        <f>IF($E655=T$8,$G655,0)</f>
        <v/>
      </c>
      <c r="U655" s="69">
        <f>IF($E655=U$8,$G655,0)</f>
        <v/>
      </c>
      <c r="V655" s="69">
        <f>IF($E655=V$8,$G655,0)</f>
        <v/>
      </c>
      <c r="W655" s="69">
        <f>IF($E655=W$8,$G655,0)</f>
        <v/>
      </c>
      <c r="X655" s="69">
        <f>IF($E655=X$8,$G655,0)</f>
        <v/>
      </c>
      <c r="Y655" s="69">
        <f>IF($E655=Y$8,$G655,0)</f>
        <v/>
      </c>
      <c r="Z655" s="69">
        <f>IF($E655=Z$8,$G655,0)</f>
        <v/>
      </c>
      <c r="AA655" s="69">
        <f>IF($E655=AA$8,$G655,0)</f>
        <v/>
      </c>
      <c r="AB655" s="69">
        <f>IF($E655=AB$8,$G655,0)</f>
        <v/>
      </c>
      <c r="AC655" s="69">
        <f>IF($E655=AC$8,$G655,0)</f>
        <v/>
      </c>
      <c r="AD655" s="69">
        <f>IF($E655=AD$8,$G655,0)</f>
        <v/>
      </c>
      <c r="AE655" s="69">
        <f>IF($E655=AE$8,$G655,0)</f>
        <v/>
      </c>
      <c r="AF655" s="69">
        <f>IF($E655=AF$8,$G655,0)</f>
        <v/>
      </c>
      <c r="AG655" s="69">
        <f>IF($E655=AG$8,$G655,0)</f>
        <v/>
      </c>
      <c r="AH655" s="69">
        <f>IF($E655=AH$8,$G655,0)</f>
        <v/>
      </c>
      <c r="AI655" s="69">
        <f>IF($E655=AI$8,$G655,0)</f>
        <v/>
      </c>
      <c r="AJ655" s="69">
        <f>IF($E655=AJ$8,$G655,0)</f>
        <v/>
      </c>
      <c r="AK655" s="69">
        <f>IF($E655=AK$8,$G655,0)</f>
        <v/>
      </c>
      <c r="AL655" s="69">
        <f>IF($E655=AL$8,$G655,0)</f>
        <v/>
      </c>
      <c r="AM655" s="69">
        <f>IF($E655=AM$8,$G655,0)</f>
        <v/>
      </c>
      <c r="AN655" s="69">
        <f>IF($E655=AN$8,$G655,0)</f>
        <v/>
      </c>
      <c r="AO655" s="69">
        <f>IF($E655=AO$8,$G655,0)</f>
        <v/>
      </c>
      <c r="AP655" s="69">
        <f>IF($E655=AP$8,$G655,0)</f>
        <v/>
      </c>
      <c r="AQ655" s="69">
        <f>IF($E655=AQ$8,$G655,0)</f>
        <v/>
      </c>
      <c r="AR655" s="69">
        <f>IF($E655=AR$8,$G655,0)</f>
        <v/>
      </c>
      <c r="AS655" s="69">
        <f>IF($E655=AS$8,$G655,0)</f>
        <v/>
      </c>
      <c r="AT655" s="69">
        <f>IF($E655=AT$8,$G655,0)</f>
        <v/>
      </c>
      <c r="AU655" s="69">
        <f>IF($E655=AU$8,$G655,0)</f>
        <v/>
      </c>
      <c r="AV655" s="69">
        <f>IF($E655=AV$8,$G655,0)</f>
        <v/>
      </c>
      <c r="AW655" s="69">
        <f>IF($E655=AW$8,$G655,0)</f>
        <v/>
      </c>
      <c r="AX655" s="69">
        <f>IF($E655=AX$8,$G655,0)</f>
        <v/>
      </c>
      <c r="AY655" s="69">
        <f>IF($E655=AY$8,$G655,0)</f>
        <v/>
      </c>
      <c r="AZ655" s="69">
        <f>IF($E655=AZ$8,$G655,0)</f>
        <v/>
      </c>
      <c r="BA655" s="69">
        <f>IF($E655=BA$8,$G655,0)</f>
        <v/>
      </c>
      <c r="BB655" s="69">
        <f>IF($E655=BB$8,$G655,0)</f>
        <v/>
      </c>
      <c r="BC655" s="69">
        <f>IF($E655=BC$8,$G655,0)</f>
        <v/>
      </c>
      <c r="BD655" s="69">
        <f>IF($E655=BD$8,$G655,0)</f>
        <v/>
      </c>
      <c r="BE655" s="69">
        <f>IF($E655=BE$8,$G655,0)</f>
        <v/>
      </c>
      <c r="BF655" s="69">
        <f>IF($E655=BF$8,$G655,0)</f>
        <v/>
      </c>
      <c r="BG655" s="69">
        <f>IF($E655=BG$8,$G655,0)</f>
        <v/>
      </c>
      <c r="BH655" s="69">
        <f>IF($E655=BH$8,$G655,0)</f>
        <v/>
      </c>
      <c r="BI655" s="69">
        <f>IF($E655=BI$8,$G655,0)</f>
        <v/>
      </c>
      <c r="BJ655" s="69">
        <f>IF($E655=BJ$8,$G655,0)</f>
        <v/>
      </c>
      <c r="BK655" s="69">
        <f>IF($E655=BK$8,$G655,0)</f>
        <v/>
      </c>
      <c r="BL655" s="69">
        <f>IF($E655=BL$8,$G655,0)</f>
        <v/>
      </c>
      <c r="BM655" s="69">
        <f>IF($E655=BM$8,$G655,0)</f>
        <v/>
      </c>
      <c r="BN655" s="69">
        <f>IF($E655=BN$8,$G655,0)</f>
        <v/>
      </c>
      <c r="BO655" s="69">
        <f>IF($E655=BO$8,$G655,0)</f>
        <v/>
      </c>
      <c r="BP655" s="69">
        <f>IF($E655=BP$8,$G655,0)</f>
        <v/>
      </c>
      <c r="BQ655" s="69">
        <f>IF($E655=BQ$8,$G655,0)</f>
        <v/>
      </c>
      <c r="BR655" s="69">
        <f>IF($E655=BR$8,$G655,0)</f>
        <v/>
      </c>
      <c r="BS655" s="69">
        <f>IF($E655=BS$8,$G655,0)</f>
        <v/>
      </c>
      <c r="BT655" s="69">
        <f>IF($E655=BT$8,$G655,0)</f>
        <v/>
      </c>
      <c r="BU655" s="69">
        <f>IF($E655=BU$8,$G655,0)</f>
        <v/>
      </c>
      <c r="BV655" s="69">
        <f>IF($E655=BV$8,$G655,0)</f>
        <v/>
      </c>
      <c r="BW655" s="69">
        <f>IF($E655=BW$8,$G655,0)</f>
        <v/>
      </c>
      <c r="BX655" s="69">
        <f>IF($E655=BX$8,$G655,0)</f>
        <v/>
      </c>
      <c r="BY655" s="69">
        <f>IF($E655=BY$8,$G655,0)</f>
        <v/>
      </c>
      <c r="BZ655" s="69">
        <f>IF($E655=BZ$8,$G655,0)</f>
        <v/>
      </c>
      <c r="CA655" s="69">
        <f>IF($E655=CA$8,$G655,0)</f>
        <v/>
      </c>
      <c r="CB655" s="69">
        <f>IF($E655=CB$8,$G655,0)</f>
        <v/>
      </c>
      <c r="CC655" s="69">
        <f>IF($E655=CC$8,$G655,0)</f>
        <v/>
      </c>
      <c r="CD655" s="69">
        <f>IF($E655=CD$8,$G655,0)</f>
        <v/>
      </c>
      <c r="CE655" s="69">
        <f>IF($E655=CE$8,$G655,0)</f>
        <v/>
      </c>
      <c r="CF655" s="69">
        <f>IF($E655=CF$8,$G655,0)</f>
        <v/>
      </c>
      <c r="CG655" s="69">
        <f>IF($E655=CG$8,$G655,0)</f>
        <v/>
      </c>
      <c r="CH655" s="69">
        <f>IF($E655=CH$8,$G655,0)</f>
        <v/>
      </c>
      <c r="CI655" s="69">
        <f>IF($E655=CI$8,$G655,0)</f>
        <v/>
      </c>
      <c r="CJ655" s="69">
        <f>IF($E655=CJ$8,$G655,0)</f>
        <v/>
      </c>
      <c r="CK655" s="69">
        <f>IF($E655=CK$8,$G655,0)</f>
        <v/>
      </c>
      <c r="CL655" s="69">
        <f>IF($E655=CL$8,$G655,0)</f>
        <v/>
      </c>
      <c r="CM655" s="69">
        <f>IF($E655=CM$8,$G655,0)</f>
        <v/>
      </c>
      <c r="CN655" s="69">
        <f>IF($E655=CN$8,$G655,0)</f>
        <v/>
      </c>
      <c r="CO655" s="69">
        <f>IF($E655=CO$8,$G655,0)</f>
        <v/>
      </c>
      <c r="CP655" s="69">
        <f>IF($E655=CP$8,$G655,0)</f>
        <v/>
      </c>
      <c r="CQ655" s="69">
        <f>IF($E655=CQ$8,$G655,0)</f>
        <v/>
      </c>
      <c r="CR655" s="69">
        <f>IF($E655=CR$8,$G655,0)</f>
        <v/>
      </c>
      <c r="CS655" s="69">
        <f>IF($E655=CS$8,$G655,0)</f>
        <v/>
      </c>
      <c r="CT655" s="69">
        <f>IF($E655=CT$8,$G655,0)</f>
        <v/>
      </c>
      <c r="CU655" s="69">
        <f>IF($E655=CU$8,$G655,0)</f>
        <v/>
      </c>
      <c r="CV655" s="69">
        <f>IF($E655=CV$8,$G655,0)</f>
        <v/>
      </c>
      <c r="CW655" s="69">
        <f>IF($E655=CW$8,$G655,0)</f>
        <v/>
      </c>
      <c r="CX655" s="69">
        <f>IF($E655=CX$8,$G655,0)</f>
        <v/>
      </c>
      <c r="CY655" s="69">
        <f>IF($E655=CY$8,$G655,0)</f>
        <v/>
      </c>
      <c r="CZ655" s="69">
        <f>IF($E655=CZ$8,$G655,0)</f>
        <v/>
      </c>
      <c r="DA655" s="70">
        <f>IF($E655=DA$8,$G655,0)</f>
        <v/>
      </c>
      <c r="DB655" s="5" t="n"/>
    </row>
    <row r="656" ht="15.75" customHeight="1" s="129">
      <c r="A656" s="1" t="n"/>
      <c r="B656" s="48" t="n"/>
      <c r="C656" s="49" t="n"/>
      <c r="D656" s="114" t="n"/>
      <c r="E656" s="86" t="n"/>
      <c r="F656" s="86" t="n"/>
      <c r="G656" s="63">
        <f>JUNIO!$I656-JUNIO!$H656</f>
        <v/>
      </c>
      <c r="H656" s="87" t="n"/>
      <c r="I656" s="88" t="n"/>
      <c r="J656" s="123" t="n"/>
      <c r="K656" s="86" t="n"/>
      <c r="L656" s="89" t="n"/>
      <c r="M656" s="5" t="n"/>
      <c r="N656" s="96">
        <f>IF($D656="AL",$G656,0)</f>
        <v/>
      </c>
      <c r="O656" s="97">
        <f>IF($D656="BA",$G656,0)</f>
        <v/>
      </c>
      <c r="P656" s="97">
        <f>IF($D656="GF",$G656,0)</f>
        <v/>
      </c>
      <c r="Q656" s="97">
        <f>IF($D656="OT",$G656,0)</f>
        <v/>
      </c>
      <c r="R656" s="98">
        <f>IF($D656="AS",$G656,0)</f>
        <v/>
      </c>
      <c r="S656" s="5" t="n"/>
      <c r="T656" s="99">
        <f>IF($E656=T$8,$G656,0)</f>
        <v/>
      </c>
      <c r="U656" s="100">
        <f>IF($E656=U$8,$G656,0)</f>
        <v/>
      </c>
      <c r="V656" s="100">
        <f>IF($E656=V$8,$G656,0)</f>
        <v/>
      </c>
      <c r="W656" s="100">
        <f>IF($E656=W$8,$G656,0)</f>
        <v/>
      </c>
      <c r="X656" s="100">
        <f>IF($E656=X$8,$G656,0)</f>
        <v/>
      </c>
      <c r="Y656" s="100">
        <f>IF($E656=Y$8,$G656,0)</f>
        <v/>
      </c>
      <c r="Z656" s="100">
        <f>IF($E656=Z$8,$G656,0)</f>
        <v/>
      </c>
      <c r="AA656" s="100">
        <f>IF($E656=AA$8,$G656,0)</f>
        <v/>
      </c>
      <c r="AB656" s="100">
        <f>IF($E656=AB$8,$G656,0)</f>
        <v/>
      </c>
      <c r="AC656" s="100">
        <f>IF($E656=AC$8,$G656,0)</f>
        <v/>
      </c>
      <c r="AD656" s="100">
        <f>IF($E656=AD$8,$G656,0)</f>
        <v/>
      </c>
      <c r="AE656" s="100">
        <f>IF($E656=AE$8,$G656,0)</f>
        <v/>
      </c>
      <c r="AF656" s="100">
        <f>IF($E656=AF$8,$G656,0)</f>
        <v/>
      </c>
      <c r="AG656" s="100">
        <f>IF($E656=AG$8,$G656,0)</f>
        <v/>
      </c>
      <c r="AH656" s="100">
        <f>IF($E656=AH$8,$G656,0)</f>
        <v/>
      </c>
      <c r="AI656" s="100">
        <f>IF($E656=AI$8,$G656,0)</f>
        <v/>
      </c>
      <c r="AJ656" s="100">
        <f>IF($E656=AJ$8,$G656,0)</f>
        <v/>
      </c>
      <c r="AK656" s="100">
        <f>IF($E656=AK$8,$G656,0)</f>
        <v/>
      </c>
      <c r="AL656" s="100">
        <f>IF($E656=AL$8,$G656,0)</f>
        <v/>
      </c>
      <c r="AM656" s="100">
        <f>IF($E656=AM$8,$G656,0)</f>
        <v/>
      </c>
      <c r="AN656" s="100">
        <f>IF($E656=AN$8,$G656,0)</f>
        <v/>
      </c>
      <c r="AO656" s="100">
        <f>IF($E656=AO$8,$G656,0)</f>
        <v/>
      </c>
      <c r="AP656" s="100">
        <f>IF($E656=AP$8,$G656,0)</f>
        <v/>
      </c>
      <c r="AQ656" s="100">
        <f>IF($E656=AQ$8,$G656,0)</f>
        <v/>
      </c>
      <c r="AR656" s="100">
        <f>IF($E656=AR$8,$G656,0)</f>
        <v/>
      </c>
      <c r="AS656" s="100">
        <f>IF($E656=AS$8,$G656,0)</f>
        <v/>
      </c>
      <c r="AT656" s="100">
        <f>IF($E656=AT$8,$G656,0)</f>
        <v/>
      </c>
      <c r="AU656" s="100">
        <f>IF($E656=AU$8,$G656,0)</f>
        <v/>
      </c>
      <c r="AV656" s="100">
        <f>IF($E656=AV$8,$G656,0)</f>
        <v/>
      </c>
      <c r="AW656" s="100">
        <f>IF($E656=AW$8,$G656,0)</f>
        <v/>
      </c>
      <c r="AX656" s="100">
        <f>IF($E656=AX$8,$G656,0)</f>
        <v/>
      </c>
      <c r="AY656" s="100">
        <f>IF($E656=AY$8,$G656,0)</f>
        <v/>
      </c>
      <c r="AZ656" s="100">
        <f>IF($E656=AZ$8,$G656,0)</f>
        <v/>
      </c>
      <c r="BA656" s="100">
        <f>IF($E656=BA$8,$G656,0)</f>
        <v/>
      </c>
      <c r="BB656" s="100">
        <f>IF($E656=BB$8,$G656,0)</f>
        <v/>
      </c>
      <c r="BC656" s="100">
        <f>IF($E656=BC$8,$G656,0)</f>
        <v/>
      </c>
      <c r="BD656" s="100">
        <f>IF($E656=BD$8,$G656,0)</f>
        <v/>
      </c>
      <c r="BE656" s="100">
        <f>IF($E656=BE$8,$G656,0)</f>
        <v/>
      </c>
      <c r="BF656" s="100">
        <f>IF($E656=BF$8,$G656,0)</f>
        <v/>
      </c>
      <c r="BG656" s="100">
        <f>IF($E656=BG$8,$G656,0)</f>
        <v/>
      </c>
      <c r="BH656" s="100">
        <f>IF($E656=BH$8,$G656,0)</f>
        <v/>
      </c>
      <c r="BI656" s="100">
        <f>IF($E656=BI$8,$G656,0)</f>
        <v/>
      </c>
      <c r="BJ656" s="100">
        <f>IF($E656=BJ$8,$G656,0)</f>
        <v/>
      </c>
      <c r="BK656" s="100">
        <f>IF($E656=BK$8,$G656,0)</f>
        <v/>
      </c>
      <c r="BL656" s="100">
        <f>IF($E656=BL$8,$G656,0)</f>
        <v/>
      </c>
      <c r="BM656" s="100">
        <f>IF($E656=BM$8,$G656,0)</f>
        <v/>
      </c>
      <c r="BN656" s="100">
        <f>IF($E656=BN$8,$G656,0)</f>
        <v/>
      </c>
      <c r="BO656" s="100">
        <f>IF($E656=BO$8,$G656,0)</f>
        <v/>
      </c>
      <c r="BP656" s="100">
        <f>IF($E656=BP$8,$G656,0)</f>
        <v/>
      </c>
      <c r="BQ656" s="100">
        <f>IF($E656=BQ$8,$G656,0)</f>
        <v/>
      </c>
      <c r="BR656" s="100">
        <f>IF($E656=BR$8,$G656,0)</f>
        <v/>
      </c>
      <c r="BS656" s="100">
        <f>IF($E656=BS$8,$G656,0)</f>
        <v/>
      </c>
      <c r="BT656" s="100">
        <f>IF($E656=BT$8,$G656,0)</f>
        <v/>
      </c>
      <c r="BU656" s="100">
        <f>IF($E656=BU$8,$G656,0)</f>
        <v/>
      </c>
      <c r="BV656" s="100">
        <f>IF($E656=BV$8,$G656,0)</f>
        <v/>
      </c>
      <c r="BW656" s="100">
        <f>IF($E656=BW$8,$G656,0)</f>
        <v/>
      </c>
      <c r="BX656" s="100">
        <f>IF($E656=BX$8,$G656,0)</f>
        <v/>
      </c>
      <c r="BY656" s="100">
        <f>IF($E656=BY$8,$G656,0)</f>
        <v/>
      </c>
      <c r="BZ656" s="100">
        <f>IF($E656=BZ$8,$G656,0)</f>
        <v/>
      </c>
      <c r="CA656" s="100">
        <f>IF($E656=CA$8,$G656,0)</f>
        <v/>
      </c>
      <c r="CB656" s="100">
        <f>IF($E656=CB$8,$G656,0)</f>
        <v/>
      </c>
      <c r="CC656" s="100">
        <f>IF($E656=CC$8,$G656,0)</f>
        <v/>
      </c>
      <c r="CD656" s="100">
        <f>IF($E656=CD$8,$G656,0)</f>
        <v/>
      </c>
      <c r="CE656" s="100">
        <f>IF($E656=CE$8,$G656,0)</f>
        <v/>
      </c>
      <c r="CF656" s="100">
        <f>IF($E656=CF$8,$G656,0)</f>
        <v/>
      </c>
      <c r="CG656" s="100">
        <f>IF($E656=CG$8,$G656,0)</f>
        <v/>
      </c>
      <c r="CH656" s="100">
        <f>IF($E656=CH$8,$G656,0)</f>
        <v/>
      </c>
      <c r="CI656" s="100">
        <f>IF($E656=CI$8,$G656,0)</f>
        <v/>
      </c>
      <c r="CJ656" s="100">
        <f>IF($E656=CJ$8,$G656,0)</f>
        <v/>
      </c>
      <c r="CK656" s="100">
        <f>IF($E656=CK$8,$G656,0)</f>
        <v/>
      </c>
      <c r="CL656" s="100">
        <f>IF($E656=CL$8,$G656,0)</f>
        <v/>
      </c>
      <c r="CM656" s="100">
        <f>IF($E656=CM$8,$G656,0)</f>
        <v/>
      </c>
      <c r="CN656" s="100">
        <f>IF($E656=CN$8,$G656,0)</f>
        <v/>
      </c>
      <c r="CO656" s="100">
        <f>IF($E656=CO$8,$G656,0)</f>
        <v/>
      </c>
      <c r="CP656" s="100">
        <f>IF($E656=CP$8,$G656,0)</f>
        <v/>
      </c>
      <c r="CQ656" s="100">
        <f>IF($E656=CQ$8,$G656,0)</f>
        <v/>
      </c>
      <c r="CR656" s="100">
        <f>IF($E656=CR$8,$G656,0)</f>
        <v/>
      </c>
      <c r="CS656" s="100">
        <f>IF($E656=CS$8,$G656,0)</f>
        <v/>
      </c>
      <c r="CT656" s="100">
        <f>IF($E656=CT$8,$G656,0)</f>
        <v/>
      </c>
      <c r="CU656" s="100">
        <f>IF($E656=CU$8,$G656,0)</f>
        <v/>
      </c>
      <c r="CV656" s="100">
        <f>IF($E656=CV$8,$G656,0)</f>
        <v/>
      </c>
      <c r="CW656" s="100">
        <f>IF($E656=CW$8,$G656,0)</f>
        <v/>
      </c>
      <c r="CX656" s="100">
        <f>IF($E656=CX$8,$G656,0)</f>
        <v/>
      </c>
      <c r="CY656" s="100">
        <f>IF($E656=CY$8,$G656,0)</f>
        <v/>
      </c>
      <c r="CZ656" s="100">
        <f>IF($E656=CZ$8,$G656,0)</f>
        <v/>
      </c>
      <c r="DA656" s="101">
        <f>IF($E656=DA$8,$G656,0)</f>
        <v/>
      </c>
      <c r="DB656" s="5" t="n"/>
    </row>
    <row r="657" ht="15.75" customHeight="1" s="129">
      <c r="A657" s="1" t="n"/>
      <c r="B657" s="90" t="inlineStr">
        <is>
          <t>Total</t>
        </is>
      </c>
      <c r="C657" s="91" t="n"/>
      <c r="D657" s="91" t="n"/>
      <c r="E657" s="91" t="n"/>
      <c r="F657" s="91" t="n"/>
      <c r="G657" s="93">
        <f>SUBTOTAL(109,JUNIO!$G$9:$G$656)</f>
        <v/>
      </c>
      <c r="H657" s="93">
        <f>SUBTOTAL(109,JUNIO!$H$9:$H$656)</f>
        <v/>
      </c>
      <c r="I657" s="93">
        <f>SUBTOTAL(109,JUNIO!$I$9:$I$656)</f>
        <v/>
      </c>
      <c r="J657" s="91" t="n"/>
      <c r="K657" s="91" t="n"/>
      <c r="L657" s="94" t="n"/>
      <c r="M657" s="5" t="n"/>
      <c r="N657" s="102">
        <f>SUM(N9:N656)</f>
        <v/>
      </c>
      <c r="O657" s="103">
        <f>SUM(O9:O656)</f>
        <v/>
      </c>
      <c r="P657" s="104">
        <f>SUM(P9:P656)</f>
        <v/>
      </c>
      <c r="Q657" s="104">
        <f>SUM(Q9:Q656)</f>
        <v/>
      </c>
      <c r="R657" s="105">
        <f>SUM(R9:R656)</f>
        <v/>
      </c>
      <c r="S657" s="5" t="n"/>
      <c r="T657" s="106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0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7">
        <f>SUM(CZ9:CZ656)</f>
        <v/>
      </c>
      <c r="DA657" s="108">
        <f>SUM(DA9:DA656)</f>
        <v/>
      </c>
      <c r="DB657" s="109">
        <f>SUM(T657:DA657)</f>
        <v/>
      </c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10">
        <f>R657+Q657+P657+O657+N657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4" t="inlineStr">
        <is>
          <t xml:space="preserve">ESTADO </t>
        </is>
      </c>
      <c r="C660" s="1" t="n"/>
      <c r="D660" s="1" t="n"/>
      <c r="E660" s="1" t="inlineStr">
        <is>
          <t> </t>
        </is>
      </c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1">
        <f>IF(JUNIO!$G$657=R658,"BIEN","MAL")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  <row r="662" ht="15.75" customHeight="1" s="129">
      <c r="A662" s="1" t="n"/>
      <c r="B662" s="112">
        <f>IF(JUNIO!$G$657=DB657,"BIEN","MAL")</f>
        <v/>
      </c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</row>
  </sheetData>
  <mergeCells count="1">
    <mergeCell ref="B7:L7"/>
  </mergeCells>
  <conditionalFormatting sqref="F9:F37">
    <cfRule type="cellIs" priority="1" operator="equal" dxfId="3">
      <formula>"entre si"</formula>
    </cfRule>
  </conditionalFormatting>
  <conditionalFormatting sqref="F46:F656">
    <cfRule type="cellIs" priority="2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2026-08-12T15:27:52Z</dcterms:modified>
</cp:coreProperties>
</file>