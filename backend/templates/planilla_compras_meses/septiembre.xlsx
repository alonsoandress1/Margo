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9" displayName="Table_9" ref="B8:L657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SEPTIEMBR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2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2.14" customWidth="1" style="129" min="8" max="8"/>
    <col width="12.43" customWidth="1" style="129" min="9" max="9"/>
    <col width="32.14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SEPTIEMBRE!$G$657</f>
        <v/>
      </c>
      <c r="H6" s="27">
        <f>SEPTIEMBRE!$H$657</f>
        <v/>
      </c>
      <c r="I6" s="28">
        <f>SEPTIEMBRE!$I$657</f>
        <v/>
      </c>
      <c r="J6" s="1" t="n"/>
      <c r="K6" s="1" t="n"/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125">
        <f>SEPTIEMBRE!$I9-SEPTIEMBRE!$H9</f>
        <v/>
      </c>
      <c r="H9" s="121" t="n"/>
      <c r="I9" s="121" t="n"/>
      <c r="J9" s="123" t="n"/>
      <c r="K9" s="120" t="n"/>
      <c r="L9" s="64" t="n"/>
      <c r="M9" s="5" t="n"/>
      <c r="N9" s="71">
        <f>IF($D9="AL",$G9,0)</f>
        <v/>
      </c>
      <c r="O9" s="66">
        <f>IF($D9="BA",$G9,0)</f>
        <v/>
      </c>
      <c r="P9" s="66">
        <f>IF($D9="GF",$G9,0)</f>
        <v/>
      </c>
      <c r="Q9" s="66">
        <f>IF($D9="OT",$G9,0)</f>
        <v/>
      </c>
      <c r="R9" s="67">
        <f>IF($D9="AS",$G9,0)</f>
        <v/>
      </c>
      <c r="S9" s="5" t="n"/>
      <c r="T9" s="68">
        <f>IF($E9=T$8,$G9,0)</f>
        <v/>
      </c>
      <c r="U9" s="69">
        <f>IF($E9=U$8,$G9,0)</f>
        <v/>
      </c>
      <c r="V9" s="69">
        <f>IF($E9=V$8,$G9,0)</f>
        <v/>
      </c>
      <c r="W9" s="69">
        <f>IF($E9=W$8,$G9,0)</f>
        <v/>
      </c>
      <c r="X9" s="69">
        <f>IF($E9=X$8,$G9,0)</f>
        <v/>
      </c>
      <c r="Y9" s="69">
        <f>IF($E9=Y$8,$G9,0)</f>
        <v/>
      </c>
      <c r="Z9" s="69">
        <f>IF($E9=Z$8,$G9,0)</f>
        <v/>
      </c>
      <c r="AA9" s="69">
        <f>IF($E9=AA$8,$G9,0)</f>
        <v/>
      </c>
      <c r="AB9" s="69">
        <f>IF($E9=AB$8,$G9,0)</f>
        <v/>
      </c>
      <c r="AC9" s="69">
        <f>IF($E9=AC$8,$G9,0)</f>
        <v/>
      </c>
      <c r="AD9" s="69">
        <f>IF($E9=AD$8,$G9,0)</f>
        <v/>
      </c>
      <c r="AE9" s="69">
        <f>IF($E9=AE$8,$G9,0)</f>
        <v/>
      </c>
      <c r="AF9" s="69">
        <f>IF($E9=AF$8,$G9,0)</f>
        <v/>
      </c>
      <c r="AG9" s="69">
        <f>IF($E9=AG$8,$G9,0)</f>
        <v/>
      </c>
      <c r="AH9" s="69">
        <f>IF($E9=AH$8,$G9,0)</f>
        <v/>
      </c>
      <c r="AI9" s="69">
        <f>IF($E9=AI$8,$G9,0)</f>
        <v/>
      </c>
      <c r="AJ9" s="69">
        <f>IF($E9=AJ$8,$G9,0)</f>
        <v/>
      </c>
      <c r="AK9" s="69">
        <f>IF($E9=AK$8,$G9,0)</f>
        <v/>
      </c>
      <c r="AL9" s="69">
        <f>IF($E9=AL$8,$G9,0)</f>
        <v/>
      </c>
      <c r="AM9" s="69">
        <f>IF($E9=AM$8,$G9,0)</f>
        <v/>
      </c>
      <c r="AN9" s="69">
        <f>IF($E9=AN$8,$G9,0)</f>
        <v/>
      </c>
      <c r="AO9" s="69">
        <f>IF($E9=AO$8,$G9,0)</f>
        <v/>
      </c>
      <c r="AP9" s="69">
        <f>IF($E9=AP$8,$G9,0)</f>
        <v/>
      </c>
      <c r="AQ9" s="69">
        <f>IF($E9=AQ$8,$G9,0)</f>
        <v/>
      </c>
      <c r="AR9" s="69">
        <f>IF($E9=AR$8,$G9,0)</f>
        <v/>
      </c>
      <c r="AS9" s="69">
        <f>IF($E9=AS$8,$G9,0)</f>
        <v/>
      </c>
      <c r="AT9" s="69">
        <f>IF($E9=AT$8,$G9,0)</f>
        <v/>
      </c>
      <c r="AU9" s="69">
        <f>IF($E9=AU$8,$G9,0)</f>
        <v/>
      </c>
      <c r="AV9" s="69">
        <f>IF($E9=AV$8,$G9,0)</f>
        <v/>
      </c>
      <c r="AW9" s="69">
        <f>IF($E9=AW$8,$G9,0)</f>
        <v/>
      </c>
      <c r="AX9" s="69">
        <f>IF($E9=AX$8,$G9,0)</f>
        <v/>
      </c>
      <c r="AY9" s="69">
        <f>IF($E9=AY$8,$G9,0)</f>
        <v/>
      </c>
      <c r="AZ9" s="69">
        <f>IF($E9=AZ$8,$G9,0)</f>
        <v/>
      </c>
      <c r="BA9" s="69">
        <f>IF($E9=BA$8,$G9,0)</f>
        <v/>
      </c>
      <c r="BB9" s="69">
        <f>IF($E9=BB$8,$G9,0)</f>
        <v/>
      </c>
      <c r="BC9" s="69">
        <f>IF($E9=BC$8,$G9,0)</f>
        <v/>
      </c>
      <c r="BD9" s="69">
        <f>IF($E9=BD$8,$G9,0)</f>
        <v/>
      </c>
      <c r="BE9" s="69">
        <f>IF($E9=BE$8,$G9,0)</f>
        <v/>
      </c>
      <c r="BF9" s="69">
        <f>IF($E9=BF$8,$G9,0)</f>
        <v/>
      </c>
      <c r="BG9" s="69">
        <f>IF($E9=BG$8,$G9,0)</f>
        <v/>
      </c>
      <c r="BH9" s="69">
        <f>IF($E9=BH$8,$G9,0)</f>
        <v/>
      </c>
      <c r="BI9" s="69">
        <f>IF($E9=BI$8,$G9,0)</f>
        <v/>
      </c>
      <c r="BJ9" s="69">
        <f>IF($E9=BJ$8,$G9,0)</f>
        <v/>
      </c>
      <c r="BK9" s="69">
        <f>IF($E9=BK$8,$G9,0)</f>
        <v/>
      </c>
      <c r="BL9" s="69">
        <f>IF($E9=BL$8,$G9,0)</f>
        <v/>
      </c>
      <c r="BM9" s="69">
        <f>IF($E9=BM$8,$G9,0)</f>
        <v/>
      </c>
      <c r="BN9" s="69">
        <f>IF($E9=BN$8,$G9,0)</f>
        <v/>
      </c>
      <c r="BO9" s="69">
        <f>IF($E9=BO$8,$G9,0)</f>
        <v/>
      </c>
      <c r="BP9" s="69">
        <f>IF($E9=BP$8,$G9,0)</f>
        <v/>
      </c>
      <c r="BQ9" s="69">
        <f>IF($E9=BQ$8,$G9,0)</f>
        <v/>
      </c>
      <c r="BR9" s="69">
        <f>IF($E9=BR$8,$G9,0)</f>
        <v/>
      </c>
      <c r="BS9" s="69">
        <f>IF($E9=BS$8,$G9,0)</f>
        <v/>
      </c>
      <c r="BT9" s="69">
        <f>IF($E9=BT$8,$G9,0)</f>
        <v/>
      </c>
      <c r="BU9" s="69">
        <f>IF($E9=BU$8,$G9,0)</f>
        <v/>
      </c>
      <c r="BV9" s="69">
        <f>IF($E9=BV$8,$G9,0)</f>
        <v/>
      </c>
      <c r="BW9" s="69">
        <f>IF($E9=BW$8,$G9,0)</f>
        <v/>
      </c>
      <c r="BX9" s="69">
        <f>IF($E9=BX$8,$G9,0)</f>
        <v/>
      </c>
      <c r="BY9" s="69">
        <f>IF($E9=BY$8,$G9,0)</f>
        <v/>
      </c>
      <c r="BZ9" s="69">
        <f>IF($E9=BZ$8,$G9,0)</f>
        <v/>
      </c>
      <c r="CA9" s="69">
        <f>IF($E9=CA$8,$G9,0)</f>
        <v/>
      </c>
      <c r="CB9" s="69">
        <f>IF($E9=CB$8,$G9,0)</f>
        <v/>
      </c>
      <c r="CC9" s="69">
        <f>IF($E9=CC$8,$G9,0)</f>
        <v/>
      </c>
      <c r="CD9" s="69">
        <f>IF($E9=CD$8,$G9,0)</f>
        <v/>
      </c>
      <c r="CE9" s="69">
        <f>IF($E9=CE$8,$G9,0)</f>
        <v/>
      </c>
      <c r="CF9" s="69">
        <f>IF($E9=CF$8,$G9,0)</f>
        <v/>
      </c>
      <c r="CG9" s="69">
        <f>IF($E9=CG$8,$G9,0)</f>
        <v/>
      </c>
      <c r="CH9" s="69">
        <f>IF($E9=CH$8,$G9,0)</f>
        <v/>
      </c>
      <c r="CI9" s="69">
        <f>IF($E9=CI$8,$G9,0)</f>
        <v/>
      </c>
      <c r="CJ9" s="69">
        <f>IF($E9=CJ$8,$G9,0)</f>
        <v/>
      </c>
      <c r="CK9" s="69">
        <f>IF($E9=CK$8,$G9,0)</f>
        <v/>
      </c>
      <c r="CL9" s="69">
        <f>IF($E9=CL$8,$G9,0)</f>
        <v/>
      </c>
      <c r="CM9" s="69">
        <f>IF($E9=CM$8,$G9,0)</f>
        <v/>
      </c>
      <c r="CN9" s="69">
        <f>IF($E9=CN$8,$G9,0)</f>
        <v/>
      </c>
      <c r="CO9" s="69">
        <f>IF($E9=CO$8,$G9,0)</f>
        <v/>
      </c>
      <c r="CP9" s="69">
        <f>IF($E9=CP$8,$G9,0)</f>
        <v/>
      </c>
      <c r="CQ9" s="69">
        <f>IF($E9=CQ$8,$G9,0)</f>
        <v/>
      </c>
      <c r="CR9" s="69">
        <f>IF($E9=CR$8,$G9,0)</f>
        <v/>
      </c>
      <c r="CS9" s="69">
        <f>IF($E9=CS$8,$G9,0)</f>
        <v/>
      </c>
      <c r="CT9" s="69">
        <f>IF($E9=CT$8,$G9,0)</f>
        <v/>
      </c>
      <c r="CU9" s="69">
        <f>IF($E9=CU$8,$G9,0)</f>
        <v/>
      </c>
      <c r="CV9" s="69">
        <f>IF($E9=CV$8,$G9,0)</f>
        <v/>
      </c>
      <c r="CW9" s="69">
        <f>IF($E9=CW$8,$G9,0)</f>
        <v/>
      </c>
      <c r="CX9" s="69">
        <f>IF($E9=CX$8,$G9,0)</f>
        <v/>
      </c>
      <c r="CY9" s="69">
        <f>IF($E9=CY$8,$G9,0)</f>
        <v/>
      </c>
      <c r="CZ9" s="69">
        <f>IF($E9=CZ$8,$G9,0)</f>
        <v/>
      </c>
      <c r="DA9" s="70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SEPTIEMBRE!$I10-SEPTIEMBRE!$H10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66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SEPTIEMBRE!$I11-SEPTIEMBRE!$H11</f>
        <v/>
      </c>
      <c r="H11" s="121" t="n"/>
      <c r="I11" s="121" t="n"/>
      <c r="J11" s="123" t="n"/>
      <c r="K11" s="120" t="n"/>
      <c r="L11" s="64" t="n"/>
      <c r="M11" s="5" t="n"/>
      <c r="N11" s="71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SEPTIEMBRE!$I12-SEPTIEMBRE!$H12</f>
        <v/>
      </c>
      <c r="H12" s="121" t="n"/>
      <c r="I12" s="121" t="n"/>
      <c r="J12" s="123" t="n"/>
      <c r="K12" s="120" t="n"/>
      <c r="L12" s="64" t="n"/>
      <c r="M12" s="5" t="n"/>
      <c r="N12" s="71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 ht="16.5" customHeight="1" s="129">
      <c r="A13" s="1" t="n"/>
      <c r="B13" s="48" t="n"/>
      <c r="C13" s="49" t="n"/>
      <c r="D13" s="120" t="n"/>
      <c r="E13" s="120" t="n"/>
      <c r="F13" s="120" t="n"/>
      <c r="G13" s="63">
        <f>SEPTIEMBRE!$I13-SEPTIEMBRE!$H13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SEPTIEMBRE!$I14-SEPTIEMBRE!$H14</f>
        <v/>
      </c>
      <c r="H14" s="121" t="n"/>
      <c r="I14" s="121" t="n"/>
      <c r="J14" s="123" t="n"/>
      <c r="K14" s="120" t="n"/>
      <c r="L14" s="64" t="n"/>
      <c r="M14" s="5" t="n"/>
      <c r="N14" s="71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SEPTIEMBRE!$I15-SEPTIEMBRE!$H15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SEPTIEMBRE!$I16-SEPTIEMBRE!$H16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SEPTIEMBRE!$I17-SEPTIEMBRE!$H17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66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SEPTIEMBRE!$I18-SEPTIEMBRE!$H18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80" t="n"/>
      <c r="E19" s="120" t="n"/>
      <c r="F19" s="120" t="n"/>
      <c r="G19" s="63">
        <f>SEPTIEMBRE!$I19-SEPTIEMBRE!$H19</f>
        <v/>
      </c>
      <c r="H19" s="121" t="n"/>
      <c r="I19" s="121" t="n"/>
      <c r="J19" s="123" t="n"/>
      <c r="K19" s="120" t="n"/>
      <c r="L19" s="64" t="n"/>
      <c r="M19" s="5" t="n"/>
      <c r="N19" s="71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SEPTIEMBRE!$I20-SEPTIEMBRE!$H20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SEPTIEMBRE!$I21-SEPTIEMBRE!$H21</f>
        <v/>
      </c>
      <c r="H21" s="121" t="n"/>
      <c r="I21" s="121" t="n"/>
      <c r="J21" s="123" t="n"/>
      <c r="K21" s="120" t="n"/>
      <c r="L21" s="64" t="n"/>
      <c r="M21" s="5" t="n"/>
      <c r="N21" s="71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SEPTIEMBRE!$I22-SEPTIEMBRE!$H22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SEPTIEMBRE!$I23-SEPTIEMBRE!$H23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SEPTIEMBRE!$I24-SEPTIEMBRE!$H24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SEPTIEMBRE!$I25-SEPTIEMBRE!$H25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SEPTIEMBRE!$I26-SEPTIEMBRE!$H26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SEPTIEMBRE!$I27-SEPTIEMBRE!$H27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SEPTIEMBRE!$I28-SEPTIEMBRE!$H28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0" t="n"/>
      <c r="E29" s="120" t="n"/>
      <c r="F29" s="120" t="n"/>
      <c r="G29" s="63">
        <f>SEPTIEMBRE!$I29-SEPTIEMBRE!$H29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SEPTIEMBRE!$I30-SEPTIEMBRE!$H30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66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SEPTIEMBRE!$I31-SEPTIEMBRE!$H31</f>
        <v/>
      </c>
      <c r="H31" s="121" t="n"/>
      <c r="I31" s="121" t="n"/>
      <c r="J31" s="123" t="n"/>
      <c r="K31" s="120" t="n"/>
      <c r="L31" s="64" t="n"/>
      <c r="M31" s="5" t="n"/>
      <c r="N31" s="71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SEPTIEMBRE!$I32-SEPTIEMBRE!$H32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SEPTIEMBRE!$I33-SEPTIEMBRE!$H33</f>
        <v/>
      </c>
      <c r="H33" s="121" t="n"/>
      <c r="I33" s="121" t="n"/>
      <c r="J33" s="123" t="n"/>
      <c r="K33" s="120" t="n"/>
      <c r="L33" s="64" t="n"/>
      <c r="M33" s="5" t="n"/>
      <c r="N33" s="71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SEPTIEMBRE!$I34-SEPTIEMBRE!$H34</f>
        <v/>
      </c>
      <c r="H34" s="121" t="n"/>
      <c r="I34" s="121" t="n"/>
      <c r="J34" s="123" t="n"/>
      <c r="K34" s="120" t="n"/>
      <c r="L34" s="64" t="n"/>
      <c r="M34" s="5" t="n"/>
      <c r="N34" s="71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SEPTIEMBRE!$I35-SEPTIEMBRE!$H35</f>
        <v/>
      </c>
      <c r="H35" s="121" t="n"/>
      <c r="I35" s="121" t="n"/>
      <c r="J35" s="123" t="n"/>
      <c r="K35" s="120" t="n"/>
      <c r="L35" s="64" t="n"/>
      <c r="M35" s="5" t="n"/>
      <c r="N35" s="71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0" t="n"/>
      <c r="E36" s="120" t="n"/>
      <c r="F36" s="120" t="n"/>
      <c r="G36" s="63">
        <f>SEPTIEMBRE!$I36-SEPTIEMBRE!$H36</f>
        <v/>
      </c>
      <c r="H36" s="121" t="n"/>
      <c r="I36" s="121" t="n"/>
      <c r="J36" s="123" t="n"/>
      <c r="K36" s="120" t="n"/>
      <c r="L36" s="64" t="n"/>
      <c r="M36" s="5" t="n"/>
      <c r="N36" s="71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SEPTIEMBRE!$I37-SEPTIEMBRE!$H37</f>
        <v/>
      </c>
      <c r="H37" s="121" t="n"/>
      <c r="I37" s="121" t="n"/>
      <c r="J37" s="123" t="n"/>
      <c r="K37" s="120" t="n"/>
      <c r="L37" s="64" t="n"/>
      <c r="M37" s="5" t="n"/>
      <c r="N37" s="71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SEPTIEMBRE!$I38-SEPTIEMBRE!$H38</f>
        <v/>
      </c>
      <c r="H38" s="121" t="n"/>
      <c r="I38" s="121" t="n"/>
      <c r="J38" s="123" t="n"/>
      <c r="K38" s="120" t="n"/>
      <c r="L38" s="64" t="n"/>
      <c r="M38" s="5" t="n"/>
      <c r="N38" s="71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SEPTIEMBRE!$I39-SEPTIEMBRE!$H39</f>
        <v/>
      </c>
      <c r="H39" s="121" t="n"/>
      <c r="I39" s="121" t="n"/>
      <c r="J39" s="123" t="n"/>
      <c r="K39" s="120" t="n"/>
      <c r="L39" s="64" t="n"/>
      <c r="M39" s="5" t="n"/>
      <c r="N39" s="71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SEPTIEMBRE!$I40-SEPTIEMBRE!$H40</f>
        <v/>
      </c>
      <c r="H40" s="121" t="n"/>
      <c r="I40" s="121" t="n"/>
      <c r="J40" s="123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SEPTIEMBRE!$I41-SEPTIEMBRE!$H41</f>
        <v/>
      </c>
      <c r="H41" s="121" t="n"/>
      <c r="I41" s="121" t="n"/>
      <c r="J41" s="123" t="n"/>
      <c r="K41" s="120" t="n"/>
      <c r="L41" s="64" t="n"/>
      <c r="M41" s="5" t="n"/>
      <c r="N41" s="71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SEPTIEMBRE!$I42-SEPTIEMBRE!$H42</f>
        <v/>
      </c>
      <c r="H42" s="121" t="n"/>
      <c r="I42" s="121" t="n"/>
      <c r="J42" s="123" t="n"/>
      <c r="K42" s="120" t="n"/>
      <c r="L42" s="64" t="n"/>
      <c r="M42" s="5" t="n"/>
      <c r="N42" s="71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SEPTIEMBRE!$I43-SEPTIEMBRE!$H43</f>
        <v/>
      </c>
      <c r="H43" s="121" t="n"/>
      <c r="I43" s="121" t="n"/>
      <c r="J43" s="123" t="n"/>
      <c r="K43" s="120" t="n"/>
      <c r="L43" s="64" t="n"/>
      <c r="M43" s="5" t="n"/>
      <c r="N43" s="71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SEPTIEMBRE!$I44-SEPTIEMBRE!$H44</f>
        <v/>
      </c>
      <c r="H44" s="121" t="n"/>
      <c r="I44" s="121" t="n"/>
      <c r="J44" s="123" t="n"/>
      <c r="K44" s="120" t="n"/>
      <c r="L44" s="64" t="n"/>
      <c r="M44" s="5" t="n"/>
      <c r="N44" s="71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SEPTIEMBRE!$I45-SEPTIEMBRE!$H45</f>
        <v/>
      </c>
      <c r="H45" s="121" t="n"/>
      <c r="I45" s="121" t="n"/>
      <c r="J45" s="123" t="n"/>
      <c r="K45" s="120" t="n"/>
      <c r="L45" s="64" t="n"/>
      <c r="M45" s="5" t="n"/>
      <c r="N45" s="71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0" t="n"/>
      <c r="E46" s="120" t="n"/>
      <c r="F46" s="120" t="n"/>
      <c r="G46" s="63">
        <f>SEPTIEMBRE!$I46-SEPTIEMBRE!$H46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0" t="n"/>
      <c r="E47" s="120" t="n"/>
      <c r="F47" s="120" t="n"/>
      <c r="G47" s="63">
        <f>SEPTIEMBRE!$I47-SEPTIEMBRE!$H47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0" t="n"/>
      <c r="E48" s="120" t="n"/>
      <c r="F48" s="120" t="n"/>
      <c r="G48" s="63">
        <f>SEPTIEMBRE!$I48-SEPTIEMBRE!$H48</f>
        <v/>
      </c>
      <c r="H48" s="121" t="n"/>
      <c r="I48" s="121" t="n"/>
      <c r="J48" s="123" t="n"/>
      <c r="K48" s="120" t="n"/>
      <c r="L48" s="64" t="n"/>
      <c r="M48" s="5" t="n"/>
      <c r="N48" s="71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0" t="n"/>
      <c r="E49" s="120" t="n"/>
      <c r="F49" s="120" t="n"/>
      <c r="G49" s="63">
        <f>SEPTIEMBRE!$I49-SEPTIEMBRE!$H49</f>
        <v/>
      </c>
      <c r="H49" s="121" t="n"/>
      <c r="I49" s="121" t="n"/>
      <c r="J49" s="123" t="n"/>
      <c r="K49" s="120" t="n"/>
      <c r="L49" s="64" t="n"/>
      <c r="M49" s="5" t="n"/>
      <c r="N49" s="71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SEPTIEMBRE!$I50-SEPTIEMBRE!$H50</f>
        <v/>
      </c>
      <c r="H50" s="121" t="n"/>
      <c r="I50" s="121" t="n"/>
      <c r="J50" s="123" t="n"/>
      <c r="K50" s="120" t="n"/>
      <c r="L50" s="64" t="n"/>
      <c r="M50" s="5" t="n"/>
      <c r="N50" s="71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SEPTIEMBRE!$I51-SEPTIEMBRE!$H51</f>
        <v/>
      </c>
      <c r="H51" s="121" t="n"/>
      <c r="I51" s="121" t="n"/>
      <c r="J51" s="123" t="n"/>
      <c r="K51" s="120" t="n"/>
      <c r="L51" s="64" t="n"/>
      <c r="M51" s="5" t="n"/>
      <c r="N51" s="71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SEPTIEMBRE!$I52-SEPTIEMBRE!$H52</f>
        <v/>
      </c>
      <c r="H52" s="121" t="n"/>
      <c r="I52" s="121" t="n"/>
      <c r="J52" s="123" t="n"/>
      <c r="K52" s="120" t="n"/>
      <c r="L52" s="64" t="n"/>
      <c r="M52" s="5" t="n"/>
      <c r="N52" s="71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0" t="n"/>
      <c r="E53" s="120" t="n"/>
      <c r="F53" s="120" t="n"/>
      <c r="G53" s="63">
        <f>SEPTIEMBRE!$I53-SEPTIEMBRE!$H53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0" t="n"/>
      <c r="E54" s="120" t="n"/>
      <c r="F54" s="120" t="n"/>
      <c r="G54" s="63">
        <f>SEPTIEMBRE!$I54-SEPTIEMBRE!$H54</f>
        <v/>
      </c>
      <c r="H54" s="121" t="n"/>
      <c r="I54" s="121" t="n"/>
      <c r="J54" s="123" t="n"/>
      <c r="K54" s="120" t="n"/>
      <c r="L54" s="64" t="n"/>
      <c r="M54" s="5" t="n"/>
      <c r="N54" s="71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0" t="n"/>
      <c r="E55" s="120" t="n"/>
      <c r="F55" s="120" t="n"/>
      <c r="G55" s="63">
        <f>SEPTIEMBRE!$I55-SEPTIEMBRE!$H55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0" t="n"/>
      <c r="E56" s="120" t="n"/>
      <c r="F56" s="120" t="n"/>
      <c r="G56" s="63">
        <f>SEPTIEMBRE!$I56-SEPTIEMBRE!$H56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0" t="n"/>
      <c r="E57" s="120" t="n"/>
      <c r="F57" s="120" t="n"/>
      <c r="G57" s="63">
        <f>SEPTIEMBRE!$I57-SEPTIEMBRE!$H57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0" t="n"/>
      <c r="E58" s="120" t="n"/>
      <c r="F58" s="120" t="n"/>
      <c r="G58" s="63">
        <f>SEPTIEMBRE!$I58-SEPTIEMBRE!$H58</f>
        <v/>
      </c>
      <c r="H58" s="121" t="n"/>
      <c r="I58" s="121" t="n"/>
      <c r="J58" s="123" t="n"/>
      <c r="K58" s="120" t="n"/>
      <c r="L58" s="64" t="n"/>
      <c r="M58" s="5" t="n"/>
      <c r="N58" s="71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0" t="n"/>
      <c r="E59" s="120" t="n"/>
      <c r="F59" s="120" t="n"/>
      <c r="G59" s="63">
        <f>SEPTIEMBRE!$I59-SEPTIEMBRE!$H59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0" t="n"/>
      <c r="E60" s="120" t="n"/>
      <c r="F60" s="120" t="n"/>
      <c r="G60" s="63">
        <f>SEPTIEMBRE!$I60-SEPTIEMBRE!$H60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0" t="n"/>
      <c r="E61" s="120" t="n"/>
      <c r="F61" s="120" t="n"/>
      <c r="G61" s="63">
        <f>SEPTIEMBRE!$I61-SEPTIEMBRE!$H61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0" t="n"/>
      <c r="E62" s="120" t="n"/>
      <c r="F62" s="120" t="n"/>
      <c r="G62" s="63">
        <f>SEPTIEMBRE!$I62-SEPTIEMBRE!$H62</f>
        <v/>
      </c>
      <c r="H62" s="121" t="n"/>
      <c r="I62" s="121" t="n"/>
      <c r="J62" s="123" t="n"/>
      <c r="K62" s="120" t="n"/>
      <c r="L62" s="64" t="n"/>
      <c r="M62" s="5" t="n"/>
      <c r="N62" s="71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0" t="n"/>
      <c r="E63" s="120" t="n"/>
      <c r="F63" s="120" t="n"/>
      <c r="G63" s="63">
        <f>SEPTIEMBRE!$I63-SEPTIEMBRE!$H63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0" t="n"/>
      <c r="E64" s="120" t="n"/>
      <c r="F64" s="120" t="n"/>
      <c r="G64" s="63">
        <f>SEPTIEMBRE!$I64-SEPTIEMBRE!$H64</f>
        <v/>
      </c>
      <c r="H64" s="121" t="n"/>
      <c r="I64" s="121" t="n"/>
      <c r="J64" s="123" t="n"/>
      <c r="K64" s="120" t="n"/>
      <c r="L64" s="64" t="n"/>
      <c r="M64" s="5" t="n"/>
      <c r="N64" s="71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0" t="n"/>
      <c r="E65" s="120" t="n"/>
      <c r="F65" s="120" t="n"/>
      <c r="G65" s="63">
        <f>SEPTIEMBRE!$I65-SEPTIEMBRE!$H65</f>
        <v/>
      </c>
      <c r="H65" s="121" t="n"/>
      <c r="I65" s="121" t="n"/>
      <c r="J65" s="123" t="n"/>
      <c r="K65" s="120" t="n"/>
      <c r="L65" s="64" t="n"/>
      <c r="M65" s="5" t="n"/>
      <c r="N65" s="71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0" t="n"/>
      <c r="E66" s="120" t="n"/>
      <c r="F66" s="120" t="n"/>
      <c r="G66" s="63">
        <f>SEPTIEMBRE!$I66-SEPTIEMBRE!$H66</f>
        <v/>
      </c>
      <c r="H66" s="121" t="n"/>
      <c r="I66" s="121" t="n"/>
      <c r="J66" s="123" t="n"/>
      <c r="K66" s="120" t="n"/>
      <c r="L66" s="64" t="n"/>
      <c r="M66" s="5" t="n"/>
      <c r="N66" s="71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0" t="n"/>
      <c r="E67" s="120" t="n"/>
      <c r="F67" s="120" t="n"/>
      <c r="G67" s="63">
        <f>SEPTIEMBRE!$I67-SEPTIEMBRE!$H67</f>
        <v/>
      </c>
      <c r="H67" s="121" t="n"/>
      <c r="I67" s="121" t="n"/>
      <c r="J67" s="123" t="n"/>
      <c r="K67" s="120" t="n"/>
      <c r="L67" s="64" t="n"/>
      <c r="M67" s="5" t="n"/>
      <c r="N67" s="71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0" t="n"/>
      <c r="E68" s="120" t="n"/>
      <c r="F68" s="120" t="n"/>
      <c r="G68" s="63">
        <f>SEPTIEMBRE!$I68-SEPTIEMBRE!$H68</f>
        <v/>
      </c>
      <c r="H68" s="121" t="n"/>
      <c r="I68" s="121" t="n"/>
      <c r="J68" s="123" t="n"/>
      <c r="K68" s="120" t="n"/>
      <c r="L68" s="64" t="n"/>
      <c r="M68" s="5" t="n"/>
      <c r="N68" s="71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0" t="n"/>
      <c r="E69" s="120" t="n"/>
      <c r="F69" s="120" t="n"/>
      <c r="G69" s="63">
        <f>SEPTIEMBRE!$I69-SEPTIEMBRE!$H69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0" t="n"/>
      <c r="E70" s="120" t="n"/>
      <c r="F70" s="120" t="n"/>
      <c r="G70" s="63">
        <f>SEPTIEMBRE!$I70-SEPTIEMBRE!$H70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0" t="n"/>
      <c r="E71" s="120" t="n"/>
      <c r="F71" s="120" t="n"/>
      <c r="G71" s="63">
        <f>SEPTIEMBRE!$I71-SEPTIEMBRE!$H71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0" t="n"/>
      <c r="E72" s="120" t="n"/>
      <c r="F72" s="120" t="n"/>
      <c r="G72" s="63">
        <f>SEPTIEMBRE!$I72-SEPTIEMBRE!$H72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0" t="n"/>
      <c r="E73" s="120" t="n"/>
      <c r="F73" s="120" t="n"/>
      <c r="G73" s="63">
        <f>SEPTIEMBRE!$I73-SEPTIEMBRE!$H73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SEPTIEMBRE!$I74-SEPTIEMBRE!$H74</f>
        <v/>
      </c>
      <c r="H74" s="121" t="n"/>
      <c r="I74" s="121" t="n"/>
      <c r="J74" s="123" t="n"/>
      <c r="K74" s="120" t="n"/>
      <c r="L74" s="64" t="n"/>
      <c r="M74" s="5" t="n"/>
      <c r="N74" s="71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SEPTIEMBRE!$I75-SEPTIEMBRE!$H75</f>
        <v/>
      </c>
      <c r="H75" s="121" t="n"/>
      <c r="I75" s="121" t="n"/>
      <c r="J75" s="123" t="n"/>
      <c r="K75" s="120" t="n"/>
      <c r="L75" s="64" t="n"/>
      <c r="M75" s="5" t="n"/>
      <c r="N75" s="71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0" t="n"/>
      <c r="E76" s="120" t="n"/>
      <c r="F76" s="120" t="n"/>
      <c r="G76" s="63">
        <f>SEPTIEMBRE!$I76-SEPTIEMBRE!$H76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SEPTIEMBRE!$I77-SEPTIEMBRE!$H77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SEPTIEMBRE!$I78-SEPTIEMBRE!$H78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SEPTIEMBRE!$I79-SEPTIEMBRE!$H79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SEPTIEMBRE!$I80-SEPTIEMBRE!$H80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SEPTIEMBRE!$I81-SEPTIEMBRE!$H81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SEPTIEMBRE!$I82-SEPTIEMBRE!$H82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SEPTIEMBRE!$I83-SEPTIEMBRE!$H83</f>
        <v/>
      </c>
      <c r="H83" s="121" t="n"/>
      <c r="I83" s="121" t="n"/>
      <c r="J83" s="123" t="n"/>
      <c r="K83" s="120" t="n"/>
      <c r="L83" s="64" t="n"/>
      <c r="M83" s="5" t="n"/>
      <c r="N83" s="71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SEPTIEMBRE!$I84-SEPTIEMBRE!$H84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SEPTIEMBRE!$I85-SEPTIEMBRE!$H85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SEPTIEMBRE!$I86-SEPTIEMBRE!$H86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SEPTIEMBRE!$I87-SEPTIEMBRE!$H87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SEPTIEMBRE!$I88-SEPTIEMBRE!$H88</f>
        <v/>
      </c>
      <c r="H88" s="121" t="n"/>
      <c r="I88" s="121" t="n"/>
      <c r="J88" s="123" t="n"/>
      <c r="K88" s="120" t="n"/>
      <c r="L88" s="64" t="n"/>
      <c r="M88" s="5" t="n"/>
      <c r="N88" s="71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SEPTIEMBRE!$I89-SEPTIEMBRE!$H89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SEPTIEMBRE!$I90-SEPTIEMBRE!$H90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SEPTIEMBRE!$I91-SEPTIEMBRE!$H91</f>
        <v/>
      </c>
      <c r="H91" s="121" t="n"/>
      <c r="I91" s="121" t="n"/>
      <c r="J91" s="123" t="n"/>
      <c r="K91" s="120" t="n"/>
      <c r="L91" s="64" t="n"/>
      <c r="M91" s="5" t="n"/>
      <c r="N91" s="71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SEPTIEMBRE!$I92-SEPTIEMBRE!$H92</f>
        <v/>
      </c>
      <c r="H92" s="121" t="n"/>
      <c r="I92" s="121" t="n"/>
      <c r="J92" s="123" t="n"/>
      <c r="K92" s="120" t="n"/>
      <c r="L92" s="64" t="n"/>
      <c r="M92" s="5" t="n"/>
      <c r="N92" s="71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SEPTIEMBRE!$I93-SEPTIEMBRE!$H93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SEPTIEMBRE!$I94-SEPTIEMBRE!$H94</f>
        <v/>
      </c>
      <c r="H94" s="121" t="n"/>
      <c r="I94" s="121" t="n"/>
      <c r="J94" s="123" t="n"/>
      <c r="K94" s="120" t="n"/>
      <c r="L94" s="64" t="n"/>
      <c r="M94" s="5" t="n"/>
      <c r="N94" s="71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SEPTIEMBRE!$I95-SEPTIEMBRE!$H95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SEPTIEMBRE!$I96-SEPTIEMBRE!$H96</f>
        <v/>
      </c>
      <c r="H96" s="121" t="n"/>
      <c r="I96" s="121" t="n"/>
      <c r="J96" s="123" t="n"/>
      <c r="K96" s="120" t="n"/>
      <c r="L96" s="64" t="n"/>
      <c r="M96" s="5" t="n"/>
      <c r="N96" s="71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SEPTIEMBRE!$I97-SEPTIEMBRE!$H97</f>
        <v/>
      </c>
      <c r="H97" s="121" t="n"/>
      <c r="I97" s="121" t="n"/>
      <c r="J97" s="123" t="n"/>
      <c r="K97" s="120" t="n"/>
      <c r="L97" s="64" t="n"/>
      <c r="M97" s="5" t="n"/>
      <c r="N97" s="71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SEPTIEMBRE!$I98-SEPTIEMBRE!$H98</f>
        <v/>
      </c>
      <c r="H98" s="121" t="n"/>
      <c r="I98" s="121" t="n"/>
      <c r="J98" s="123" t="n"/>
      <c r="K98" s="120" t="n"/>
      <c r="L98" s="64" t="n"/>
      <c r="M98" s="5" t="n"/>
      <c r="N98" s="71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SEPTIEMBRE!$I99-SEPTIEMBRE!$H99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SEPTIEMBRE!$I100-SEPTIEMBRE!$H100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SEPTIEMBRE!$I101-SEPTIEMBRE!$H101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SEPTIEMBRE!$I102-SEPTIEMBRE!$H102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SEPTIEMBRE!$I103-SEPTIEMBRE!$H103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SEPTIEMBRE!$I104-SEPTIEMBRE!$H104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SEPTIEMBRE!$I105-SEPTIEMBRE!$H105</f>
        <v/>
      </c>
      <c r="H105" s="121" t="n"/>
      <c r="I105" s="121" t="n"/>
      <c r="J105" s="123" t="n"/>
      <c r="K105" s="120" t="n"/>
      <c r="L105" s="64" t="n"/>
      <c r="M105" s="5" t="n"/>
      <c r="N105" s="71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SEPTIEMBRE!$I106-SEPTIEMBRE!$H106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SEPTIEMBRE!$I107-SEPTIEMBRE!$H107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SEPTIEMBRE!$I108-SEPTIEMBRE!$H108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SEPTIEMBRE!$I109-SEPTIEMBRE!$H109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SEPTIEMBRE!$I110-SEPTIEMBRE!$H110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SEPTIEMBRE!$I111-SEPTIEMBRE!$H111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SEPTIEMBRE!$I112-SEPTIEMBRE!$H112</f>
        <v/>
      </c>
      <c r="H112" s="121" t="n"/>
      <c r="I112" s="121" t="n"/>
      <c r="J112" s="123" t="n"/>
      <c r="K112" s="120" t="n"/>
      <c r="L112" s="64" t="n"/>
      <c r="M112" s="5" t="n"/>
      <c r="N112" s="71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SEPTIEMBRE!$I113-SEPTIEMBRE!$H113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SEPTIEMBRE!$I114-SEPTIEMBRE!$H114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SEPTIEMBRE!$I115-SEPTIEMBRE!$H115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SEPTIEMBRE!$I116-SEPTIEMBRE!$H116</f>
        <v/>
      </c>
      <c r="H116" s="121" t="n"/>
      <c r="I116" s="121" t="n"/>
      <c r="J116" s="123" t="n"/>
      <c r="K116" s="120" t="n"/>
      <c r="L116" s="64" t="n"/>
      <c r="M116" s="5" t="n"/>
      <c r="N116" s="71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SEPTIEMBRE!$I117-SEPTIEMBRE!$H117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SEPTIEMBRE!$I118-SEPTIEMBRE!$H118</f>
        <v/>
      </c>
      <c r="H118" s="121" t="n"/>
      <c r="I118" s="121" t="n"/>
      <c r="J118" s="123" t="n"/>
      <c r="K118" s="120" t="n"/>
      <c r="L118" s="64" t="n"/>
      <c r="M118" s="5" t="n"/>
      <c r="N118" s="71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SEPTIEMBRE!$I119-SEPTIEMBRE!$H119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SEPTIEMBRE!$I120-SEPTIEMBRE!$H120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SEPTIEMBRE!$I121-SEPTIEMBRE!$H121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SEPTIEMBRE!$I122-SEPTIEMBRE!$H122</f>
        <v/>
      </c>
      <c r="H122" s="121" t="n"/>
      <c r="I122" s="121" t="n"/>
      <c r="J122" s="123" t="n"/>
      <c r="K122" s="120" t="n"/>
      <c r="L122" s="64" t="n"/>
      <c r="M122" s="5" t="n"/>
      <c r="N122" s="71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SEPTIEMBRE!$I123-SEPTIEMBRE!$H123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SEPTIEMBRE!$I124-SEPTIEMBRE!$H124</f>
        <v/>
      </c>
      <c r="H124" s="121" t="n"/>
      <c r="I124" s="121" t="n"/>
      <c r="J124" s="123" t="n"/>
      <c r="K124" s="120" t="n"/>
      <c r="L124" s="64" t="n"/>
      <c r="M124" s="5" t="n"/>
      <c r="N124" s="71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SEPTIEMBRE!$I125-SEPTIEMBRE!$H125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SEPTIEMBRE!$I126-SEPTIEMBRE!$H126</f>
        <v/>
      </c>
      <c r="H126" s="121" t="n"/>
      <c r="I126" s="121" t="n"/>
      <c r="J126" s="123" t="n"/>
      <c r="K126" s="120" t="n"/>
      <c r="L126" s="64" t="n"/>
      <c r="M126" s="5" t="n"/>
      <c r="N126" s="71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SEPTIEMBRE!$I127-SEPTIEMBRE!$H127</f>
        <v/>
      </c>
      <c r="H127" s="121" t="n"/>
      <c r="I127" s="121" t="n"/>
      <c r="J127" s="123" t="n"/>
      <c r="K127" s="120" t="n"/>
      <c r="L127" s="64" t="n"/>
      <c r="M127" s="5" t="n"/>
      <c r="N127" s="71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SEPTIEMBRE!$I128-SEPTIEMBRE!$H128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SEPTIEMBRE!$I129-SEPTIEMBRE!$H129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SEPTIEMBRE!$I130-SEPTIEMBRE!$H130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SEPTIEMBRE!$I131-SEPTIEMBRE!$H131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SEPTIEMBRE!$I132-SEPTIEMBRE!$H132</f>
        <v/>
      </c>
      <c r="H132" s="121" t="n"/>
      <c r="I132" s="121" t="n"/>
      <c r="J132" s="123" t="n"/>
      <c r="K132" s="120" t="n"/>
      <c r="L132" s="64" t="n"/>
      <c r="M132" s="5" t="n"/>
      <c r="N132" s="71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SEPTIEMBRE!$I133-SEPTIEMBRE!$H133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SEPTIEMBRE!$I134-SEPTIEMBRE!$H134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SEPTIEMBRE!$I135-SEPTIEMBRE!$H135</f>
        <v/>
      </c>
      <c r="H135" s="121" t="n"/>
      <c r="I135" s="121" t="n"/>
      <c r="J135" s="123" t="n"/>
      <c r="K135" s="120" t="n"/>
      <c r="L135" s="64" t="n"/>
      <c r="M135" s="5" t="n"/>
      <c r="N135" s="71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SEPTIEMBRE!$I136-SEPTIEMBRE!$H136</f>
        <v/>
      </c>
      <c r="H136" s="121" t="n"/>
      <c r="I136" s="121" t="n"/>
      <c r="J136" s="123" t="n"/>
      <c r="K136" s="120" t="n"/>
      <c r="L136" s="64" t="n"/>
      <c r="M136" s="5" t="n"/>
      <c r="N136" s="71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SEPTIEMBRE!$I137-SEPTIEMBRE!$H137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SEPTIEMBRE!$I138-SEPTIEMBRE!$H138</f>
        <v/>
      </c>
      <c r="H138" s="121" t="n"/>
      <c r="I138" s="121" t="n"/>
      <c r="J138" s="123" t="n"/>
      <c r="K138" s="120" t="n"/>
      <c r="L138" s="64" t="n"/>
      <c r="M138" s="5" t="n"/>
      <c r="N138" s="71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SEPTIEMBRE!$I139-SEPTIEMBRE!$H139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SEPTIEMBRE!$I140-SEPTIEMBRE!$H140</f>
        <v/>
      </c>
      <c r="H140" s="121" t="n"/>
      <c r="I140" s="121" t="n"/>
      <c r="J140" s="123" t="n"/>
      <c r="K140" s="120" t="n"/>
      <c r="L140" s="64" t="n"/>
      <c r="M140" s="5" t="n"/>
      <c r="N140" s="71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SEPTIEMBRE!$I141-SEPTIEMBRE!$H141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SEPTIEMBRE!$I142-SEPTIEMBRE!$H142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SEPTIEMBRE!$I143-SEPTIEMBRE!$H143</f>
        <v/>
      </c>
      <c r="H143" s="121" t="n"/>
      <c r="I143" s="121" t="n"/>
      <c r="J143" s="123" t="n"/>
      <c r="K143" s="120" t="n"/>
      <c r="L143" s="64" t="n"/>
      <c r="M143" s="5" t="n"/>
      <c r="N143" s="71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SEPTIEMBRE!$I144-SEPTIEMBRE!$H144</f>
        <v/>
      </c>
      <c r="H144" s="121" t="n"/>
      <c r="I144" s="121" t="n"/>
      <c r="J144" s="123" t="n"/>
      <c r="K144" s="120" t="n"/>
      <c r="L144" s="64" t="n"/>
      <c r="M144" s="5" t="n"/>
      <c r="N144" s="71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SEPTIEMBRE!$I145-SEPTIEMBRE!$H145</f>
        <v/>
      </c>
      <c r="H145" s="121" t="n"/>
      <c r="I145" s="121" t="n"/>
      <c r="J145" s="123" t="n"/>
      <c r="K145" s="120" t="n"/>
      <c r="L145" s="64" t="n"/>
      <c r="M145" s="5" t="n"/>
      <c r="N145" s="71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SEPTIEMBRE!$I146-SEPTIEMBRE!$H146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SEPTIEMBRE!$I147-SEPTIEMBRE!$H147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SEPTIEMBRE!$I148-SEPTIEMBRE!$H148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SEPTIEMBRE!$I149-SEPTIEMBRE!$H149</f>
        <v/>
      </c>
      <c r="H149" s="121" t="n"/>
      <c r="I149" s="121" t="n"/>
      <c r="J149" s="123" t="n"/>
      <c r="K149" s="120" t="n"/>
      <c r="L149" s="64" t="n"/>
      <c r="M149" s="5" t="n"/>
      <c r="N149" s="71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SEPTIEMBRE!$I150-SEPTIEMBRE!$H150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SEPTIEMBRE!$I151-SEPTIEMBRE!$H151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SEPTIEMBRE!$I152-SEPTIEMBRE!$H152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SEPTIEMBRE!$I153-SEPTIEMBRE!$H153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66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SEPTIEMBRE!$I154-SEPTIEMBRE!$H154</f>
        <v/>
      </c>
      <c r="H154" s="121" t="n"/>
      <c r="I154" s="121" t="n"/>
      <c r="J154" s="123" t="n"/>
      <c r="K154" s="120" t="n"/>
      <c r="L154" s="64" t="n"/>
      <c r="M154" s="5" t="n"/>
      <c r="N154" s="71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SEPTIEMBRE!$I155-SEPTIEMBRE!$H155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SEPTIEMBRE!$I156-SEPTIEMBRE!$H156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SEPTIEMBRE!$I157-SEPTIEMBRE!$H157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SEPTIEMBRE!$I158-SEPTIEMBRE!$H158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SEPTIEMBRE!$I159-SEPTIEMBRE!$H159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SEPTIEMBRE!$I160-SEPTIEMBRE!$H160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SEPTIEMBRE!$I161-SEPTIEMBRE!$H161</f>
        <v/>
      </c>
      <c r="H161" s="121" t="n"/>
      <c r="I161" s="121" t="n"/>
      <c r="J161" s="123" t="n"/>
      <c r="K161" s="120" t="n"/>
      <c r="L161" s="64" t="n"/>
      <c r="M161" s="5" t="n"/>
      <c r="N161" s="71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SEPTIEMBRE!$I162-SEPTIEMBRE!$H162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SEPTIEMBRE!$I163-SEPTIEMBRE!$H163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SEPTIEMBRE!$I164-SEPTIEMBRE!$H164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SEPTIEMBRE!$I165-SEPTIEMBRE!$H165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SEPTIEMBRE!$I166-SEPTIEMBRE!$H166</f>
        <v/>
      </c>
      <c r="H166" s="121" t="n"/>
      <c r="I166" s="121" t="n"/>
      <c r="J166" s="123" t="n"/>
      <c r="K166" s="120" t="n"/>
      <c r="L166" s="64" t="n"/>
      <c r="M166" s="5" t="n"/>
      <c r="N166" s="71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SEPTIEMBRE!$I167-SEPTIEMBRE!$H167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SEPTIEMBRE!$I168-SEPTIEMBRE!$H168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SEPTIEMBRE!$I169-SEPTIEMBRE!$H169</f>
        <v/>
      </c>
      <c r="H169" s="121" t="n"/>
      <c r="I169" s="121" t="n"/>
      <c r="J169" s="123" t="n"/>
      <c r="K169" s="120" t="n"/>
      <c r="L169" s="64" t="n"/>
      <c r="M169" s="5" t="n"/>
      <c r="N169" s="71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SEPTIEMBRE!$I170-SEPTIEMBRE!$H170</f>
        <v/>
      </c>
      <c r="H170" s="121" t="n"/>
      <c r="I170" s="121" t="n"/>
      <c r="J170" s="123" t="n"/>
      <c r="K170" s="120" t="n"/>
      <c r="L170" s="64" t="n"/>
      <c r="M170" s="5" t="n"/>
      <c r="N170" s="71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SEPTIEMBRE!$I171-SEPTIEMBRE!$H171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SEPTIEMBRE!$I172-SEPTIEMBRE!$H172</f>
        <v/>
      </c>
      <c r="H172" s="121" t="n"/>
      <c r="I172" s="121" t="n"/>
      <c r="J172" s="123" t="n"/>
      <c r="K172" s="120" t="n"/>
      <c r="L172" s="64" t="n"/>
      <c r="M172" s="5" t="n"/>
      <c r="N172" s="71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SEPTIEMBRE!$I173-SEPTIEMBRE!$H173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SEPTIEMBRE!$I174-SEPTIEMBRE!$H174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SEPTIEMBRE!$I175-SEPTIEMBRE!$H175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SEPTIEMBRE!$I176-SEPTIEMBRE!$H176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SEPTIEMBRE!$I177-SEPTIEMBRE!$H177</f>
        <v/>
      </c>
      <c r="H177" s="121" t="n"/>
      <c r="I177" s="121" t="n"/>
      <c r="J177" s="123" t="n"/>
      <c r="K177" s="120" t="n"/>
      <c r="L177" s="64" t="n"/>
      <c r="M177" s="5" t="n"/>
      <c r="N177" s="71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SEPTIEMBRE!$I178-SEPTIEMBRE!$H178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SEPTIEMBRE!$I179-SEPTIEMBRE!$H179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SEPTIEMBRE!$I180-SEPTIEMBRE!$H180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SEPTIEMBRE!$I181-SEPTIEMBRE!$H181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SEPTIEMBRE!$I182-SEPTIEMBRE!$H182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SEPTIEMBRE!$I183-SEPTIEMBRE!$H183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SEPTIEMBRE!$I184-SEPTIEMBRE!$H184</f>
        <v/>
      </c>
      <c r="H184" s="121" t="n"/>
      <c r="I184" s="121" t="n"/>
      <c r="J184" s="123" t="n"/>
      <c r="K184" s="120" t="n"/>
      <c r="L184" s="64" t="n"/>
      <c r="M184" s="5" t="n"/>
      <c r="N184" s="71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SEPTIEMBRE!$I185-SEPTIEMBRE!$H185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SEPTIEMBRE!$I186-SEPTIEMBRE!$H186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SEPTIEMBRE!$I187-SEPTIEMBRE!$H187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SEPTIEMBRE!$I188-SEPTIEMBRE!$H188</f>
        <v/>
      </c>
      <c r="H188" s="121" t="n"/>
      <c r="I188" s="121" t="n"/>
      <c r="J188" s="123" t="n"/>
      <c r="K188" s="120" t="n"/>
      <c r="L188" s="64" t="n"/>
      <c r="M188" s="5" t="n"/>
      <c r="N188" s="71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SEPTIEMBRE!$I189-SEPTIEMBRE!$H189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SEPTIEMBRE!$I190-SEPTIEMBRE!$H190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SEPTIEMBRE!$I191-SEPTIEMBRE!$H191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SEPTIEMBRE!$I192-SEPTIEMBRE!$H192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SEPTIEMBRE!$I193-SEPTIEMBRE!$H193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SEPTIEMBRE!$I194-SEPTIEMBRE!$H194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SEPTIEMBRE!$I195-SEPTIEMBRE!$H195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SEPTIEMBRE!$I196-SEPTIEMBRE!$H196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SEPTIEMBRE!$I197-SEPTIEMBRE!$H197</f>
        <v/>
      </c>
      <c r="H197" s="121" t="n"/>
      <c r="I197" s="121" t="n"/>
      <c r="J197" s="123" t="n"/>
      <c r="K197" s="120" t="n"/>
      <c r="L197" s="64" t="n"/>
      <c r="M197" s="5" t="n"/>
      <c r="N197" s="71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SEPTIEMBRE!$I198-SEPTIEMBRE!$H198</f>
        <v/>
      </c>
      <c r="H198" s="121" t="n"/>
      <c r="I198" s="121" t="n"/>
      <c r="J198" s="123" t="n"/>
      <c r="K198" s="120" t="n"/>
      <c r="L198" s="64" t="n"/>
      <c r="M198" s="5" t="n"/>
      <c r="N198" s="71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SEPTIEMBRE!$I199-SEPTIEMBRE!$H199</f>
        <v/>
      </c>
      <c r="H199" s="121" t="n"/>
      <c r="I199" s="121" t="n"/>
      <c r="J199" s="123" t="n"/>
      <c r="K199" s="120" t="n"/>
      <c r="L199" s="64" t="n"/>
      <c r="M199" s="5" t="n"/>
      <c r="N199" s="71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SEPTIEMBRE!$I200-SEPTIEMBRE!$H200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SEPTIEMBRE!$I201-SEPTIEMBRE!$H201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66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SEPTIEMBRE!$I202-SEPTIEMBRE!$H202</f>
        <v/>
      </c>
      <c r="H202" s="121" t="n"/>
      <c r="I202" s="121" t="n"/>
      <c r="J202" s="123" t="n"/>
      <c r="K202" s="120" t="n"/>
      <c r="L202" s="64" t="n"/>
      <c r="M202" s="5" t="n"/>
      <c r="N202" s="71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SEPTIEMBRE!$I203-SEPTIEMBRE!$H203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SEPTIEMBRE!$I204-SEPTIEMBRE!$H204</f>
        <v/>
      </c>
      <c r="H204" s="121" t="n"/>
      <c r="I204" s="121" t="n"/>
      <c r="J204" s="123" t="n"/>
      <c r="K204" s="120" t="n"/>
      <c r="L204" s="64" t="n"/>
      <c r="M204" s="5" t="n"/>
      <c r="N204" s="71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SEPTIEMBRE!$I205-SEPTIEMBRE!$H205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SEPTIEMBRE!$I206-SEPTIEMBRE!$H206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SEPTIEMBRE!$I207-SEPTIEMBRE!$H207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SEPTIEMBRE!$I208-SEPTIEMBRE!$H208</f>
        <v/>
      </c>
      <c r="H208" s="121" t="n"/>
      <c r="I208" s="121" t="n"/>
      <c r="J208" s="123" t="n"/>
      <c r="K208" s="120" t="n"/>
      <c r="L208" s="64" t="n"/>
      <c r="M208" s="5" t="n"/>
      <c r="N208" s="71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SEPTIEMBRE!$I209-SEPTIEMBRE!$H209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SEPTIEMBRE!$I210-SEPTIEMBRE!$H210</f>
        <v/>
      </c>
      <c r="H210" s="121" t="n"/>
      <c r="I210" s="121" t="n"/>
      <c r="J210" s="123" t="n"/>
      <c r="K210" s="120" t="n"/>
      <c r="L210" s="64" t="n"/>
      <c r="M210" s="5" t="n"/>
      <c r="N210" s="71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SEPTIEMBRE!$I211-SEPTIEMBRE!$H211</f>
        <v/>
      </c>
      <c r="H211" s="121" t="n"/>
      <c r="I211" s="121" t="n"/>
      <c r="J211" s="123" t="n"/>
      <c r="K211" s="120" t="n"/>
      <c r="L211" s="64" t="n"/>
      <c r="M211" s="5" t="n"/>
      <c r="N211" s="71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SEPTIEMBRE!$I212-SEPTIEMBRE!$H212</f>
        <v/>
      </c>
      <c r="H212" s="121" t="n"/>
      <c r="I212" s="121" t="n"/>
      <c r="J212" s="123" t="n"/>
      <c r="K212" s="120" t="n"/>
      <c r="L212" s="64" t="n"/>
      <c r="M212" s="5" t="n"/>
      <c r="N212" s="71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SEPTIEMBRE!$I213-SEPTIEMBRE!$H213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SEPTIEMBRE!$I214-SEPTIEMBRE!$H214</f>
        <v/>
      </c>
      <c r="H214" s="121" t="n"/>
      <c r="I214" s="121" t="n"/>
      <c r="J214" s="123" t="n"/>
      <c r="K214" s="120" t="n"/>
      <c r="L214" s="64" t="n"/>
      <c r="M214" s="5" t="n"/>
      <c r="N214" s="71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SEPTIEMBRE!$I215-SEPTIEMBRE!$H215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SEPTIEMBRE!$I216-SEPTIEMBRE!$H216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SEPTIEMBRE!$I217-SEPTIEMBRE!$H217</f>
        <v/>
      </c>
      <c r="H217" s="121" t="n"/>
      <c r="I217" s="121" t="n"/>
      <c r="J217" s="123" t="n"/>
      <c r="K217" s="120" t="n"/>
      <c r="L217" s="64" t="n"/>
      <c r="M217" s="5" t="n"/>
      <c r="N217" s="71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SEPTIEMBRE!$I218-SEPTIEMBRE!$H218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SEPTIEMBRE!$I219-SEPTIEMBRE!$H219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SEPTIEMBRE!$I220-SEPTIEMBRE!$H220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SEPTIEMBRE!$I221-SEPTIEMBRE!$H221</f>
        <v/>
      </c>
      <c r="H221" s="121" t="n"/>
      <c r="I221" s="121" t="n"/>
      <c r="J221" s="123" t="n"/>
      <c r="K221" s="120" t="n"/>
      <c r="L221" s="64" t="n"/>
      <c r="M221" s="5" t="n"/>
      <c r="N221" s="71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SEPTIEMBRE!$I222-SEPTIEMBRE!$H222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SEPTIEMBRE!$I223-SEPTIEMBRE!$H223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SEPTIEMBRE!$I224-SEPTIEMBRE!$H224</f>
        <v/>
      </c>
      <c r="H224" s="121" t="n"/>
      <c r="I224" s="121" t="n"/>
      <c r="J224" s="123" t="n"/>
      <c r="K224" s="120" t="n"/>
      <c r="L224" s="64" t="n"/>
      <c r="M224" s="5" t="n"/>
      <c r="N224" s="71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SEPTIEMBRE!$I225-SEPTIEMBRE!$H225</f>
        <v/>
      </c>
      <c r="H225" s="121" t="n"/>
      <c r="I225" s="121" t="n"/>
      <c r="J225" s="123" t="n"/>
      <c r="K225" s="120" t="n"/>
      <c r="L225" s="64" t="n"/>
      <c r="M225" s="5" t="n"/>
      <c r="N225" s="71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SEPTIEMBRE!$I226-SEPTIEMBRE!$H226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SEPTIEMBRE!$I227-SEPTIEMBRE!$H227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SEPTIEMBRE!$I228-SEPTIEMBRE!$H228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SEPTIEMBRE!$I229-SEPTIEMBRE!$H229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SEPTIEMBRE!$I230-SEPTIEMBRE!$H230</f>
        <v/>
      </c>
      <c r="H230" s="121" t="n"/>
      <c r="I230" s="121" t="n"/>
      <c r="J230" s="123" t="n"/>
      <c r="K230" s="120" t="n"/>
      <c r="L230" s="64" t="n"/>
      <c r="M230" s="5" t="n"/>
      <c r="N230" s="71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SEPTIEMBRE!$I231-SEPTIEMBRE!$H231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SEPTIEMBRE!$I232-SEPTIEMBRE!$H232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SEPTIEMBRE!$I233-SEPTIEMBRE!$H233</f>
        <v/>
      </c>
      <c r="H233" s="121" t="n"/>
      <c r="I233" s="121" t="n"/>
      <c r="J233" s="123" t="n"/>
      <c r="K233" s="120" t="n"/>
      <c r="L233" s="64" t="n"/>
      <c r="M233" s="5" t="n"/>
      <c r="N233" s="71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SEPTIEMBRE!$I234-SEPTIEMBRE!$H234</f>
        <v/>
      </c>
      <c r="H234" s="121" t="n"/>
      <c r="I234" s="121" t="n"/>
      <c r="J234" s="123" t="n"/>
      <c r="K234" s="120" t="n"/>
      <c r="L234" s="64" t="n"/>
      <c r="M234" s="5" t="n"/>
      <c r="N234" s="71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SEPTIEMBRE!$I235-SEPTIEMBRE!$H235</f>
        <v/>
      </c>
      <c r="H235" s="121" t="n"/>
      <c r="I235" s="121" t="n"/>
      <c r="J235" s="123" t="n"/>
      <c r="K235" s="120" t="n"/>
      <c r="L235" s="64" t="n"/>
      <c r="M235" s="5" t="n"/>
      <c r="N235" s="71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SEPTIEMBRE!$I236-SEPTIEMBRE!$H236</f>
        <v/>
      </c>
      <c r="H236" s="121" t="n"/>
      <c r="I236" s="121" t="n"/>
      <c r="J236" s="123" t="n"/>
      <c r="K236" s="120" t="n"/>
      <c r="L236" s="64" t="n"/>
      <c r="M236" s="5" t="n"/>
      <c r="N236" s="71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SEPTIEMBRE!$I237-SEPTIEMBRE!$H237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SEPTIEMBRE!$I238-SEPTIEMBRE!$H238</f>
        <v/>
      </c>
      <c r="H238" s="121" t="n"/>
      <c r="I238" s="121" t="n"/>
      <c r="J238" s="123" t="n"/>
      <c r="K238" s="120" t="n"/>
      <c r="L238" s="64" t="n"/>
      <c r="M238" s="5" t="n"/>
      <c r="N238" s="71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SEPTIEMBRE!$I239-SEPTIEMBRE!$H239</f>
        <v/>
      </c>
      <c r="H239" s="121" t="n"/>
      <c r="I239" s="121" t="n"/>
      <c r="J239" s="123" t="n"/>
      <c r="K239" s="120" t="n"/>
      <c r="L239" s="64" t="n"/>
      <c r="M239" s="5" t="n"/>
      <c r="N239" s="71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SEPTIEMBRE!$I240-SEPTIEMBRE!$H240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SEPTIEMBRE!$I241-SEPTIEMBRE!$H241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SEPTIEMBRE!$I242-SEPTIEMBRE!$H242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SEPTIEMBRE!$I243-SEPTIEMBRE!$H243</f>
        <v/>
      </c>
      <c r="H243" s="121" t="n"/>
      <c r="I243" s="121" t="n"/>
      <c r="J243" s="123" t="n"/>
      <c r="K243" s="120" t="n"/>
      <c r="L243" s="64" t="n"/>
      <c r="M243" s="5" t="n"/>
      <c r="N243" s="71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SEPTIEMBRE!$I244-SEPTIEMBRE!$H244</f>
        <v/>
      </c>
      <c r="H244" s="121" t="n"/>
      <c r="I244" s="121" t="n"/>
      <c r="J244" s="123" t="n"/>
      <c r="K244" s="120" t="n"/>
      <c r="L244" s="64" t="n"/>
      <c r="M244" s="5" t="n"/>
      <c r="N244" s="71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SEPTIEMBRE!$I245-SEPTIEMBRE!$H245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SEPTIEMBRE!$I246-SEPTIEMBRE!$H246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SEPTIEMBRE!$I247-SEPTIEMBRE!$H247</f>
        <v/>
      </c>
      <c r="H247" s="121" t="n"/>
      <c r="I247" s="121" t="n"/>
      <c r="J247" s="123" t="n"/>
      <c r="K247" s="120" t="n"/>
      <c r="L247" s="64" t="n"/>
      <c r="M247" s="5" t="n"/>
      <c r="N247" s="71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SEPTIEMBRE!$I248-SEPTIEMBRE!$H248</f>
        <v/>
      </c>
      <c r="H248" s="121" t="n"/>
      <c r="I248" s="121" t="n"/>
      <c r="J248" s="123" t="n"/>
      <c r="K248" s="120" t="n"/>
      <c r="L248" s="64" t="n"/>
      <c r="M248" s="5" t="n"/>
      <c r="N248" s="71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SEPTIEMBRE!$I249-SEPTIEMBRE!$H249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SEPTIEMBRE!$I250-SEPTIEMBRE!$H250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SEPTIEMBRE!$I251-SEPTIEMBRE!$H251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SEPTIEMBRE!$I252-SEPTIEMBRE!$H252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SEPTIEMBRE!$I253-SEPTIEMBRE!$H253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SEPTIEMBRE!$I254-SEPTIEMBRE!$H254</f>
        <v/>
      </c>
      <c r="H254" s="121" t="n"/>
      <c r="I254" s="121" t="n"/>
      <c r="J254" s="123" t="n"/>
      <c r="K254" s="120" t="n"/>
      <c r="L254" s="64" t="n"/>
      <c r="M254" s="5" t="n"/>
      <c r="N254" s="71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SEPTIEMBRE!$I255-SEPTIEMBRE!$H255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SEPTIEMBRE!$I256-SEPTIEMBRE!$H256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SEPTIEMBRE!$I257-SEPTIEMBRE!$H257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SEPTIEMBRE!$I258-SEPTIEMBRE!$H258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SEPTIEMBRE!$I259-SEPTIEMBRE!$H259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SEPTIEMBRE!$I260-SEPTIEMBRE!$H260</f>
        <v/>
      </c>
      <c r="H260" s="121" t="n"/>
      <c r="I260" s="121" t="n"/>
      <c r="J260" s="123" t="n"/>
      <c r="K260" s="120" t="n"/>
      <c r="L260" s="64" t="n"/>
      <c r="M260" s="5" t="n"/>
      <c r="N260" s="71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SEPTIEMBRE!$I261-SEPTIEMBRE!$H261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SEPTIEMBRE!$I262-SEPTIEMBRE!$H262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SEPTIEMBRE!$I263-SEPTIEMBRE!$H263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SEPTIEMBRE!$I264-SEPTIEMBRE!$H264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SEPTIEMBRE!$I265-SEPTIEMBRE!$H265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SEPTIEMBRE!$I266-SEPTIEMBRE!$H266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SEPTIEMBRE!$I267-SEPTIEMBRE!$H267</f>
        <v/>
      </c>
      <c r="H267" s="121" t="n"/>
      <c r="I267" s="121" t="n"/>
      <c r="J267" s="123" t="n"/>
      <c r="K267" s="120" t="n"/>
      <c r="L267" s="64" t="n"/>
      <c r="M267" s="5" t="n"/>
      <c r="N267" s="71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SEPTIEMBRE!$I268-SEPTIEMBRE!$H268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SEPTIEMBRE!$I269-SEPTIEMBRE!$H269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SEPTIEMBRE!$I270-SEPTIEMBRE!$H270</f>
        <v/>
      </c>
      <c r="H270" s="121" t="n"/>
      <c r="I270" s="121" t="n"/>
      <c r="J270" s="123" t="n"/>
      <c r="K270" s="120" t="n"/>
      <c r="L270" s="64" t="n"/>
      <c r="M270" s="5" t="n"/>
      <c r="N270" s="71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SEPTIEMBRE!$I271-SEPTIEMBRE!$H271</f>
        <v/>
      </c>
      <c r="H271" s="121" t="n"/>
      <c r="I271" s="121" t="n"/>
      <c r="J271" s="123" t="n"/>
      <c r="K271" s="120" t="n"/>
      <c r="L271" s="64" t="n"/>
      <c r="M271" s="5" t="n"/>
      <c r="N271" s="71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SEPTIEMBRE!$I272-SEPTIEMBRE!$H272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SEPTIEMBRE!$I273-SEPTIEMBRE!$H273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SEPTIEMBRE!$I274-SEPTIEMBRE!$H274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SEPTIEMBRE!$I275-SEPTIEMBRE!$H275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SEPTIEMBRE!$I276-SEPTIEMBRE!$H276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SEPTIEMBRE!$I277-SEPTIEMBRE!$H277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66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SEPTIEMBRE!$I278-SEPTIEMBRE!$H278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66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SEPTIEMBRE!$I279-SEPTIEMBRE!$H279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SEPTIEMBRE!$I280-SEPTIEMBRE!$H280</f>
        <v/>
      </c>
      <c r="H280" s="121" t="n"/>
      <c r="I280" s="121" t="n"/>
      <c r="J280" s="123" t="n"/>
      <c r="K280" s="120" t="n"/>
      <c r="L280" s="64" t="n"/>
      <c r="M280" s="5" t="n"/>
      <c r="N280" s="71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SEPTIEMBRE!$I281-SEPTIEMBRE!$H281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SEPTIEMBRE!$I282-SEPTIEMBRE!$H282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SEPTIEMBRE!$I283-SEPTIEMBRE!$H283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SEPTIEMBRE!$I284-SEPTIEMBRE!$H284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SEPTIEMBRE!$I285-SEPTIEMBRE!$H285</f>
        <v/>
      </c>
      <c r="H285" s="121" t="n"/>
      <c r="I285" s="121" t="n"/>
      <c r="J285" s="123" t="n"/>
      <c r="K285" s="120" t="n"/>
      <c r="L285" s="64" t="n"/>
      <c r="M285" s="5" t="n"/>
      <c r="N285" s="71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SEPTIEMBRE!$I286-SEPTIEMBRE!$H286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SEPTIEMBRE!$I287-SEPTIEMBRE!$H287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66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SEPTIEMBRE!$I288-SEPTIEMBRE!$H288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SEPTIEMBRE!$I289-SEPTIEMBRE!$H289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SEPTIEMBRE!$I290-SEPTIEMBRE!$H290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SEPTIEMBRE!$I291-SEPTIEMBRE!$H291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SEPTIEMBRE!$I292-SEPTIEMBRE!$H292</f>
        <v/>
      </c>
      <c r="H292" s="121" t="n"/>
      <c r="I292" s="121" t="n"/>
      <c r="J292" s="123" t="n"/>
      <c r="K292" s="120" t="n"/>
      <c r="L292" s="64" t="n"/>
      <c r="M292" s="5" t="n"/>
      <c r="N292" s="71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SEPTIEMBRE!$I293-SEPTIEMBRE!$H293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SEPTIEMBRE!$I294-SEPTIEMBRE!$H294</f>
        <v/>
      </c>
      <c r="H294" s="121" t="n"/>
      <c r="I294" s="121" t="n"/>
      <c r="J294" s="123" t="n"/>
      <c r="K294" s="120" t="n"/>
      <c r="L294" s="64" t="n"/>
      <c r="M294" s="5" t="n"/>
      <c r="N294" s="71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SEPTIEMBRE!$I295-SEPTIEMBRE!$H295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66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SEPTIEMBRE!$I296-SEPTIEMBRE!$H296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SEPTIEMBRE!$I297-SEPTIEMBRE!$H297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SEPTIEMBRE!$I298-SEPTIEMBRE!$H298</f>
        <v/>
      </c>
      <c r="H298" s="121" t="n"/>
      <c r="I298" s="121" t="n"/>
      <c r="J298" s="123" t="n"/>
      <c r="K298" s="120" t="n"/>
      <c r="L298" s="64" t="n"/>
      <c r="M298" s="5" t="n"/>
      <c r="N298" s="71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SEPTIEMBRE!$I299-SEPTIEMBRE!$H299</f>
        <v/>
      </c>
      <c r="H299" s="121" t="n"/>
      <c r="I299" s="121" t="n"/>
      <c r="J299" s="123" t="n"/>
      <c r="K299" s="120" t="n"/>
      <c r="L299" s="64" t="n"/>
      <c r="M299" s="5" t="n"/>
      <c r="N299" s="71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SEPTIEMBRE!$I300-SEPTIEMBRE!$H300</f>
        <v/>
      </c>
      <c r="H300" s="121" t="n"/>
      <c r="I300" s="121" t="n"/>
      <c r="J300" s="123" t="n"/>
      <c r="K300" s="120" t="n"/>
      <c r="L300" s="64" t="n"/>
      <c r="M300" s="5" t="n"/>
      <c r="N300" s="71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SEPTIEMBRE!$I301-SEPTIEMBRE!$H301</f>
        <v/>
      </c>
      <c r="H301" s="121" t="n"/>
      <c r="I301" s="121" t="n"/>
      <c r="J301" s="123" t="n"/>
      <c r="K301" s="120" t="n"/>
      <c r="L301" s="64" t="n"/>
      <c r="M301" s="5" t="n"/>
      <c r="N301" s="71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SEPTIEMBRE!$I302-SEPTIEMBRE!$H302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SEPTIEMBRE!$I303-SEPTIEMBRE!$H303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SEPTIEMBRE!$I304-SEPTIEMBRE!$H304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SEPTIEMBRE!$I305-SEPTIEMBRE!$H305</f>
        <v/>
      </c>
      <c r="H305" s="121" t="n"/>
      <c r="I305" s="121" t="n"/>
      <c r="J305" s="123" t="n"/>
      <c r="K305" s="120" t="n"/>
      <c r="L305" s="64" t="n"/>
      <c r="M305" s="5" t="n"/>
      <c r="N305" s="71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SEPTIEMBRE!$I306-SEPTIEMBRE!$H306</f>
        <v/>
      </c>
      <c r="H306" s="121" t="n"/>
      <c r="I306" s="121" t="n"/>
      <c r="J306" s="123" t="n"/>
      <c r="K306" s="120" t="n"/>
      <c r="L306" s="64" t="n"/>
      <c r="M306" s="5" t="n"/>
      <c r="N306" s="71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SEPTIEMBRE!$I307-SEPTIEMBRE!$H307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SEPTIEMBRE!$I308-SEPTIEMBRE!$H308</f>
        <v/>
      </c>
      <c r="H308" s="121" t="n"/>
      <c r="I308" s="121" t="n"/>
      <c r="J308" s="123" t="n"/>
      <c r="K308" s="120" t="n"/>
      <c r="L308" s="64" t="n"/>
      <c r="M308" s="5" t="n"/>
      <c r="N308" s="71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SEPTIEMBRE!$I309-SEPTIEMBRE!$H309</f>
        <v/>
      </c>
      <c r="H309" s="128" t="n"/>
      <c r="I309" s="128" t="n"/>
      <c r="J309" s="123" t="n"/>
      <c r="K309" s="120" t="n"/>
      <c r="L309" s="64" t="n"/>
      <c r="M309" s="5" t="n"/>
      <c r="N309" s="71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SEPTIEMBRE!$I310-SEPTIEMBRE!$H310</f>
        <v/>
      </c>
      <c r="H310" s="121" t="n"/>
      <c r="I310" s="121" t="n"/>
      <c r="J310" s="123" t="n"/>
      <c r="K310" s="120" t="n"/>
      <c r="L310" s="64" t="n"/>
      <c r="M310" s="5" t="n"/>
      <c r="N310" s="71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SEPTIEMBRE!$I311-SEPTIEMBRE!$H311</f>
        <v/>
      </c>
      <c r="H311" s="121" t="n"/>
      <c r="I311" s="121" t="n"/>
      <c r="J311" s="123" t="n"/>
      <c r="K311" s="120" t="n"/>
      <c r="L311" s="64" t="n"/>
      <c r="M311" s="5" t="n"/>
      <c r="N311" s="71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SEPTIEMBRE!$I312-SEPTIEMBRE!$H312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6.5" customHeight="1" s="129">
      <c r="A313" s="1" t="n"/>
      <c r="B313" s="48" t="n"/>
      <c r="C313" s="49" t="n"/>
      <c r="D313" s="120" t="n"/>
      <c r="E313" s="120" t="n"/>
      <c r="F313" s="120" t="n"/>
      <c r="G313" s="63">
        <f>SEPTIEMBRE!$I313-SEPTIEMBRE!$H313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SEPTIEMBRE!$I314-SEPTIEMBRE!$H314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SEPTIEMBRE!$I315-SEPTIEMBRE!$H315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SEPTIEMBRE!$I316-SEPTIEMBRE!$H316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SEPTIEMBRE!$I317-SEPTIEMBRE!$H317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SEPTIEMBRE!$I318-SEPTIEMBRE!$H318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SEPTIEMBRE!$I319-SEPTIEMBRE!$H319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SEPTIEMBRE!$I320-SEPTIEMBRE!$H320</f>
        <v/>
      </c>
      <c r="H320" s="121" t="n"/>
      <c r="I320" s="121" t="n"/>
      <c r="J320" s="123" t="n"/>
      <c r="K320" s="120" t="n"/>
      <c r="L320" s="64" t="n"/>
      <c r="M320" s="5" t="n"/>
      <c r="N320" s="71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SEPTIEMBRE!$I321-SEPTIEMBRE!$H321</f>
        <v/>
      </c>
      <c r="H321" s="121" t="n"/>
      <c r="I321" s="121" t="n"/>
      <c r="J321" s="123" t="n"/>
      <c r="K321" s="120" t="n"/>
      <c r="L321" s="64" t="n"/>
      <c r="M321" s="5" t="n"/>
      <c r="N321" s="71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SEPTIEMBRE!$I322-SEPTIEMBRE!$H322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SEPTIEMBRE!$I323-SEPTIEMBRE!$H323</f>
        <v/>
      </c>
      <c r="H323" s="121" t="n"/>
      <c r="I323" s="121" t="n"/>
      <c r="J323" s="123" t="n"/>
      <c r="K323" s="120" t="n"/>
      <c r="L323" s="64" t="n"/>
      <c r="M323" s="5" t="n"/>
      <c r="N323" s="71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SEPTIEMBRE!$I324-SEPTIEMBRE!$H324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SEPTIEMBRE!$I325-SEPTIEMBRE!$H325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SEPTIEMBRE!$I326-SEPTIEMBRE!$H326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SEPTIEMBRE!$I327-SEPTIEMBRE!$H327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SEPTIEMBRE!$I328-SEPTIEMBRE!$H328</f>
        <v/>
      </c>
      <c r="H328" s="121" t="n"/>
      <c r="I328" s="121" t="n"/>
      <c r="J328" s="123" t="n"/>
      <c r="K328" s="120" t="n"/>
      <c r="L328" s="64" t="n"/>
      <c r="M328" s="5" t="n"/>
      <c r="N328" s="71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SEPTIEMBRE!$I329-SEPTIEMBRE!$H329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SEPTIEMBRE!$I330-SEPTIEMBRE!$H330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SEPTIEMBRE!$I331-SEPTIEMBRE!$H331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SEPTIEMBRE!$I332-SEPTIEMBRE!$H332</f>
        <v/>
      </c>
      <c r="H332" s="121" t="n"/>
      <c r="I332" s="121" t="n"/>
      <c r="J332" s="123" t="n"/>
      <c r="K332" s="120" t="n"/>
      <c r="L332" s="64" t="n"/>
      <c r="M332" s="5" t="n"/>
      <c r="N332" s="71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SEPTIEMBRE!$I333-SEPTIEMBRE!$H333</f>
        <v/>
      </c>
      <c r="H333" s="121" t="n"/>
      <c r="I333" s="121" t="n"/>
      <c r="J333" s="123" t="n"/>
      <c r="K333" s="120" t="n"/>
      <c r="L333" s="64" t="n"/>
      <c r="M333" s="5" t="n"/>
      <c r="N333" s="71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SEPTIEMBRE!$I334-SEPTIEMBRE!$H334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SEPTIEMBRE!$I335-SEPTIEMBRE!$H335</f>
        <v/>
      </c>
      <c r="H335" s="121" t="n"/>
      <c r="I335" s="121" t="n"/>
      <c r="J335" s="123" t="n"/>
      <c r="K335" s="120" t="n"/>
      <c r="L335" s="64" t="n"/>
      <c r="M335" s="5" t="n"/>
      <c r="N335" s="71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SEPTIEMBRE!$I336-SEPTIEMBRE!$H336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SEPTIEMBRE!$I337-SEPTIEMBRE!$H337</f>
        <v/>
      </c>
      <c r="H337" s="121" t="n"/>
      <c r="I337" s="121" t="n"/>
      <c r="J337" s="123" t="n"/>
      <c r="K337" s="120" t="n"/>
      <c r="L337" s="64" t="n"/>
      <c r="M337" s="5" t="n"/>
      <c r="N337" s="71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SEPTIEMBRE!$I338-SEPTIEMBRE!$H338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66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SEPTIEMBRE!$I339-SEPTIEMBRE!$H339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66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SEPTIEMBRE!$I340-SEPTIEMBRE!$H340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66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SEPTIEMBRE!$I341-SEPTIEMBRE!$H341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SEPTIEMBRE!$I342-SEPTIEMBRE!$H342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SEPTIEMBRE!$I343-SEPTIEMBRE!$H343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SEPTIEMBRE!$I344-SEPTIEMBRE!$H344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SEPTIEMBRE!$I345-SEPTIEMBRE!$H345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SEPTIEMBRE!$I346-SEPTIEMBRE!$H346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66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SEPTIEMBRE!$I347-SEPTIEMBRE!$H347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66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SEPTIEMBRE!$I348-SEPTIEMBRE!$H348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66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SEPTIEMBRE!$I349-SEPTIEMBRE!$H349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66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SEPTIEMBRE!$I350-SEPTIEMBRE!$H350</f>
        <v/>
      </c>
      <c r="H350" s="121" t="n"/>
      <c r="I350" s="121" t="n"/>
      <c r="J350" s="123" t="n"/>
      <c r="K350" s="120" t="n"/>
      <c r="L350" s="64" t="n"/>
      <c r="M350" s="5" t="n"/>
      <c r="N350" s="71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SEPTIEMBRE!$I351-SEPTIEMBRE!$H351</f>
        <v/>
      </c>
      <c r="H351" s="121" t="n"/>
      <c r="I351" s="121" t="n"/>
      <c r="J351" s="123" t="n"/>
      <c r="K351" s="120" t="n"/>
      <c r="L351" s="64" t="n"/>
      <c r="M351" s="5" t="n"/>
      <c r="N351" s="71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SEPTIEMBRE!$I352-SEPTIEMBRE!$H352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SEPTIEMBRE!$I353-SEPTIEMBRE!$H353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66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SEPTIEMBRE!$I354-SEPTIEMBRE!$H354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SEPTIEMBRE!$I355-SEPTIEMBRE!$H355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SEPTIEMBRE!$I356-SEPTIEMBRE!$H356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SEPTIEMBRE!$I357-SEPTIEMBRE!$H357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SEPTIEMBRE!$I358-SEPTIEMBRE!$H358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SEPTIEMBRE!$I359-SEPTIEMBRE!$H359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SEPTIEMBRE!$I360-SEPTIEMBRE!$H360</f>
        <v/>
      </c>
      <c r="H360" s="121" t="n"/>
      <c r="I360" s="121" t="n"/>
      <c r="J360" s="123" t="n"/>
      <c r="K360" s="120" t="n"/>
      <c r="L360" s="64" t="n"/>
      <c r="M360" s="5" t="n"/>
      <c r="N360" s="71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SEPTIEMBRE!$I361-SEPTIEMBRE!$H361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SEPTIEMBRE!$I362-SEPTIEMBRE!$H362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66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SEPTIEMBRE!$I363-SEPTIEMBRE!$H363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SEPTIEMBRE!$I364-SEPTIEMBRE!$H364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SEPTIEMBRE!$I365-SEPTIEMBRE!$H365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SEPTIEMBRE!$I366-SEPTIEMBRE!$H366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SEPTIEMBRE!$I367-SEPTIEMBRE!$H367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SEPTIEMBRE!$I368-SEPTIEMBRE!$H368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SEPTIEMBRE!$I369-SEPTIEMBRE!$H369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SEPTIEMBRE!$I370-SEPTIEMBRE!$H370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SEPTIEMBRE!$I371-SEPTIEMBRE!$H371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SEPTIEMBRE!$I372-SEPTIEMBRE!$H372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SEPTIEMBRE!$I373-SEPTIEMBRE!$H373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SEPTIEMBRE!$I374-SEPTIEMBRE!$H374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SEPTIEMBRE!$I375-SEPTIEMBRE!$H375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SEPTIEMBRE!$I376-SEPTIEMBRE!$H376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SEPTIEMBRE!$I377-SEPTIEMBRE!$H377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SEPTIEMBRE!$I378-SEPTIEMBRE!$H378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SEPTIEMBRE!$I379-SEPTIEMBRE!$H379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SEPTIEMBRE!$I380-SEPTIEMBRE!$H380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SEPTIEMBRE!$I381-SEPTIEMBRE!$H381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SEPTIEMBRE!$I382-SEPTIEMBRE!$H382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SEPTIEMBRE!$I383-SEPTIEMBRE!$H383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SEPTIEMBRE!$I384-SEPTIEMBRE!$H384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SEPTIEMBRE!$I385-SEPTIEMBRE!$H385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SEPTIEMBRE!$I386-SEPTIEMBRE!$H386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SEPTIEMBRE!$I387-SEPTIEMBRE!$H387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SEPTIEMBRE!$I388-SEPTIEMBRE!$H388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SEPTIEMBRE!$I389-SEPTIEMBRE!$H389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SEPTIEMBRE!$I390-SEPTIEMBRE!$H390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SEPTIEMBRE!$I391-SEPTIEMBRE!$H391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SEPTIEMBRE!$I392-SEPTIEMBRE!$H392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76" t="n"/>
      <c r="E393" s="120" t="n"/>
      <c r="F393" s="120" t="n"/>
      <c r="G393" s="63">
        <f>SEPTIEMBRE!$I393-SEPTIEMBRE!$H393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76" t="n"/>
      <c r="E394" s="120" t="n"/>
      <c r="F394" s="120" t="n"/>
      <c r="G394" s="63">
        <f>SEPTIEMBRE!$I394-SEPTIEMBRE!$H394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76" t="n"/>
      <c r="E395" s="120" t="n"/>
      <c r="F395" s="120" t="n"/>
      <c r="G395" s="63">
        <f>SEPTIEMBRE!$I395-SEPTIEMBRE!$H395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76" t="n"/>
      <c r="E396" s="120" t="n"/>
      <c r="F396" s="120" t="n"/>
      <c r="G396" s="63">
        <f>SEPTIEMBRE!$I396-SEPTIEMBRE!$H396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76" t="n"/>
      <c r="E397" s="120" t="n"/>
      <c r="F397" s="120" t="n"/>
      <c r="G397" s="63">
        <f>SEPTIEMBRE!$I397-SEPTIEMBRE!$H397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76" t="n"/>
      <c r="E398" s="120" t="n"/>
      <c r="F398" s="120" t="n"/>
      <c r="G398" s="63">
        <f>SEPTIEMBRE!$I398-SEPTIEMBRE!$H398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76" t="n"/>
      <c r="E399" s="120" t="n"/>
      <c r="F399" s="120" t="n"/>
      <c r="G399" s="63">
        <f>SEPTIEMBRE!$I399-SEPTIEMBRE!$H399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76" t="n"/>
      <c r="E400" s="120" t="n"/>
      <c r="F400" s="120" t="n"/>
      <c r="G400" s="63">
        <f>SEPTIEMBRE!$I400-SEPTIEMBRE!$H400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76" t="n"/>
      <c r="E401" s="120" t="n"/>
      <c r="F401" s="120" t="n"/>
      <c r="G401" s="63">
        <f>SEPTIEMBRE!$I401-SEPTIEMBRE!$H401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76" t="n"/>
      <c r="E402" s="120" t="n"/>
      <c r="F402" s="120" t="n"/>
      <c r="G402" s="63">
        <f>SEPTIEMBRE!$I402-SEPTIEMBRE!$H402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76" t="n"/>
      <c r="E403" s="120" t="n"/>
      <c r="F403" s="120" t="n"/>
      <c r="G403" s="63">
        <f>SEPTIEMBRE!$I403-SEPTIEMBRE!$H403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76" t="n"/>
      <c r="E404" s="120" t="n"/>
      <c r="F404" s="120" t="n"/>
      <c r="G404" s="63">
        <f>SEPTIEMBRE!$I404-SEPTIEMBRE!$H404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76" t="n"/>
      <c r="E405" s="120" t="n"/>
      <c r="F405" s="120" t="n"/>
      <c r="G405" s="63">
        <f>SEPTIEMBRE!$I405-SEPTIEMBRE!$H405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76" t="n"/>
      <c r="E406" s="120" t="n"/>
      <c r="F406" s="120" t="n"/>
      <c r="G406" s="63">
        <f>SEPTIEMBRE!$I406-SEPTIEMBRE!$H406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76" t="n"/>
      <c r="E407" s="120" t="n"/>
      <c r="F407" s="120" t="n"/>
      <c r="G407" s="63">
        <f>SEPTIEMBRE!$I407-SEPTIEMBRE!$H407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76" t="n"/>
      <c r="E408" s="120" t="n"/>
      <c r="F408" s="120" t="n"/>
      <c r="G408" s="63">
        <f>SEPTIEMBRE!$I408-SEPTIEMBRE!$H408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76" t="n"/>
      <c r="E409" s="120" t="n"/>
      <c r="F409" s="120" t="n"/>
      <c r="G409" s="63">
        <f>SEPTIEMBRE!$I409-SEPTIEMBRE!$H409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76" t="n"/>
      <c r="E410" s="120" t="n"/>
      <c r="F410" s="120" t="n"/>
      <c r="G410" s="63">
        <f>SEPTIEMBRE!$I410-SEPTIEMBRE!$H410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76" t="n"/>
      <c r="E411" s="120" t="n"/>
      <c r="F411" s="120" t="n"/>
      <c r="G411" s="63">
        <f>SEPTIEMBRE!$I411-SEPTIEMBRE!$H411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76" t="n"/>
      <c r="E412" s="120" t="n"/>
      <c r="F412" s="120" t="n"/>
      <c r="G412" s="63">
        <f>SEPTIEMBRE!$I412-SEPTIEMBRE!$H412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76" t="n"/>
      <c r="E413" s="120" t="n"/>
      <c r="F413" s="120" t="n"/>
      <c r="G413" s="63">
        <f>SEPTIEMBRE!$I413-SEPTIEMBRE!$H413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76" t="n"/>
      <c r="E414" s="120" t="n"/>
      <c r="F414" s="120" t="n"/>
      <c r="G414" s="63">
        <f>SEPTIEMBRE!$I414-SEPTIEMBRE!$H414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76" t="n"/>
      <c r="E415" s="120" t="n"/>
      <c r="F415" s="120" t="n"/>
      <c r="G415" s="63">
        <f>SEPTIEMBRE!$I415-SEPTIEMBRE!$H415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76" t="n"/>
      <c r="E416" s="120" t="n"/>
      <c r="F416" s="120" t="n"/>
      <c r="G416" s="63">
        <f>SEPTIEMBRE!$I416-SEPTIEMBRE!$H416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76" t="n"/>
      <c r="E417" s="120" t="n"/>
      <c r="F417" s="120" t="n"/>
      <c r="G417" s="63">
        <f>SEPTIEMBRE!$I417-SEPTIEMBRE!$H417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76" t="n"/>
      <c r="E418" s="120" t="n"/>
      <c r="F418" s="120" t="n"/>
      <c r="G418" s="63">
        <f>SEPTIEMBRE!$I418-SEPTIEMBRE!$H418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76" t="n"/>
      <c r="E419" s="120" t="n"/>
      <c r="F419" s="120" t="n"/>
      <c r="G419" s="63">
        <f>SEPTIEMBRE!$I419-SEPTIEMBRE!$H419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76" t="n"/>
      <c r="E420" s="120" t="n"/>
      <c r="F420" s="120" t="n"/>
      <c r="G420" s="63">
        <f>SEPTIEMBRE!$I420-SEPTIEMBRE!$H420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76" t="n"/>
      <c r="E421" s="120" t="n"/>
      <c r="F421" s="120" t="n"/>
      <c r="G421" s="63">
        <f>SEPTIEMBRE!$I421-SEPTIEMBRE!$H421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76" t="n"/>
      <c r="E422" s="120" t="n"/>
      <c r="F422" s="120" t="n"/>
      <c r="G422" s="63">
        <f>SEPTIEMBRE!$I422-SEPTIEMBRE!$H422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76" t="n"/>
      <c r="E423" s="120" t="n"/>
      <c r="F423" s="120" t="n"/>
      <c r="G423" s="63">
        <f>SEPTIEMBRE!$I423-SEPTIEMBRE!$H423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76" t="n"/>
      <c r="E424" s="120" t="n"/>
      <c r="F424" s="120" t="n"/>
      <c r="G424" s="63">
        <f>SEPTIEMBRE!$I424-SEPTIEMBRE!$H424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76" t="n"/>
      <c r="E425" s="120" t="n"/>
      <c r="F425" s="120" t="n"/>
      <c r="G425" s="63">
        <f>SEPTIEMBRE!$I425-SEPTIEMBRE!$H425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76" t="n"/>
      <c r="E426" s="120" t="n"/>
      <c r="F426" s="120" t="n"/>
      <c r="G426" s="63">
        <f>SEPTIEMBRE!$I426-SEPTIEMBRE!$H426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76" t="n"/>
      <c r="E427" s="120" t="n"/>
      <c r="F427" s="120" t="n"/>
      <c r="G427" s="63">
        <f>SEPTIEMBRE!$I427-SEPTIEMBRE!$H427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79" t="n"/>
      <c r="B428" s="48" t="n"/>
      <c r="C428" s="49" t="n"/>
      <c r="D428" s="76" t="n"/>
      <c r="E428" s="120" t="n"/>
      <c r="F428" s="120" t="n"/>
      <c r="G428" s="63">
        <f>SEPTIEMBRE!$I428-SEPTIEMBRE!$H428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76" t="n"/>
      <c r="E429" s="120" t="n"/>
      <c r="F429" s="120" t="n"/>
      <c r="G429" s="63">
        <f>SEPTIEMBRE!$I429-SEPTIEMBRE!$H429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76" t="n"/>
      <c r="E430" s="120" t="n"/>
      <c r="F430" s="120" t="n"/>
      <c r="G430" s="63">
        <f>SEPTIEMBRE!$I430-SEPTIEMBRE!$H430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76" t="n"/>
      <c r="E431" s="120" t="n"/>
      <c r="F431" s="120" t="n"/>
      <c r="G431" s="63">
        <f>SEPTIEMBRE!$I431-SEPTIEMBRE!$H431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76" t="n"/>
      <c r="E432" s="120" t="n"/>
      <c r="F432" s="120" t="n"/>
      <c r="G432" s="63">
        <f>SEPTIEMBRE!$I432-SEPTIEMBRE!$H432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76" t="n"/>
      <c r="E433" s="120" t="n"/>
      <c r="F433" s="120" t="n"/>
      <c r="G433" s="63">
        <f>SEPTIEMBRE!$I433-SEPTIEMBRE!$H433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76" t="n"/>
      <c r="E434" s="120" t="n"/>
      <c r="F434" s="120" t="n"/>
      <c r="G434" s="63">
        <f>SEPTIEMBRE!$I434-SEPTIEMBRE!$H434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76" t="n"/>
      <c r="E435" s="120" t="n"/>
      <c r="F435" s="120" t="n"/>
      <c r="G435" s="63">
        <f>SEPTIEMBRE!$I435-SEPTIEMBRE!$H435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76" t="n"/>
      <c r="E436" s="120" t="n"/>
      <c r="F436" s="120" t="n"/>
      <c r="G436" s="63">
        <f>SEPTIEMBRE!$I436-SEPTIEMBRE!$H436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76" t="n"/>
      <c r="E437" s="120" t="n"/>
      <c r="F437" s="120" t="n"/>
      <c r="G437" s="63">
        <f>SEPTIEMBRE!$I437-SEPTIEMBRE!$H437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76" t="n"/>
      <c r="E438" s="120" t="n"/>
      <c r="F438" s="120" t="n"/>
      <c r="G438" s="63">
        <f>SEPTIEMBRE!$I438-SEPTIEMBRE!$H438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76" t="n"/>
      <c r="E439" s="120" t="n"/>
      <c r="F439" s="120" t="n"/>
      <c r="G439" s="63">
        <f>SEPTIEMBRE!$I439-SEPTIEMBRE!$H439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76" t="n"/>
      <c r="E440" s="120" t="n"/>
      <c r="F440" s="120" t="n"/>
      <c r="G440" s="63">
        <f>SEPTIEMBRE!$I440-SEPTIEMBRE!$H440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76" t="n"/>
      <c r="E441" s="120" t="n"/>
      <c r="F441" s="120" t="n"/>
      <c r="G441" s="63">
        <f>SEPTIEMBRE!$I441-SEPTIEMBRE!$H441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76" t="n"/>
      <c r="E442" s="120" t="n"/>
      <c r="F442" s="120" t="n"/>
      <c r="G442" s="63">
        <f>SEPTIEMBRE!$I442-SEPTIEMBRE!$H442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76" t="n"/>
      <c r="E443" s="120" t="n"/>
      <c r="F443" s="120" t="n"/>
      <c r="G443" s="63">
        <f>SEPTIEMBRE!$I443-SEPTIEMBRE!$H443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76" t="n"/>
      <c r="E444" s="120" t="n"/>
      <c r="F444" s="120" t="n"/>
      <c r="G444" s="63">
        <f>SEPTIEMBRE!$I444-SEPTIEMBRE!$H444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76" t="n"/>
      <c r="E445" s="120" t="n"/>
      <c r="F445" s="120" t="n"/>
      <c r="G445" s="63">
        <f>SEPTIEMBRE!$I445-SEPTIEMBRE!$H445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76" t="n"/>
      <c r="E446" s="120" t="n"/>
      <c r="F446" s="120" t="n"/>
      <c r="G446" s="63">
        <f>SEPTIEMBRE!$I446-SEPTIEMBRE!$H446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76" t="n"/>
      <c r="E447" s="120" t="n"/>
      <c r="F447" s="120" t="n"/>
      <c r="G447" s="63">
        <f>SEPTIEMBRE!$I447-SEPTIEMBRE!$H447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76" t="n"/>
      <c r="E448" s="120" t="n"/>
      <c r="F448" s="120" t="n"/>
      <c r="G448" s="63">
        <f>SEPTIEMBRE!$I448-SEPTIEMBRE!$H448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76" t="n"/>
      <c r="E449" s="120" t="n"/>
      <c r="F449" s="120" t="n"/>
      <c r="G449" s="63">
        <f>SEPTIEMBRE!$I449-SEPTIEMBRE!$H449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76" t="n"/>
      <c r="E450" s="120" t="n"/>
      <c r="F450" s="120" t="n"/>
      <c r="G450" s="63">
        <f>SEPTIEMBRE!$I450-SEPTIEMBRE!$H450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76" t="n"/>
      <c r="E451" s="120" t="n"/>
      <c r="F451" s="120" t="n"/>
      <c r="G451" s="63">
        <f>SEPTIEMBRE!$I451-SEPTIEMBRE!$H451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76" t="n"/>
      <c r="E452" s="120" t="n"/>
      <c r="F452" s="120" t="n"/>
      <c r="G452" s="63">
        <f>SEPTIEMBRE!$I452-SEPTIEMBRE!$H452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76" t="n"/>
      <c r="E453" s="120" t="n"/>
      <c r="F453" s="120" t="n"/>
      <c r="G453" s="63">
        <f>SEPTIEMBRE!$I453-SEPTIEMBRE!$H453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76" t="n"/>
      <c r="E454" s="120" t="n"/>
      <c r="F454" s="120" t="n"/>
      <c r="G454" s="63">
        <f>SEPTIEMBRE!$I454-SEPTIEMBRE!$H454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76" t="n"/>
      <c r="E455" s="120" t="n"/>
      <c r="F455" s="120" t="n"/>
      <c r="G455" s="63">
        <f>SEPTIEMBRE!$I455-SEPTIEMBRE!$H455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76" t="n"/>
      <c r="E456" s="120" t="n"/>
      <c r="F456" s="120" t="n"/>
      <c r="G456" s="63">
        <f>SEPTIEMBRE!$I456-SEPTIEMBRE!$H456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76" t="n"/>
      <c r="E457" s="120" t="n"/>
      <c r="F457" s="120" t="n"/>
      <c r="G457" s="63">
        <f>SEPTIEMBRE!$I457-SEPTIEMBRE!$H457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76" t="n"/>
      <c r="E458" s="120" t="n"/>
      <c r="F458" s="120" t="n"/>
      <c r="G458" s="63">
        <f>SEPTIEMBRE!$I458-SEPTIEMBRE!$H458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76" t="n"/>
      <c r="E459" s="120" t="n"/>
      <c r="F459" s="120" t="n"/>
      <c r="G459" s="63">
        <f>SEPTIEMBRE!$I459-SEPTIEMBRE!$H459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76" t="n"/>
      <c r="E460" s="120" t="n"/>
      <c r="F460" s="120" t="n"/>
      <c r="G460" s="63">
        <f>SEPTIEMBRE!$I460-SEPTIEMBRE!$H460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76" t="n"/>
      <c r="E461" s="120" t="n"/>
      <c r="F461" s="120" t="n"/>
      <c r="G461" s="63">
        <f>SEPTIEMBRE!$I461-SEPTIEMBRE!$H461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76" t="n"/>
      <c r="E462" s="120" t="n"/>
      <c r="F462" s="120" t="n"/>
      <c r="G462" s="63">
        <f>SEPTIEMBRE!$I462-SEPTIEMBRE!$H462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76" t="n"/>
      <c r="E463" s="120" t="n"/>
      <c r="F463" s="120" t="n"/>
      <c r="G463" s="63">
        <f>SEPTIEMBRE!$I463-SEPTIEMBRE!$H463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76" t="n"/>
      <c r="E464" s="120" t="n"/>
      <c r="F464" s="120" t="n"/>
      <c r="G464" s="63">
        <f>SEPTIEMBRE!$I464-SEPTIEMBRE!$H464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76" t="n"/>
      <c r="E465" s="120" t="n"/>
      <c r="F465" s="120" t="n"/>
      <c r="G465" s="63">
        <f>SEPTIEMBRE!$I465-SEPTIEMBRE!$H465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76" t="n"/>
      <c r="E466" s="120" t="n"/>
      <c r="F466" s="120" t="n"/>
      <c r="G466" s="63">
        <f>SEPTIEMBRE!$I466-SEPTIEMBRE!$H466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76" t="n"/>
      <c r="E467" s="120" t="n"/>
      <c r="F467" s="120" t="n"/>
      <c r="G467" s="63">
        <f>SEPTIEMBRE!$I467-SEPTIEMBRE!$H467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76" t="n"/>
      <c r="E468" s="120" t="n"/>
      <c r="F468" s="120" t="n"/>
      <c r="G468" s="63">
        <f>SEPTIEMBRE!$I468-SEPTIEMBRE!$H468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76" t="n"/>
      <c r="E469" s="120" t="n"/>
      <c r="F469" s="120" t="n"/>
      <c r="G469" s="63">
        <f>SEPTIEMBRE!$I469-SEPTIEMBRE!$H469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76" t="n"/>
      <c r="E470" s="120" t="n"/>
      <c r="F470" s="120" t="n"/>
      <c r="G470" s="63">
        <f>SEPTIEMBRE!$I470-SEPTIEMBRE!$H470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76" t="n"/>
      <c r="E471" s="120" t="n"/>
      <c r="F471" s="120" t="n"/>
      <c r="G471" s="63">
        <f>SEPTIEMBRE!$I471-SEPTIEMBRE!$H471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76" t="n"/>
      <c r="E472" s="120" t="n"/>
      <c r="F472" s="120" t="n"/>
      <c r="G472" s="63">
        <f>SEPTIEMBRE!$I472-SEPTIEMBRE!$H472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76" t="n"/>
      <c r="E473" s="120" t="n"/>
      <c r="F473" s="120" t="n"/>
      <c r="G473" s="63">
        <f>SEPTIEMBRE!$I473-SEPTIEMBRE!$H473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76" t="n"/>
      <c r="E474" s="120" t="n"/>
      <c r="F474" s="120" t="n"/>
      <c r="G474" s="63">
        <f>SEPTIEMBRE!$I474-SEPTIEMBRE!$H474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76" t="n"/>
      <c r="E475" s="120" t="n"/>
      <c r="F475" s="120" t="n"/>
      <c r="G475" s="63">
        <f>SEPTIEMBRE!$I475-SEPTIEMBRE!$H475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76" t="n"/>
      <c r="E476" s="120" t="n"/>
      <c r="F476" s="120" t="n"/>
      <c r="G476" s="63">
        <f>SEPTIEMBRE!$I476-SEPTIEMBRE!$H476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76" t="n"/>
      <c r="E477" s="120" t="n"/>
      <c r="F477" s="120" t="n"/>
      <c r="G477" s="63">
        <f>SEPTIEMBRE!$I477-SEPTIEMBRE!$H477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76" t="n"/>
      <c r="E478" s="120" t="n"/>
      <c r="F478" s="120" t="n"/>
      <c r="G478" s="63">
        <f>SEPTIEMBRE!$I478-SEPTIEMBRE!$H478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76" t="n"/>
      <c r="E479" s="120" t="n"/>
      <c r="F479" s="120" t="n"/>
      <c r="G479" s="63">
        <f>SEPTIEMBRE!$I479-SEPTIEMBRE!$H479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76" t="n"/>
      <c r="E480" s="120" t="n"/>
      <c r="F480" s="120" t="n"/>
      <c r="G480" s="63">
        <f>SEPTIEMBRE!$I480-SEPTIEMBRE!$H480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76" t="n"/>
      <c r="E481" s="120" t="n"/>
      <c r="F481" s="120" t="n"/>
      <c r="G481" s="63">
        <f>SEPTIEMBRE!$I481-SEPTIEMBRE!$H481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76" t="n"/>
      <c r="E482" s="120" t="n"/>
      <c r="F482" s="120" t="n"/>
      <c r="G482" s="63">
        <f>SEPTIEMBRE!$I482-SEPTIEMBRE!$H482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76" t="n"/>
      <c r="E483" s="120" t="n"/>
      <c r="F483" s="120" t="n"/>
      <c r="G483" s="63">
        <f>SEPTIEMBRE!$I483-SEPTIEMBRE!$H483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76" t="n"/>
      <c r="E484" s="120" t="n"/>
      <c r="F484" s="120" t="n"/>
      <c r="G484" s="63">
        <f>SEPTIEMBRE!$I484-SEPTIEMBRE!$H484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76" t="n"/>
      <c r="E485" s="120" t="n"/>
      <c r="F485" s="120" t="n"/>
      <c r="G485" s="63">
        <f>SEPTIEMBRE!$I485-SEPTIEMBRE!$H485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76" t="n"/>
      <c r="E486" s="120" t="n"/>
      <c r="F486" s="120" t="n"/>
      <c r="G486" s="63">
        <f>SEPTIEMBRE!$I486-SEPTIEMBRE!$H486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76" t="n"/>
      <c r="E487" s="120" t="n"/>
      <c r="F487" s="120" t="n"/>
      <c r="G487" s="63">
        <f>SEPTIEMBRE!$I487-SEPTIEMBRE!$H487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76" t="n"/>
      <c r="E488" s="120" t="n"/>
      <c r="F488" s="120" t="n"/>
      <c r="G488" s="63">
        <f>SEPTIEMBRE!$I488-SEPTIEMBRE!$H488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76" t="n"/>
      <c r="E489" s="120" t="n"/>
      <c r="F489" s="120" t="n"/>
      <c r="G489" s="63">
        <f>SEPTIEMBRE!$I489-SEPTIEMBRE!$H489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76" t="n"/>
      <c r="E490" s="120" t="n"/>
      <c r="F490" s="120" t="n"/>
      <c r="G490" s="63">
        <f>SEPTIEMBRE!$I490-SEPTIEMBRE!$H490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76" t="n"/>
      <c r="E491" s="120" t="n"/>
      <c r="F491" s="120" t="n"/>
      <c r="G491" s="63">
        <f>SEPTIEMBRE!$I491-SEPTIEMBRE!$H491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76" t="n"/>
      <c r="E492" s="120" t="n"/>
      <c r="F492" s="120" t="n"/>
      <c r="G492" s="63">
        <f>SEPTIEMBRE!$I492-SEPTIEMBRE!$H492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76" t="n"/>
      <c r="E493" s="120" t="n"/>
      <c r="F493" s="120" t="n"/>
      <c r="G493" s="63">
        <f>SEPTIEMBRE!$I493-SEPTIEMBRE!$H493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76" t="n"/>
      <c r="E494" s="120" t="n"/>
      <c r="F494" s="120" t="n"/>
      <c r="G494" s="63">
        <f>SEPTIEMBRE!$I494-SEPTIEMBRE!$H494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76" t="n"/>
      <c r="E495" s="120" t="n"/>
      <c r="F495" s="120" t="n"/>
      <c r="G495" s="63">
        <f>SEPTIEMBRE!$I495-SEPTIEMBRE!$H495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76" t="n"/>
      <c r="E496" s="120" t="n"/>
      <c r="F496" s="120" t="n"/>
      <c r="G496" s="63">
        <f>SEPTIEMBRE!$I496-SEPTIEMBRE!$H496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76" t="n"/>
      <c r="E497" s="120" t="n"/>
      <c r="F497" s="120" t="n"/>
      <c r="G497" s="63">
        <f>SEPTIEMBRE!$I497-SEPTIEMBRE!$H497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76" t="n"/>
      <c r="E498" s="120" t="n"/>
      <c r="F498" s="120" t="n"/>
      <c r="G498" s="63">
        <f>SEPTIEMBRE!$I498-SEPTIEMBRE!$H498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76" t="n"/>
      <c r="E499" s="120" t="n"/>
      <c r="F499" s="120" t="n"/>
      <c r="G499" s="63">
        <f>SEPTIEMBRE!$I499-SEPTIEMBRE!$H499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76" t="n"/>
      <c r="E500" s="120" t="n"/>
      <c r="F500" s="120" t="n"/>
      <c r="G500" s="63">
        <f>SEPTIEMBRE!$I500-SEPTIEMBRE!$H500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76" t="n"/>
      <c r="E501" s="120" t="n"/>
      <c r="F501" s="120" t="n"/>
      <c r="G501" s="63">
        <f>SEPTIEMBRE!$I501-SEPTIEMBRE!$H501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76" t="n"/>
      <c r="E502" s="120" t="n"/>
      <c r="F502" s="120" t="n"/>
      <c r="G502" s="63">
        <f>SEPTIEMBRE!$I502-SEPTIEMBRE!$H502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76" t="n"/>
      <c r="E503" s="120" t="n"/>
      <c r="F503" s="120" t="n"/>
      <c r="G503" s="63">
        <f>SEPTIEMBRE!$I503-SEPTIEMBRE!$H503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76" t="n"/>
      <c r="E504" s="120" t="n"/>
      <c r="F504" s="120" t="n"/>
      <c r="G504" s="63">
        <f>SEPTIEMBRE!$I504-SEPTIEMBRE!$H504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76" t="n"/>
      <c r="E505" s="120" t="n"/>
      <c r="F505" s="120" t="n"/>
      <c r="G505" s="63">
        <f>SEPTIEMBRE!$I505-SEPTIEMBRE!$H505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76" t="n"/>
      <c r="E506" s="120" t="n"/>
      <c r="F506" s="120" t="n"/>
      <c r="G506" s="63">
        <f>SEPTIEMBRE!$I506-SEPTIEMBRE!$H506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SEPTIEMBRE!$I507-SEPTIEMBRE!$H507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SEPTIEMBRE!$I508-SEPTIEMBRE!$H508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SEPTIEMBRE!$I509-SEPTIEMBRE!$H509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SEPTIEMBRE!$I510-SEPTIEMBRE!$H510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SEPTIEMBRE!$I511-SEPTIEMBRE!$H511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SEPTIEMBRE!$I512-SEPTIEMBRE!$H512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SEPTIEMBRE!$I513-SEPTIEMBRE!$H513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SEPTIEMBRE!$I514-SEPTIEMBRE!$H514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SEPTIEMBRE!$I515-SEPTIEMBRE!$H515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SEPTIEMBRE!$I516-SEPTIEMBRE!$H516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SEPTIEMBRE!$I517-SEPTIEMBRE!$H517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SEPTIEMBRE!$I518-SEPTIEMBRE!$H518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SEPTIEMBRE!$I519-SEPTIEMBRE!$H519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SEPTIEMBRE!$I520-SEPTIEMBRE!$H520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SEPTIEMBRE!$I521-SEPTIEMBRE!$H521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SEPTIEMBRE!$I522-SEPTIEMBRE!$H522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SEPTIEMBRE!$I523-SEPTIEMBRE!$H523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SEPTIEMBRE!$I524-SEPTIEMBRE!$H524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SEPTIEMBRE!$I525-SEPTIEMBRE!$H525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SEPTIEMBRE!$I526-SEPTIEMBRE!$H526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SEPTIEMBRE!$I527-SEPTIEMBRE!$H527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SEPTIEMBRE!$I528-SEPTIEMBRE!$H528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SEPTIEMBRE!$I529-SEPTIEMBRE!$H529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SEPTIEMBRE!$I530-SEPTIEMBRE!$H530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SEPTIEMBRE!$I531-SEPTIEMBRE!$H531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SEPTIEMBRE!$I532-SEPTIEMBRE!$H532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SEPTIEMBRE!$I533-SEPTIEMBRE!$H533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SEPTIEMBRE!$I534-SEPTIEMBRE!$H534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SEPTIEMBRE!$I535-SEPTIEMBRE!$H535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SEPTIEMBRE!$I536-SEPTIEMBRE!$H536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SEPTIEMBRE!$I537-SEPTIEMBRE!$H537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SEPTIEMBRE!$I538-SEPTIEMBRE!$H538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SEPTIEMBRE!$I539-SEPTIEMBRE!$H539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SEPTIEMBRE!$I540-SEPTIEMBRE!$H540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SEPTIEMBRE!$I541-SEPTIEMBRE!$H541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SEPTIEMBRE!$I542-SEPTIEMBRE!$H542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SEPTIEMBRE!$I543-SEPTIEMBRE!$H543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SEPTIEMBRE!$I544-SEPTIEMBRE!$H544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SEPTIEMBRE!$I545-SEPTIEMBRE!$H545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SEPTIEMBRE!$I546-SEPTIEMBRE!$H546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SEPTIEMBRE!$I547-SEPTIEMBRE!$H547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SEPTIEMBRE!$I548-SEPTIEMBRE!$H548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SEPTIEMBRE!$I549-SEPTIEMBRE!$H549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SEPTIEMBRE!$I550-SEPTIEMBRE!$H550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SEPTIEMBRE!$I551-SEPTIEMBRE!$H551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SEPTIEMBRE!$I552-SEPTIEMBRE!$H552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SEPTIEMBRE!$I553-SEPTIEMBRE!$H553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SEPTIEMBRE!$I554-SEPTIEMBRE!$H554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SEPTIEMBRE!$I555-SEPTIEMBRE!$H555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SEPTIEMBRE!$I556-SEPTIEMBRE!$H556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SEPTIEMBRE!$I557-SEPTIEMBRE!$H557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SEPTIEMBRE!$I558-SEPTIEMBRE!$H558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SEPTIEMBRE!$I559-SEPTIEMBRE!$H559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SEPTIEMBRE!$I560-SEPTIEMBRE!$H560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SEPTIEMBRE!$I561-SEPTIEMBRE!$H561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SEPTIEMBRE!$I562-SEPTIEMBRE!$H562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SEPTIEMBRE!$I563-SEPTIEMBRE!$H563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SEPTIEMBRE!$I564-SEPTIEMBRE!$H564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SEPTIEMBRE!$I565-SEPTIEMBRE!$H565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SEPTIEMBRE!$I566-SEPTIEMBRE!$H566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SEPTIEMBRE!$I567-SEPTIEMBRE!$H567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SEPTIEMBRE!$I568-SEPTIEMBRE!$H568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SEPTIEMBRE!$I569-SEPTIEMBRE!$H569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SEPTIEMBRE!$I570-SEPTIEMBRE!$H570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SEPTIEMBRE!$I571-SEPTIEMBRE!$H571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SEPTIEMBRE!$I572-SEPTIEMBRE!$H572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SEPTIEMBRE!$I573-SEPTIEMBRE!$H573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SEPTIEMBRE!$I574-SEPTIEMBRE!$H574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SEPTIEMBRE!$I575-SEPTIEMBRE!$H575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SEPTIEMBRE!$I576-SEPTIEMBRE!$H576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SEPTIEMBRE!$I577-SEPTIEMBRE!$H577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SEPTIEMBRE!$I578-SEPTIEMBRE!$H578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SEPTIEMBRE!$I579-SEPTIEMBRE!$H579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SEPTIEMBRE!$I580-SEPTIEMBRE!$H580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SEPTIEMBRE!$I581-SEPTIEMBRE!$H581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SEPTIEMBRE!$I582-SEPTIEMBRE!$H582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SEPTIEMBRE!$I583-SEPTIEMBRE!$H583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SEPTIEMBRE!$I584-SEPTIEMBRE!$H584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SEPTIEMBRE!$I585-SEPTIEMBRE!$H585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SEPTIEMBRE!$I586-SEPTIEMBRE!$H586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SEPTIEMBRE!$I587-SEPTIEMBRE!$H587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SEPTIEMBRE!$I588-SEPTIEMBRE!$H588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SEPTIEMBRE!$I589-SEPTIEMBRE!$H589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SEPTIEMBRE!$I590-SEPTIEMBRE!$H590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SEPTIEMBRE!$I591-SEPTIEMBRE!$H591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SEPTIEMBRE!$I592-SEPTIEMBRE!$H592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SEPTIEMBRE!$I593-SEPTIEMBRE!$H593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SEPTIEMBRE!$I594-SEPTIEMBRE!$H594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SEPTIEMBRE!$I595-SEPTIEMBRE!$H595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SEPTIEMBRE!$I596-SEPTIEMBRE!$H596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SEPTIEMBRE!$I597-SEPTIEMBRE!$H597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SEPTIEMBRE!$I598-SEPTIEMBRE!$H598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SEPTIEMBRE!$I599-SEPTIEMBRE!$H599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SEPTIEMBRE!$I600-SEPTIEMBRE!$H600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SEPTIEMBRE!$I601-SEPTIEMBRE!$H601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SEPTIEMBRE!$I602-SEPTIEMBRE!$H602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SEPTIEMBRE!$I603-SEPTIEMBRE!$H603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SEPTIEMBRE!$I604-SEPTIEMBRE!$H604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SEPTIEMBRE!$I605-SEPTIEMBRE!$H605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SEPTIEMBRE!$I606-SEPTIEMBRE!$H606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SEPTIEMBRE!$I607-SEPTIEMBRE!$H607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SEPTIEMBRE!$I608-SEPTIEMBRE!$H608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SEPTIEMBRE!$I609-SEPTIEMBRE!$H609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SEPTIEMBRE!$I610-SEPTIEMBRE!$H610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SEPTIEMBRE!$I611-SEPTIEMBRE!$H611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SEPTIEMBRE!$I612-SEPTIEMBRE!$H612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SEPTIEMBRE!$I613-SEPTIEMBRE!$H613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SEPTIEMBRE!$I614-SEPTIEMBRE!$H614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SEPTIEMBRE!$I615-SEPTIEMBRE!$H615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SEPTIEMBRE!$I616-SEPTIEMBRE!$H616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SEPTIEMBRE!$I617-SEPTIEMBRE!$H617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SEPTIEMBRE!$I618-SEPTIEMBRE!$H618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SEPTIEMBRE!$I619-SEPTIEMBRE!$H619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SEPTIEMBRE!$I620-SEPTIEMBRE!$H620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SEPTIEMBRE!$I621-SEPTIEMBRE!$H621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SEPTIEMBRE!$I622-SEPTIEMBRE!$H622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SEPTIEMBRE!$I623-SEPTIEMBRE!$H623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SEPTIEMBRE!$I624-SEPTIEMBRE!$H624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SEPTIEMBRE!$I625-SEPTIEMBRE!$H625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SEPTIEMBRE!$I626-SEPTIEMBRE!$H626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SEPTIEMBRE!$I627-SEPTIEMBRE!$H627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SEPTIEMBRE!$I628-SEPTIEMBRE!$H628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SEPTIEMBRE!$I629-SEPTIEMBRE!$H629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SEPTIEMBRE!$I630-SEPTIEMBRE!$H630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SEPTIEMBRE!$I631-SEPTIEMBRE!$H631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SEPTIEMBRE!$I632-SEPTIEMBRE!$H632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SEPTIEMBRE!$I633-SEPTIEMBRE!$H633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SEPTIEMBRE!$I634-SEPTIEMBRE!$H634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SEPTIEMBRE!$I635-SEPTIEMBRE!$H635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SEPTIEMBRE!$I636-SEPTIEMBRE!$H636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SEPTIEMBRE!$I637-SEPTIEMBRE!$H637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SEPTIEMBRE!$I638-SEPTIEMBRE!$H638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SEPTIEMBRE!$I639-SEPTIEMBRE!$H639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SEPTIEMBRE!$I640-SEPTIEMBRE!$H640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SEPTIEMBRE!$I641-SEPTIEMBRE!$H641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SEPTIEMBRE!$I642-SEPTIEMBRE!$H642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SEPTIEMBRE!$I643-SEPTIEMBRE!$H643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SEPTIEMBRE!$I644-SEPTIEMBRE!$H644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SEPTIEMBRE!$I645-SEPTIEMBRE!$H645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SEPTIEMBRE!$I646-SEPTIEMBRE!$H646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SEPTIEMBRE!$I647-SEPTIEMBRE!$H647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SEPTIEMBRE!$I648-SEPTIEMBRE!$H648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SEPTIEMBRE!$I649-SEPTIEMBRE!$H649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SEPTIEMBRE!$I650-SEPTIEMBRE!$H650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SEPTIEMBRE!$I651-SEPTIEMBRE!$H651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SEPTIEMBRE!$I652-SEPTIEMBRE!$H652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SEPTIEMBRE!$I653-SEPTIEMBRE!$H653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SEPTIEMBRE!$I654-SEPTIEMBRE!$H654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120" t="n"/>
      <c r="E655" s="120" t="n"/>
      <c r="F655" s="120" t="n"/>
      <c r="G655" s="63">
        <f>SEPTIEMBRE!$I655-SEPTIEMBRE!$H655</f>
        <v/>
      </c>
      <c r="H655" s="121" t="n"/>
      <c r="I655" s="121" t="n"/>
      <c r="J655" s="123" t="n"/>
      <c r="K655" s="120" t="n"/>
      <c r="L655" s="64" t="n"/>
      <c r="M655" s="5" t="n"/>
      <c r="N655" s="71">
        <f>IF($D655="AL",$G655,0)</f>
        <v/>
      </c>
      <c r="O655" s="66">
        <f>IF($D655="BA",$G655,0)</f>
        <v/>
      </c>
      <c r="P655" s="66">
        <f>IF($D655="GF",$G655,0)</f>
        <v/>
      </c>
      <c r="Q655" s="66">
        <f>IF($D655="OT",$G655,0)</f>
        <v/>
      </c>
      <c r="R655" s="67">
        <f>IF($D655="AS",$G655,0)</f>
        <v/>
      </c>
      <c r="S655" s="5" t="n"/>
      <c r="T655" s="68">
        <f>IF($E655=T$8,$G655,0)</f>
        <v/>
      </c>
      <c r="U655" s="69">
        <f>IF($E655=U$8,$G655,0)</f>
        <v/>
      </c>
      <c r="V655" s="69">
        <f>IF($E655=V$8,$G655,0)</f>
        <v/>
      </c>
      <c r="W655" s="69">
        <f>IF($E655=W$8,$G655,0)</f>
        <v/>
      </c>
      <c r="X655" s="69">
        <f>IF($E655=X$8,$G655,0)</f>
        <v/>
      </c>
      <c r="Y655" s="69">
        <f>IF($E655=Y$8,$G655,0)</f>
        <v/>
      </c>
      <c r="Z655" s="69">
        <f>IF($E655=Z$8,$G655,0)</f>
        <v/>
      </c>
      <c r="AA655" s="69">
        <f>IF($E655=AA$8,$G655,0)</f>
        <v/>
      </c>
      <c r="AB655" s="69">
        <f>IF($E655=AB$8,$G655,0)</f>
        <v/>
      </c>
      <c r="AC655" s="69">
        <f>IF($E655=AC$8,$G655,0)</f>
        <v/>
      </c>
      <c r="AD655" s="69">
        <f>IF($E655=AD$8,$G655,0)</f>
        <v/>
      </c>
      <c r="AE655" s="69">
        <f>IF($E655=AE$8,$G655,0)</f>
        <v/>
      </c>
      <c r="AF655" s="69">
        <f>IF($E655=AF$8,$G655,0)</f>
        <v/>
      </c>
      <c r="AG655" s="69">
        <f>IF($E655=AG$8,$G655,0)</f>
        <v/>
      </c>
      <c r="AH655" s="69">
        <f>IF($E655=AH$8,$G655,0)</f>
        <v/>
      </c>
      <c r="AI655" s="69">
        <f>IF($E655=AI$8,$G655,0)</f>
        <v/>
      </c>
      <c r="AJ655" s="69">
        <f>IF($E655=AJ$8,$G655,0)</f>
        <v/>
      </c>
      <c r="AK655" s="69">
        <f>IF($E655=AK$8,$G655,0)</f>
        <v/>
      </c>
      <c r="AL655" s="69">
        <f>IF($E655=AL$8,$G655,0)</f>
        <v/>
      </c>
      <c r="AM655" s="69">
        <f>IF($E655=AM$8,$G655,0)</f>
        <v/>
      </c>
      <c r="AN655" s="69">
        <f>IF($E655=AN$8,$G655,0)</f>
        <v/>
      </c>
      <c r="AO655" s="69">
        <f>IF($E655=AO$8,$G655,0)</f>
        <v/>
      </c>
      <c r="AP655" s="69">
        <f>IF($E655=AP$8,$G655,0)</f>
        <v/>
      </c>
      <c r="AQ655" s="69">
        <f>IF($E655=AQ$8,$G655,0)</f>
        <v/>
      </c>
      <c r="AR655" s="69">
        <f>IF($E655=AR$8,$G655,0)</f>
        <v/>
      </c>
      <c r="AS655" s="69">
        <f>IF($E655=AS$8,$G655,0)</f>
        <v/>
      </c>
      <c r="AT655" s="69">
        <f>IF($E655=AT$8,$G655,0)</f>
        <v/>
      </c>
      <c r="AU655" s="69">
        <f>IF($E655=AU$8,$G655,0)</f>
        <v/>
      </c>
      <c r="AV655" s="69">
        <f>IF($E655=AV$8,$G655,0)</f>
        <v/>
      </c>
      <c r="AW655" s="69">
        <f>IF($E655=AW$8,$G655,0)</f>
        <v/>
      </c>
      <c r="AX655" s="69">
        <f>IF($E655=AX$8,$G655,0)</f>
        <v/>
      </c>
      <c r="AY655" s="69">
        <f>IF($E655=AY$8,$G655,0)</f>
        <v/>
      </c>
      <c r="AZ655" s="69">
        <f>IF($E655=AZ$8,$G655,0)</f>
        <v/>
      </c>
      <c r="BA655" s="69">
        <f>IF($E655=BA$8,$G655,0)</f>
        <v/>
      </c>
      <c r="BB655" s="69">
        <f>IF($E655=BB$8,$G655,0)</f>
        <v/>
      </c>
      <c r="BC655" s="69">
        <f>IF($E655=BC$8,$G655,0)</f>
        <v/>
      </c>
      <c r="BD655" s="69">
        <f>IF($E655=BD$8,$G655,0)</f>
        <v/>
      </c>
      <c r="BE655" s="69">
        <f>IF($E655=BE$8,$G655,0)</f>
        <v/>
      </c>
      <c r="BF655" s="69">
        <f>IF($E655=BF$8,$G655,0)</f>
        <v/>
      </c>
      <c r="BG655" s="69">
        <f>IF($E655=BG$8,$G655,0)</f>
        <v/>
      </c>
      <c r="BH655" s="69">
        <f>IF($E655=BH$8,$G655,0)</f>
        <v/>
      </c>
      <c r="BI655" s="69">
        <f>IF($E655=BI$8,$G655,0)</f>
        <v/>
      </c>
      <c r="BJ655" s="69">
        <f>IF($E655=BJ$8,$G655,0)</f>
        <v/>
      </c>
      <c r="BK655" s="69">
        <f>IF($E655=BK$8,$G655,0)</f>
        <v/>
      </c>
      <c r="BL655" s="69">
        <f>IF($E655=BL$8,$G655,0)</f>
        <v/>
      </c>
      <c r="BM655" s="69">
        <f>IF($E655=BM$8,$G655,0)</f>
        <v/>
      </c>
      <c r="BN655" s="69">
        <f>IF($E655=BN$8,$G655,0)</f>
        <v/>
      </c>
      <c r="BO655" s="69">
        <f>IF($E655=BO$8,$G655,0)</f>
        <v/>
      </c>
      <c r="BP655" s="69">
        <f>IF($E655=BP$8,$G655,0)</f>
        <v/>
      </c>
      <c r="BQ655" s="69">
        <f>IF($E655=BQ$8,$G655,0)</f>
        <v/>
      </c>
      <c r="BR655" s="69">
        <f>IF($E655=BR$8,$G655,0)</f>
        <v/>
      </c>
      <c r="BS655" s="69">
        <f>IF($E655=BS$8,$G655,0)</f>
        <v/>
      </c>
      <c r="BT655" s="69">
        <f>IF($E655=BT$8,$G655,0)</f>
        <v/>
      </c>
      <c r="BU655" s="69">
        <f>IF($E655=BU$8,$G655,0)</f>
        <v/>
      </c>
      <c r="BV655" s="69">
        <f>IF($E655=BV$8,$G655,0)</f>
        <v/>
      </c>
      <c r="BW655" s="69">
        <f>IF($E655=BW$8,$G655,0)</f>
        <v/>
      </c>
      <c r="BX655" s="69">
        <f>IF($E655=BX$8,$G655,0)</f>
        <v/>
      </c>
      <c r="BY655" s="69">
        <f>IF($E655=BY$8,$G655,0)</f>
        <v/>
      </c>
      <c r="BZ655" s="69">
        <f>IF($E655=BZ$8,$G655,0)</f>
        <v/>
      </c>
      <c r="CA655" s="69">
        <f>IF($E655=CA$8,$G655,0)</f>
        <v/>
      </c>
      <c r="CB655" s="69">
        <f>IF($E655=CB$8,$G655,0)</f>
        <v/>
      </c>
      <c r="CC655" s="69">
        <f>IF($E655=CC$8,$G655,0)</f>
        <v/>
      </c>
      <c r="CD655" s="69">
        <f>IF($E655=CD$8,$G655,0)</f>
        <v/>
      </c>
      <c r="CE655" s="69">
        <f>IF($E655=CE$8,$G655,0)</f>
        <v/>
      </c>
      <c r="CF655" s="69">
        <f>IF($E655=CF$8,$G655,0)</f>
        <v/>
      </c>
      <c r="CG655" s="69">
        <f>IF($E655=CG$8,$G655,0)</f>
        <v/>
      </c>
      <c r="CH655" s="69">
        <f>IF($E655=CH$8,$G655,0)</f>
        <v/>
      </c>
      <c r="CI655" s="69">
        <f>IF($E655=CI$8,$G655,0)</f>
        <v/>
      </c>
      <c r="CJ655" s="69">
        <f>IF($E655=CJ$8,$G655,0)</f>
        <v/>
      </c>
      <c r="CK655" s="69">
        <f>IF($E655=CK$8,$G655,0)</f>
        <v/>
      </c>
      <c r="CL655" s="69">
        <f>IF($E655=CL$8,$G655,0)</f>
        <v/>
      </c>
      <c r="CM655" s="69">
        <f>IF($E655=CM$8,$G655,0)</f>
        <v/>
      </c>
      <c r="CN655" s="69">
        <f>IF($E655=CN$8,$G655,0)</f>
        <v/>
      </c>
      <c r="CO655" s="69">
        <f>IF($E655=CO$8,$G655,0)</f>
        <v/>
      </c>
      <c r="CP655" s="69">
        <f>IF($E655=CP$8,$G655,0)</f>
        <v/>
      </c>
      <c r="CQ655" s="69">
        <f>IF($E655=CQ$8,$G655,0)</f>
        <v/>
      </c>
      <c r="CR655" s="69">
        <f>IF($E655=CR$8,$G655,0)</f>
        <v/>
      </c>
      <c r="CS655" s="69">
        <f>IF($E655=CS$8,$G655,0)</f>
        <v/>
      </c>
      <c r="CT655" s="69">
        <f>IF($E655=CT$8,$G655,0)</f>
        <v/>
      </c>
      <c r="CU655" s="69">
        <f>IF($E655=CU$8,$G655,0)</f>
        <v/>
      </c>
      <c r="CV655" s="69">
        <f>IF($E655=CV$8,$G655,0)</f>
        <v/>
      </c>
      <c r="CW655" s="69">
        <f>IF($E655=CW$8,$G655,0)</f>
        <v/>
      </c>
      <c r="CX655" s="69">
        <f>IF($E655=CX$8,$G655,0)</f>
        <v/>
      </c>
      <c r="CY655" s="69">
        <f>IF($E655=CY$8,$G655,0)</f>
        <v/>
      </c>
      <c r="CZ655" s="69">
        <f>IF($E655=CZ$8,$G655,0)</f>
        <v/>
      </c>
      <c r="DA655" s="70">
        <f>IF($E655=DA$8,$G655,0)</f>
        <v/>
      </c>
      <c r="DB655" s="5" t="n"/>
    </row>
    <row r="656" ht="15.75" customHeight="1" s="129">
      <c r="A656" s="1" t="n"/>
      <c r="B656" s="48" t="n"/>
      <c r="C656" s="49" t="n"/>
      <c r="D656" s="114" t="n"/>
      <c r="E656" s="86" t="n"/>
      <c r="F656" s="86" t="n"/>
      <c r="G656" s="63">
        <f>SEPTIEMBRE!$I656-SEPTIEMBRE!$H656</f>
        <v/>
      </c>
      <c r="H656" s="87" t="n"/>
      <c r="I656" s="88" t="n"/>
      <c r="J656" s="123" t="n"/>
      <c r="K656" s="86" t="n"/>
      <c r="L656" s="89" t="n"/>
      <c r="M656" s="5" t="n"/>
      <c r="N656" s="96">
        <f>IF($D656="AL",$G656,0)</f>
        <v/>
      </c>
      <c r="O656" s="97">
        <f>IF($D656="BA",$G656,0)</f>
        <v/>
      </c>
      <c r="P656" s="97">
        <f>IF($D656="GF",$G656,0)</f>
        <v/>
      </c>
      <c r="Q656" s="97">
        <f>IF($D656="OT",$G656,0)</f>
        <v/>
      </c>
      <c r="R656" s="98">
        <f>IF($D656="AS",$G656,0)</f>
        <v/>
      </c>
      <c r="S656" s="5" t="n"/>
      <c r="T656" s="99">
        <f>IF($E656=T$8,$G656,0)</f>
        <v/>
      </c>
      <c r="U656" s="100">
        <f>IF($E656=U$8,$G656,0)</f>
        <v/>
      </c>
      <c r="V656" s="100">
        <f>IF($E656=V$8,$G656,0)</f>
        <v/>
      </c>
      <c r="W656" s="100">
        <f>IF($E656=W$8,$G656,0)</f>
        <v/>
      </c>
      <c r="X656" s="100">
        <f>IF($E656=X$8,$G656,0)</f>
        <v/>
      </c>
      <c r="Y656" s="100">
        <f>IF($E656=Y$8,$G656,0)</f>
        <v/>
      </c>
      <c r="Z656" s="100">
        <f>IF($E656=Z$8,$G656,0)</f>
        <v/>
      </c>
      <c r="AA656" s="100">
        <f>IF($E656=AA$8,$G656,0)</f>
        <v/>
      </c>
      <c r="AB656" s="100">
        <f>IF($E656=AB$8,$G656,0)</f>
        <v/>
      </c>
      <c r="AC656" s="100">
        <f>IF($E656=AC$8,$G656,0)</f>
        <v/>
      </c>
      <c r="AD656" s="100">
        <f>IF($E656=AD$8,$G656,0)</f>
        <v/>
      </c>
      <c r="AE656" s="100">
        <f>IF($E656=AE$8,$G656,0)</f>
        <v/>
      </c>
      <c r="AF656" s="100">
        <f>IF($E656=AF$8,$G656,0)</f>
        <v/>
      </c>
      <c r="AG656" s="100">
        <f>IF($E656=AG$8,$G656,0)</f>
        <v/>
      </c>
      <c r="AH656" s="100">
        <f>IF($E656=AH$8,$G656,0)</f>
        <v/>
      </c>
      <c r="AI656" s="100">
        <f>IF($E656=AI$8,$G656,0)</f>
        <v/>
      </c>
      <c r="AJ656" s="100">
        <f>IF($E656=AJ$8,$G656,0)</f>
        <v/>
      </c>
      <c r="AK656" s="100">
        <f>IF($E656=AK$8,$G656,0)</f>
        <v/>
      </c>
      <c r="AL656" s="100">
        <f>IF($E656=AL$8,$G656,0)</f>
        <v/>
      </c>
      <c r="AM656" s="100">
        <f>IF($E656=AM$8,$G656,0)</f>
        <v/>
      </c>
      <c r="AN656" s="100">
        <f>IF($E656=AN$8,$G656,0)</f>
        <v/>
      </c>
      <c r="AO656" s="100">
        <f>IF($E656=AO$8,$G656,0)</f>
        <v/>
      </c>
      <c r="AP656" s="100">
        <f>IF($E656=AP$8,$G656,0)</f>
        <v/>
      </c>
      <c r="AQ656" s="100">
        <f>IF($E656=AQ$8,$G656,0)</f>
        <v/>
      </c>
      <c r="AR656" s="100">
        <f>IF($E656=AR$8,$G656,0)</f>
        <v/>
      </c>
      <c r="AS656" s="100">
        <f>IF($E656=AS$8,$G656,0)</f>
        <v/>
      </c>
      <c r="AT656" s="100">
        <f>IF($E656=AT$8,$G656,0)</f>
        <v/>
      </c>
      <c r="AU656" s="100">
        <f>IF($E656=AU$8,$G656,0)</f>
        <v/>
      </c>
      <c r="AV656" s="100">
        <f>IF($E656=AV$8,$G656,0)</f>
        <v/>
      </c>
      <c r="AW656" s="100">
        <f>IF($E656=AW$8,$G656,0)</f>
        <v/>
      </c>
      <c r="AX656" s="100">
        <f>IF($E656=AX$8,$G656,0)</f>
        <v/>
      </c>
      <c r="AY656" s="100">
        <f>IF($E656=AY$8,$G656,0)</f>
        <v/>
      </c>
      <c r="AZ656" s="100">
        <f>IF($E656=AZ$8,$G656,0)</f>
        <v/>
      </c>
      <c r="BA656" s="100">
        <f>IF($E656=BA$8,$G656,0)</f>
        <v/>
      </c>
      <c r="BB656" s="100">
        <f>IF($E656=BB$8,$G656,0)</f>
        <v/>
      </c>
      <c r="BC656" s="100">
        <f>IF($E656=BC$8,$G656,0)</f>
        <v/>
      </c>
      <c r="BD656" s="100">
        <f>IF($E656=BD$8,$G656,0)</f>
        <v/>
      </c>
      <c r="BE656" s="100">
        <f>IF($E656=BE$8,$G656,0)</f>
        <v/>
      </c>
      <c r="BF656" s="100">
        <f>IF($E656=BF$8,$G656,0)</f>
        <v/>
      </c>
      <c r="BG656" s="100">
        <f>IF($E656=BG$8,$G656,0)</f>
        <v/>
      </c>
      <c r="BH656" s="100">
        <f>IF($E656=BH$8,$G656,0)</f>
        <v/>
      </c>
      <c r="BI656" s="100">
        <f>IF($E656=BI$8,$G656,0)</f>
        <v/>
      </c>
      <c r="BJ656" s="100">
        <f>IF($E656=BJ$8,$G656,0)</f>
        <v/>
      </c>
      <c r="BK656" s="100">
        <f>IF($E656=BK$8,$G656,0)</f>
        <v/>
      </c>
      <c r="BL656" s="100">
        <f>IF($E656=BL$8,$G656,0)</f>
        <v/>
      </c>
      <c r="BM656" s="100">
        <f>IF($E656=BM$8,$G656,0)</f>
        <v/>
      </c>
      <c r="BN656" s="100">
        <f>IF($E656=BN$8,$G656,0)</f>
        <v/>
      </c>
      <c r="BO656" s="100">
        <f>IF($E656=BO$8,$G656,0)</f>
        <v/>
      </c>
      <c r="BP656" s="100">
        <f>IF($E656=BP$8,$G656,0)</f>
        <v/>
      </c>
      <c r="BQ656" s="100">
        <f>IF($E656=BQ$8,$G656,0)</f>
        <v/>
      </c>
      <c r="BR656" s="100">
        <f>IF($E656=BR$8,$G656,0)</f>
        <v/>
      </c>
      <c r="BS656" s="100">
        <f>IF($E656=BS$8,$G656,0)</f>
        <v/>
      </c>
      <c r="BT656" s="100">
        <f>IF($E656=BT$8,$G656,0)</f>
        <v/>
      </c>
      <c r="BU656" s="100">
        <f>IF($E656=BU$8,$G656,0)</f>
        <v/>
      </c>
      <c r="BV656" s="100">
        <f>IF($E656=BV$8,$G656,0)</f>
        <v/>
      </c>
      <c r="BW656" s="100">
        <f>IF($E656=BW$8,$G656,0)</f>
        <v/>
      </c>
      <c r="BX656" s="100">
        <f>IF($E656=BX$8,$G656,0)</f>
        <v/>
      </c>
      <c r="BY656" s="100">
        <f>IF($E656=BY$8,$G656,0)</f>
        <v/>
      </c>
      <c r="BZ656" s="100">
        <f>IF($E656=BZ$8,$G656,0)</f>
        <v/>
      </c>
      <c r="CA656" s="100">
        <f>IF($E656=CA$8,$G656,0)</f>
        <v/>
      </c>
      <c r="CB656" s="100">
        <f>IF($E656=CB$8,$G656,0)</f>
        <v/>
      </c>
      <c r="CC656" s="100">
        <f>IF($E656=CC$8,$G656,0)</f>
        <v/>
      </c>
      <c r="CD656" s="100">
        <f>IF($E656=CD$8,$G656,0)</f>
        <v/>
      </c>
      <c r="CE656" s="100">
        <f>IF($E656=CE$8,$G656,0)</f>
        <v/>
      </c>
      <c r="CF656" s="100">
        <f>IF($E656=CF$8,$G656,0)</f>
        <v/>
      </c>
      <c r="CG656" s="100">
        <f>IF($E656=CG$8,$G656,0)</f>
        <v/>
      </c>
      <c r="CH656" s="100">
        <f>IF($E656=CH$8,$G656,0)</f>
        <v/>
      </c>
      <c r="CI656" s="100">
        <f>IF($E656=CI$8,$G656,0)</f>
        <v/>
      </c>
      <c r="CJ656" s="100">
        <f>IF($E656=CJ$8,$G656,0)</f>
        <v/>
      </c>
      <c r="CK656" s="100">
        <f>IF($E656=CK$8,$G656,0)</f>
        <v/>
      </c>
      <c r="CL656" s="100">
        <f>IF($E656=CL$8,$G656,0)</f>
        <v/>
      </c>
      <c r="CM656" s="100">
        <f>IF($E656=CM$8,$G656,0)</f>
        <v/>
      </c>
      <c r="CN656" s="100">
        <f>IF($E656=CN$8,$G656,0)</f>
        <v/>
      </c>
      <c r="CO656" s="100">
        <f>IF($E656=CO$8,$G656,0)</f>
        <v/>
      </c>
      <c r="CP656" s="100">
        <f>IF($E656=CP$8,$G656,0)</f>
        <v/>
      </c>
      <c r="CQ656" s="100">
        <f>IF($E656=CQ$8,$G656,0)</f>
        <v/>
      </c>
      <c r="CR656" s="100">
        <f>IF($E656=CR$8,$G656,0)</f>
        <v/>
      </c>
      <c r="CS656" s="100">
        <f>IF($E656=CS$8,$G656,0)</f>
        <v/>
      </c>
      <c r="CT656" s="100">
        <f>IF($E656=CT$8,$G656,0)</f>
        <v/>
      </c>
      <c r="CU656" s="100">
        <f>IF($E656=CU$8,$G656,0)</f>
        <v/>
      </c>
      <c r="CV656" s="100">
        <f>IF($E656=CV$8,$G656,0)</f>
        <v/>
      </c>
      <c r="CW656" s="100">
        <f>IF($E656=CW$8,$G656,0)</f>
        <v/>
      </c>
      <c r="CX656" s="100">
        <f>IF($E656=CX$8,$G656,0)</f>
        <v/>
      </c>
      <c r="CY656" s="100">
        <f>IF($E656=CY$8,$G656,0)</f>
        <v/>
      </c>
      <c r="CZ656" s="100">
        <f>IF($E656=CZ$8,$G656,0)</f>
        <v/>
      </c>
      <c r="DA656" s="101">
        <f>IF($E656=DA$8,$G656,0)</f>
        <v/>
      </c>
      <c r="DB656" s="5" t="n"/>
    </row>
    <row r="657" ht="15.75" customHeight="1" s="129">
      <c r="A657" s="1" t="n"/>
      <c r="B657" s="90" t="inlineStr">
        <is>
          <t>Total</t>
        </is>
      </c>
      <c r="C657" s="91" t="n"/>
      <c r="D657" s="91" t="n"/>
      <c r="E657" s="91" t="n"/>
      <c r="F657" s="91" t="n"/>
      <c r="G657" s="93">
        <f>SUBTOTAL(109,SEPTIEMBRE!$G$9:$G$656)</f>
        <v/>
      </c>
      <c r="H657" s="93">
        <f>SUBTOTAL(109,SEPTIEMBRE!$H$9:$H$656)</f>
        <v/>
      </c>
      <c r="I657" s="93">
        <f>SUBTOTAL(109,SEPTIEMBRE!$I$9:$I$656)</f>
        <v/>
      </c>
      <c r="J657" s="91" t="n"/>
      <c r="K657" s="91" t="n"/>
      <c r="L657" s="94" t="n"/>
      <c r="M657" s="5" t="n"/>
      <c r="N657" s="102">
        <f>SUM(N9:N656)</f>
        <v/>
      </c>
      <c r="O657" s="104">
        <f>SUM(O9:O656)</f>
        <v/>
      </c>
      <c r="P657" s="104">
        <f>SUM(P9:P656)</f>
        <v/>
      </c>
      <c r="Q657" s="104">
        <f>SUM(Q9:Q656)</f>
        <v/>
      </c>
      <c r="R657" s="105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4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4" t="inlineStr">
        <is>
          <t xml:space="preserve">ESTADO </t>
        </is>
      </c>
      <c r="C660" s="1" t="n"/>
      <c r="D660" s="1" t="n"/>
      <c r="E660" s="1" t="inlineStr">
        <is>
          <t> </t>
        </is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1">
        <f>IF(SEPTIEMBRE!$G$657=R658,"BIEN","MAL")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  <row r="662" ht="15.75" customHeight="1" s="129">
      <c r="A662" s="1" t="n"/>
      <c r="B662" s="112">
        <f>IF(SEPTIEMBRE!$G$657=DB657,"BIEN","MAL")</f>
        <v/>
      </c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</row>
  </sheetData>
  <mergeCells count="1">
    <mergeCell ref="B7:L7"/>
  </mergeCells>
  <conditionalFormatting sqref="F9:F42">
    <cfRule type="cellIs" priority="1" operator="equal" dxfId="3">
      <formula>"entre si"</formula>
    </cfRule>
  </conditionalFormatting>
  <conditionalFormatting sqref="F46:F656">
    <cfRule type="cellIs" priority="2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2026-08-12T15:29:06Z</dcterms:modified>
</cp:coreProperties>
</file>