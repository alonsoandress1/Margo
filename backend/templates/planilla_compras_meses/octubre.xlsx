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0" displayName="Table_10" ref="B8:L638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OCTUBR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43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OCTUBRE!$G$638</f>
        <v/>
      </c>
      <c r="H6" s="27">
        <f>OCTUBRE!$H$638</f>
        <v/>
      </c>
      <c r="I6" s="28">
        <f>OCTUBRE!$I$638</f>
        <v/>
      </c>
      <c r="J6" s="1" t="n"/>
      <c r="K6" s="1" t="n"/>
      <c r="L6" s="1" t="n"/>
      <c r="M6" s="29" t="inlineStr">
        <is>
          <t>T</t>
        </is>
      </c>
      <c r="N6" s="30">
        <f>N638</f>
        <v/>
      </c>
      <c r="O6" s="30">
        <f>O638</f>
        <v/>
      </c>
      <c r="P6" s="30">
        <f>P638</f>
        <v/>
      </c>
      <c r="Q6" s="30">
        <f>Q638</f>
        <v/>
      </c>
      <c r="R6" s="31">
        <f>R638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OCTUBRE!$I9-OCTUBRE!$H9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OCTUBRE!$I10-OCTUBRE!$H10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OCTUBRE!$I11-OCTUBRE!$H11</f>
        <v/>
      </c>
      <c r="H11" s="121" t="n"/>
      <c r="I11" s="121" t="n"/>
      <c r="J11" s="123" t="n"/>
      <c r="K11" s="120" t="n"/>
      <c r="L11" s="64" t="n"/>
      <c r="M11" s="5" t="n"/>
      <c r="N11" s="71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OCTUBRE!$I12-OCTUBRE!$H12</f>
        <v/>
      </c>
      <c r="H12" s="121" t="n"/>
      <c r="I12" s="121" t="n"/>
      <c r="J12" s="123" t="n"/>
      <c r="K12" s="120" t="n"/>
      <c r="L12" s="64" t="n"/>
      <c r="M12" s="5" t="n"/>
      <c r="N12" s="71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OCTUBRE!$I13-OCTUBRE!$H13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OCTUBRE!$I14-OCTUBRE!$H14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OCTUBRE!$I15-OCTUBRE!$H15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OCTUBRE!$I16-OCTUBRE!$H16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OCTUBRE!$I17-OCTUBRE!$H17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OCTUBRE!$I18-OCTUBRE!$H18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OCTUBRE!$I19-OCTUBRE!$H19</f>
        <v/>
      </c>
      <c r="H19" s="121" t="n"/>
      <c r="I19" s="121" t="n"/>
      <c r="J19" s="123" t="n"/>
      <c r="K19" s="120" t="n"/>
      <c r="L19" s="64" t="n"/>
      <c r="M19" s="5" t="n"/>
      <c r="N19" s="71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OCTUBRE!$I20-OCTUBRE!$H20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OCTUBRE!$I21-OCTUBRE!$H21</f>
        <v/>
      </c>
      <c r="H21" s="121" t="n"/>
      <c r="I21" s="121" t="n"/>
      <c r="J21" s="123" t="n"/>
      <c r="K21" s="120" t="n"/>
      <c r="L21" s="64" t="n"/>
      <c r="M21" s="5" t="n"/>
      <c r="N21" s="71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OCTUBRE!$I22-OCTUBRE!$H22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OCTUBRE!$I23-OCTUBRE!$H23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OCTUBRE!$I24-OCTUBRE!$H24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OCTUBRE!$I25-OCTUBRE!$H25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OCTUBRE!$I26-OCTUBRE!$H26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OCTUBRE!$I27-OCTUBRE!$H27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OCTUBRE!$I28-OCTUBRE!$H28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0" t="n"/>
      <c r="E29" s="120" t="n"/>
      <c r="F29" s="120" t="n"/>
      <c r="G29" s="63">
        <f>OCTUBRE!$I29-OCTUBRE!$H29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OCTUBRE!$I30-OCTUBRE!$H30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OCTUBRE!$I31-OCTUBRE!$H31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OCTUBRE!$I32-OCTUBRE!$H32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3" t="n"/>
      <c r="E33" s="120" t="n"/>
      <c r="F33" s="120" t="n"/>
      <c r="G33" s="63">
        <f>OCTUBRE!$I33-OCTUBRE!$H33</f>
        <v/>
      </c>
      <c r="H33" s="121" t="n"/>
      <c r="I33" s="121" t="n"/>
      <c r="J33" s="123" t="n"/>
      <c r="K33" s="120" t="n"/>
      <c r="L33" s="120" t="n"/>
      <c r="M33" s="5" t="n"/>
      <c r="N33" s="71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OCTUBRE!$I34-OCTUBRE!$H34</f>
        <v/>
      </c>
      <c r="H34" s="121" t="n"/>
      <c r="I34" s="121" t="n"/>
      <c r="J34" s="123" t="n"/>
      <c r="K34" s="120" t="n"/>
      <c r="L34" s="64" t="n"/>
      <c r="M34" s="5" t="n"/>
      <c r="N34" s="71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OCTUBRE!$I35-OCTUBRE!$H35</f>
        <v/>
      </c>
      <c r="H35" s="121" t="n"/>
      <c r="I35" s="121" t="n"/>
      <c r="J35" s="120" t="n"/>
      <c r="K35" s="120" t="n"/>
      <c r="L35" s="64" t="n"/>
      <c r="M35" s="5" t="n"/>
      <c r="N35" s="71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0" t="n"/>
      <c r="E36" s="120" t="n"/>
      <c r="F36" s="120" t="n"/>
      <c r="G36" s="63">
        <f>OCTUBRE!$I36-OCTUBRE!$H36</f>
        <v/>
      </c>
      <c r="H36" s="121" t="n"/>
      <c r="I36" s="121" t="n"/>
      <c r="J36" s="120" t="n"/>
      <c r="K36" s="120" t="n"/>
      <c r="L36" s="64" t="n"/>
      <c r="M36" s="5" t="n"/>
      <c r="N36" s="71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OCTUBRE!$I37-OCTUBRE!$H37</f>
        <v/>
      </c>
      <c r="H37" s="121" t="n"/>
      <c r="I37" s="121" t="n"/>
      <c r="J37" s="120" t="n"/>
      <c r="K37" s="120" t="n"/>
      <c r="L37" s="64" t="n"/>
      <c r="M37" s="5" t="n"/>
      <c r="N37" s="71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OCTUBRE!$I38-OCTUBRE!$H38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OCTUBRE!$I39-OCTUBRE!$H39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OCTUBRE!$I40-OCTUBRE!$H40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OCTUBRE!$I41-OCTUBRE!$H41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OCTUBRE!$I42-OCTUBRE!$H42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3" t="n"/>
      <c r="E43" s="120" t="n"/>
      <c r="F43" s="120" t="n"/>
      <c r="G43" s="63">
        <f>OCTUBRE!$I43-OCTUBRE!$H43</f>
        <v/>
      </c>
      <c r="H43" s="121" t="n"/>
      <c r="I43" s="121" t="n"/>
      <c r="J43" s="123" t="n"/>
      <c r="K43" s="120" t="n"/>
      <c r="L43" s="64" t="n"/>
      <c r="M43" s="5" t="n"/>
      <c r="N43" s="71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OCTUBRE!$I44-OCTUBRE!$H44</f>
        <v/>
      </c>
      <c r="H44" s="121" t="n"/>
      <c r="I44" s="121" t="n"/>
      <c r="J44" s="123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OCTUBRE!$I45-OCTUBRE!$H45</f>
        <v/>
      </c>
      <c r="H45" s="121" t="n"/>
      <c r="I45" s="121" t="n"/>
      <c r="J45" s="123" t="n"/>
      <c r="K45" s="120" t="n"/>
      <c r="L45" s="64" t="n"/>
      <c r="M45" s="5" t="n"/>
      <c r="N45" s="71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0" t="n"/>
      <c r="E46" s="120" t="n"/>
      <c r="F46" s="120" t="n"/>
      <c r="G46" s="63">
        <f>OCTUBRE!$I46-OCTUBRE!$H46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OCTUBRE!$I47-OCTUBRE!$H47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OCTUBRE!$I48-OCTUBRE!$H48</f>
        <v/>
      </c>
      <c r="H48" s="121" t="n"/>
      <c r="I48" s="121" t="n"/>
      <c r="J48" s="123" t="n"/>
      <c r="K48" s="120" t="n"/>
      <c r="L48" s="64" t="n"/>
      <c r="M48" s="5" t="n"/>
      <c r="N48" s="71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OCTUBRE!$I49-OCTUBRE!$H49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3" t="n"/>
      <c r="E50" s="120" t="n"/>
      <c r="F50" s="120" t="n"/>
      <c r="G50" s="63">
        <f>OCTUBRE!$I50-OCTUBRE!$H50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3" t="n"/>
      <c r="E51" s="120" t="n"/>
      <c r="F51" s="120" t="n"/>
      <c r="G51" s="63">
        <f>OCTUBRE!$I51-OCTUBRE!$H51</f>
        <v/>
      </c>
      <c r="H51" s="121" t="n"/>
      <c r="I51" s="121" t="n"/>
      <c r="J51" s="123" t="n"/>
      <c r="K51" s="120" t="n"/>
      <c r="L51" s="64" t="n"/>
      <c r="M51" s="5" t="n"/>
      <c r="N51" s="71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3" t="n"/>
      <c r="E52" s="120" t="n"/>
      <c r="F52" s="120" t="n"/>
      <c r="G52" s="63">
        <f>OCTUBRE!$I52-OCTUBRE!$H52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OCTUBRE!$I53-OCTUBRE!$H53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OCTUBRE!$I54-OCTUBRE!$H54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OCTUBRE!$I55-OCTUBRE!$H55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OCTUBRE!$I56-OCTUBRE!$H56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OCTUBRE!$I57-OCTUBRE!$H57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OCTUBRE!$I58-OCTUBRE!$H58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OCTUBRE!$I59-OCTUBRE!$H59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OCTUBRE!$I60-OCTUBRE!$H60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OCTUBRE!$I61-OCTUBRE!$H61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OCTUBRE!$I62-OCTUBRE!$H62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OCTUBRE!$I63-OCTUBRE!$H63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OCTUBRE!$I64-OCTUBRE!$H64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OCTUBRE!$I65-OCTUBRE!$H65</f>
        <v/>
      </c>
      <c r="H65" s="121" t="n"/>
      <c r="I65" s="121" t="n"/>
      <c r="J65" s="123" t="n"/>
      <c r="K65" s="120" t="n"/>
      <c r="L65" s="64" t="n"/>
      <c r="M65" s="5" t="n"/>
      <c r="N65" s="71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OCTUBRE!$I66-OCTUBRE!$H66</f>
        <v/>
      </c>
      <c r="H66" s="121" t="n"/>
      <c r="I66" s="121" t="n"/>
      <c r="J66" s="123" t="n"/>
      <c r="K66" s="120" t="n"/>
      <c r="L66" s="64" t="n"/>
      <c r="M66" s="5" t="n"/>
      <c r="N66" s="71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OCTUBRE!$I67-OCTUBRE!$H67</f>
        <v/>
      </c>
      <c r="H67" s="121" t="n"/>
      <c r="I67" s="121" t="n"/>
      <c r="J67" s="123" t="n"/>
      <c r="K67" s="120" t="n"/>
      <c r="L67" s="64" t="n"/>
      <c r="M67" s="5" t="n"/>
      <c r="N67" s="71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0" t="n"/>
      <c r="E68" s="120" t="n"/>
      <c r="F68" s="120" t="n"/>
      <c r="G68" s="63">
        <f>OCTUBRE!$I68-OCTUBRE!$H68</f>
        <v/>
      </c>
      <c r="H68" s="121" t="n"/>
      <c r="I68" s="121" t="n"/>
      <c r="J68" s="123" t="n"/>
      <c r="K68" s="120" t="n"/>
      <c r="L68" s="64" t="n"/>
      <c r="M68" s="5" t="n"/>
      <c r="N68" s="71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0" t="n"/>
      <c r="E69" s="120" t="n"/>
      <c r="F69" s="120" t="n"/>
      <c r="G69" s="63">
        <f>OCTUBRE!$I69-OCTUBRE!$H69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0" t="n"/>
      <c r="E70" s="120" t="n"/>
      <c r="F70" s="120" t="n"/>
      <c r="G70" s="63">
        <f>OCTUBRE!$I70-OCTUBRE!$H70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0" t="n"/>
      <c r="E71" s="120" t="n"/>
      <c r="F71" s="120" t="n"/>
      <c r="G71" s="63">
        <f>OCTUBRE!$I71-OCTUBRE!$H71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0" t="n"/>
      <c r="E72" s="120" t="n"/>
      <c r="F72" s="120" t="n"/>
      <c r="G72" s="63">
        <f>OCTUBRE!$I72-OCTUBRE!$H72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0" t="n"/>
      <c r="E73" s="120" t="n"/>
      <c r="F73" s="120" t="n"/>
      <c r="G73" s="63">
        <f>OCTUBRE!$I73-OCTUBRE!$H73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OCTUBRE!$I74-OCTUBRE!$H74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OCTUBRE!$I75-OCTUBRE!$H75</f>
        <v/>
      </c>
      <c r="H75" s="121" t="n"/>
      <c r="I75" s="121" t="n"/>
      <c r="J75" s="123" t="n"/>
      <c r="K75" s="120" t="n"/>
      <c r="L75" s="64" t="n"/>
      <c r="M75" s="5" t="n"/>
      <c r="N75" s="71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0" t="n"/>
      <c r="E76" s="120" t="n"/>
      <c r="F76" s="120" t="n"/>
      <c r="G76" s="63">
        <f>OCTUBRE!$I76-OCTUBRE!$H76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OCTUBRE!$I77-OCTUBRE!$H77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OCTUBRE!$I78-OCTUBRE!$H78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OCTUBRE!$I79-OCTUBRE!$H79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OCTUBRE!$I80-OCTUBRE!$H80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OCTUBRE!$I81-OCTUBRE!$H81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OCTUBRE!$I82-OCTUBRE!$H82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OCTUBRE!$I83-OCTUBRE!$H83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OCTUBRE!$I84-OCTUBRE!$H84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OCTUBRE!$I85-OCTUBRE!$H85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OCTUBRE!$I86-OCTUBRE!$H86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OCTUBRE!$I87-OCTUBRE!$H87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OCTUBRE!$I88-OCTUBRE!$H88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OCTUBRE!$I89-OCTUBRE!$H89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OCTUBRE!$I90-OCTUBRE!$H90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OCTUBRE!$I91-OCTUBRE!$H91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OCTUBRE!$I92-OCTUBRE!$H92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OCTUBRE!$I93-OCTUBRE!$H93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OCTUBRE!$I94-OCTUBRE!$H94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OCTUBRE!$I95-OCTUBRE!$H95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OCTUBRE!$I96-OCTUBRE!$H96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OCTUBRE!$I97-OCTUBRE!$H97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OCTUBRE!$I98-OCTUBRE!$H98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OCTUBRE!$I99-OCTUBRE!$H99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OCTUBRE!$I100-OCTUBRE!$H100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OCTUBRE!$I101-OCTUBRE!$H101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OCTUBRE!$I102-OCTUBRE!$H102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OCTUBRE!$I103-OCTUBRE!$H103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OCTUBRE!$I104-OCTUBRE!$H104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OCTUBRE!$I105-OCTUBRE!$H105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OCTUBRE!$I106-OCTUBRE!$H106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79" t="n"/>
      <c r="B107" s="48" t="n"/>
      <c r="C107" s="49" t="n"/>
      <c r="D107" s="120" t="n"/>
      <c r="E107" s="120" t="n"/>
      <c r="F107" s="120" t="n"/>
      <c r="G107" s="63">
        <f>OCTUBRE!$I107-OCTUBRE!$H107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OCTUBRE!$I108-OCTUBRE!$H108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OCTUBRE!$I109-OCTUBRE!$H109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OCTUBRE!$I110-OCTUBRE!$H110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OCTUBRE!$I111-OCTUBRE!$H111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OCTUBRE!$I112-OCTUBRE!$H112</f>
        <v/>
      </c>
      <c r="H112" s="121" t="n"/>
      <c r="I112" s="121" t="n"/>
      <c r="J112" s="123" t="n"/>
      <c r="K112" s="120" t="n"/>
      <c r="L112" s="64" t="n"/>
      <c r="M112" s="5" t="n"/>
      <c r="N112" s="71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OCTUBRE!$I113-OCTUBRE!$H113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OCTUBRE!$I114-OCTUBRE!$H114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OCTUBRE!$I115-OCTUBRE!$H115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1" t="n"/>
      <c r="B116" s="48" t="n"/>
      <c r="C116" s="49" t="n"/>
      <c r="D116" s="120" t="n"/>
      <c r="E116" s="120" t="n"/>
      <c r="F116" s="120" t="n"/>
      <c r="G116" s="63">
        <f>OCTUBRE!$I116-OCTUBRE!$H116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OCTUBRE!$I117-OCTUBRE!$H117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OCTUBRE!$I118-OCTUBRE!$H118</f>
        <v/>
      </c>
      <c r="H118" s="121" t="n"/>
      <c r="I118" s="121" t="n"/>
      <c r="J118" s="123" t="n"/>
      <c r="K118" s="120" t="n"/>
      <c r="L118" s="64" t="n"/>
      <c r="M118" s="5" t="n"/>
      <c r="N118" s="71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OCTUBRE!$I119-OCTUBRE!$H119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OCTUBRE!$I120-OCTUBRE!$H120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OCTUBRE!$I121-OCTUBRE!$H121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OCTUBRE!$I122-OCTUBRE!$H122</f>
        <v/>
      </c>
      <c r="H122" s="121" t="n"/>
      <c r="I122" s="121" t="n"/>
      <c r="J122" s="123" t="n"/>
      <c r="K122" s="120" t="n"/>
      <c r="L122" s="64" t="n"/>
      <c r="M122" s="5" t="n"/>
      <c r="N122" s="71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OCTUBRE!$I123-OCTUBRE!$H123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OCTUBRE!$I124-OCTUBRE!$H124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OCTUBRE!$I125-OCTUBRE!$H125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OCTUBRE!$I126-OCTUBRE!$H126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OCTUBRE!$I127-OCTUBRE!$H127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OCTUBRE!$I128-OCTUBRE!$H128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OCTUBRE!$I129-OCTUBRE!$H129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OCTUBRE!$I130-OCTUBRE!$H130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OCTUBRE!$I131-OCTUBRE!$H131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OCTUBRE!$I132-OCTUBRE!$H132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OCTUBRE!$I133-OCTUBRE!$H133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OCTUBRE!$I134-OCTUBRE!$H134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OCTUBRE!$I135-OCTUBRE!$H135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OCTUBRE!$I136-OCTUBRE!$H136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OCTUBRE!$I137-OCTUBRE!$H137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OCTUBRE!$I138-OCTUBRE!$H138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OCTUBRE!$I139-OCTUBRE!$H139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OCTUBRE!$I140-OCTUBRE!$H140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OCTUBRE!$I141-OCTUBRE!$H141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OCTUBRE!$I142-OCTUBRE!$H142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OCTUBRE!$I143-OCTUBRE!$H143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OCTUBRE!$I144-OCTUBRE!$H144</f>
        <v/>
      </c>
      <c r="H144" s="121" t="n"/>
      <c r="I144" s="121" t="n"/>
      <c r="J144" s="123" t="n"/>
      <c r="K144" s="120" t="n"/>
      <c r="L144" s="64" t="n"/>
      <c r="M144" s="5" t="n"/>
      <c r="N144" s="71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OCTUBRE!$I145-OCTUBRE!$H145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OCTUBRE!$I146-OCTUBRE!$H146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OCTUBRE!$I147-OCTUBRE!$H147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OCTUBRE!$I148-OCTUBRE!$H148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OCTUBRE!$I149-OCTUBRE!$H149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OCTUBRE!$I150-OCTUBRE!$H150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OCTUBRE!$I151-OCTUBRE!$H151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OCTUBRE!$I152-OCTUBRE!$H152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OCTUBRE!$I153-OCTUBRE!$H153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OCTUBRE!$I154-OCTUBRE!$H154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OCTUBRE!$I155-OCTUBRE!$H155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OCTUBRE!$I156-OCTUBRE!$H156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OCTUBRE!$I157-OCTUBRE!$H157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OCTUBRE!$I158-OCTUBRE!$H158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OCTUBRE!$I159-OCTUBRE!$H159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OCTUBRE!$I160-OCTUBRE!$H160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OCTUBRE!$I161-OCTUBRE!$H161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OCTUBRE!$I162-OCTUBRE!$H162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OCTUBRE!$I163-OCTUBRE!$H163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OCTUBRE!$I164-OCTUBRE!$H164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OCTUBRE!$I165-OCTUBRE!$H165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OCTUBRE!$I166-OCTUBRE!$H166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OCTUBRE!$I167-OCTUBRE!$H167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OCTUBRE!$I168-OCTUBRE!$H168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OCTUBRE!$I169-OCTUBRE!$H169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OCTUBRE!$I170-OCTUBRE!$H170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OCTUBRE!$I171-OCTUBRE!$H171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OCTUBRE!$I172-OCTUBRE!$H172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OCTUBRE!$I173-OCTUBRE!$H173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OCTUBRE!$I174-OCTUBRE!$H174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OCTUBRE!$I175-OCTUBRE!$H175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OCTUBRE!$I176-OCTUBRE!$H176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OCTUBRE!$I177-OCTUBRE!$H177</f>
        <v/>
      </c>
      <c r="H177" s="121" t="n"/>
      <c r="I177" s="121" t="n"/>
      <c r="J177" s="123" t="n"/>
      <c r="K177" s="120" t="n"/>
      <c r="L177" s="64" t="n"/>
      <c r="M177" s="5" t="n"/>
      <c r="N177" s="71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OCTUBRE!$I178-OCTUBRE!$H178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OCTUBRE!$I179-OCTUBRE!$H179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OCTUBRE!$I180-OCTUBRE!$H180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OCTUBRE!$I181-OCTUBRE!$H181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OCTUBRE!$I182-OCTUBRE!$H182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OCTUBRE!$I183-OCTUBRE!$H183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OCTUBRE!$I184-OCTUBRE!$H184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OCTUBRE!$I185-OCTUBRE!$H185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OCTUBRE!$I186-OCTUBRE!$H186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OCTUBRE!$I187-OCTUBRE!$H187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OCTUBRE!$I188-OCTUBRE!$H188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OCTUBRE!$I189-OCTUBRE!$H189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OCTUBRE!$I190-OCTUBRE!$H190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OCTUBRE!$I191-OCTUBRE!$H191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OCTUBRE!$I192-OCTUBRE!$H192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OCTUBRE!$I193-OCTUBRE!$H193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OCTUBRE!$I194-OCTUBRE!$H194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OCTUBRE!$I195-OCTUBRE!$H195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OCTUBRE!$I196-OCTUBRE!$H196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OCTUBRE!$I197-OCTUBRE!$H197</f>
        <v/>
      </c>
      <c r="H197" s="121" t="n"/>
      <c r="I197" s="121" t="n"/>
      <c r="J197" s="123" t="n"/>
      <c r="K197" s="120" t="n"/>
      <c r="L197" s="64" t="n"/>
      <c r="M197" s="5" t="n"/>
      <c r="N197" s="71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OCTUBRE!$I198-OCTUBRE!$H198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OCTUBRE!$I199-OCTUBRE!$H199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OCTUBRE!$I200-OCTUBRE!$H200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OCTUBRE!$I201-OCTUBRE!$H201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OCTUBRE!$I202-OCTUBRE!$H202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OCTUBRE!$I203-OCTUBRE!$H203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OCTUBRE!$I204-OCTUBRE!$H204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OCTUBRE!$I205-OCTUBRE!$H205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OCTUBRE!$I206-OCTUBRE!$H206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OCTUBRE!$I207-OCTUBRE!$H207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OCTUBRE!$I208-OCTUBRE!$H208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OCTUBRE!$I209-OCTUBRE!$H209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OCTUBRE!$I210-OCTUBRE!$H210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OCTUBRE!$I211-OCTUBRE!$H211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OCTUBRE!$I212-OCTUBRE!$H212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OCTUBRE!$I213-OCTUBRE!$H213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OCTUBRE!$I214-OCTUBRE!$H214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OCTUBRE!$I215-OCTUBRE!$H215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OCTUBRE!$I216-OCTUBRE!$H216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OCTUBRE!$I217-OCTUBRE!$H217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OCTUBRE!$I218-OCTUBRE!$H218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OCTUBRE!$I219-OCTUBRE!$H219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OCTUBRE!$I220-OCTUBRE!$H220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OCTUBRE!$I221-OCTUBRE!$H221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OCTUBRE!$I222-OCTUBRE!$H222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OCTUBRE!$I223-OCTUBRE!$H223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OCTUBRE!$I224-OCTUBRE!$H224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OCTUBRE!$I225-OCTUBRE!$H225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OCTUBRE!$I226-OCTUBRE!$H226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OCTUBRE!$I227-OCTUBRE!$H227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OCTUBRE!$I228-OCTUBRE!$H228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OCTUBRE!$I229-OCTUBRE!$H229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OCTUBRE!$I230-OCTUBRE!$H230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OCTUBRE!$I231-OCTUBRE!$H231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OCTUBRE!$I232-OCTUBRE!$H232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OCTUBRE!$I233-OCTUBRE!$H233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OCTUBRE!$I234-OCTUBRE!$H234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OCTUBRE!$I235-OCTUBRE!$H235</f>
        <v/>
      </c>
      <c r="H235" s="121" t="n"/>
      <c r="I235" s="121" t="n"/>
      <c r="J235" s="123" t="n"/>
      <c r="K235" s="120" t="n"/>
      <c r="L235" s="64" t="n"/>
      <c r="M235" s="5" t="n"/>
      <c r="N235" s="71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OCTUBRE!$I236-OCTUBRE!$H236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OCTUBRE!$I237-OCTUBRE!$H237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OCTUBRE!$I238-OCTUBRE!$H238</f>
        <v/>
      </c>
      <c r="H238" s="121" t="n"/>
      <c r="I238" s="121" t="n"/>
      <c r="J238" s="123" t="n"/>
      <c r="K238" s="120" t="n"/>
      <c r="L238" s="64" t="n"/>
      <c r="M238" s="5" t="n"/>
      <c r="N238" s="71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OCTUBRE!$I239-OCTUBRE!$H239</f>
        <v/>
      </c>
      <c r="H239" s="121" t="n"/>
      <c r="I239" s="121" t="n"/>
      <c r="J239" s="123" t="n"/>
      <c r="K239" s="120" t="n"/>
      <c r="L239" s="64" t="n"/>
      <c r="M239" s="5" t="n"/>
      <c r="N239" s="71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OCTUBRE!$I240-OCTUBRE!$H240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OCTUBRE!$I241-OCTUBRE!$H241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OCTUBRE!$I242-OCTUBRE!$H242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OCTUBRE!$I243-OCTUBRE!$H243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OCTUBRE!$I244-OCTUBRE!$H244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OCTUBRE!$I245-OCTUBRE!$H245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OCTUBRE!$I246-OCTUBRE!$H246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OCTUBRE!$I247-OCTUBRE!$H247</f>
        <v/>
      </c>
      <c r="H247" s="121" t="n"/>
      <c r="I247" s="121" t="n"/>
      <c r="J247" s="123" t="n"/>
      <c r="K247" s="120" t="n"/>
      <c r="L247" s="64" t="n"/>
      <c r="M247" s="5" t="n"/>
      <c r="N247" s="71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OCTUBRE!$I248-OCTUBRE!$H248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OCTUBRE!$I249-OCTUBRE!$H249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OCTUBRE!$I250-OCTUBRE!$H250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OCTUBRE!$I251-OCTUBRE!$H251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OCTUBRE!$I252-OCTUBRE!$H252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OCTUBRE!$I253-OCTUBRE!$H253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OCTUBRE!$I254-OCTUBRE!$H254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OCTUBRE!$I255-OCTUBRE!$H255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OCTUBRE!$I256-OCTUBRE!$H256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OCTUBRE!$I257-OCTUBRE!$H257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OCTUBRE!$I258-OCTUBRE!$H258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OCTUBRE!$I259-OCTUBRE!$H259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OCTUBRE!$I260-OCTUBRE!$H260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80" t="n"/>
      <c r="E261" s="120" t="n"/>
      <c r="F261" s="120" t="n"/>
      <c r="G261" s="63">
        <f>OCTUBRE!$I261-OCTUBRE!$H261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OCTUBRE!$I262-OCTUBRE!$H262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OCTUBRE!$I263-OCTUBRE!$H263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OCTUBRE!$I264-OCTUBRE!$H264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OCTUBRE!$I265-OCTUBRE!$H265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OCTUBRE!$I266-OCTUBRE!$H266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OCTUBRE!$I267-OCTUBRE!$H267</f>
        <v/>
      </c>
      <c r="H267" s="121" t="n"/>
      <c r="I267" s="121" t="n"/>
      <c r="J267" s="123" t="n"/>
      <c r="K267" s="120" t="n"/>
      <c r="L267" s="64" t="n"/>
      <c r="M267" s="5" t="n"/>
      <c r="N267" s="71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OCTUBRE!$I268-OCTUBRE!$H268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OCTUBRE!$I269-OCTUBRE!$H269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OCTUBRE!$I270-OCTUBRE!$H270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OCTUBRE!$I271-OCTUBRE!$H271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OCTUBRE!$I272-OCTUBRE!$H272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OCTUBRE!$I273-OCTUBRE!$H273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OCTUBRE!$I274-OCTUBRE!$H274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OCTUBRE!$I275-OCTUBRE!$H275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OCTUBRE!$I276-OCTUBRE!$H276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OCTUBRE!$I277-OCTUBRE!$H277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OCTUBRE!$I278-OCTUBRE!$H278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OCTUBRE!$I279-OCTUBRE!$H279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OCTUBRE!$I280-OCTUBRE!$H280</f>
        <v/>
      </c>
      <c r="H280" s="121" t="n"/>
      <c r="I280" s="121" t="n"/>
      <c r="J280" s="123" t="n"/>
      <c r="K280" s="120" t="n"/>
      <c r="L280" s="64" t="n"/>
      <c r="M280" s="5" t="n"/>
      <c r="N280" s="71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OCTUBRE!$I281-OCTUBRE!$H281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OCTUBRE!$I282-OCTUBRE!$H282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OCTUBRE!$I283-OCTUBRE!$H283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OCTUBRE!$I284-OCTUBRE!$H284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OCTUBRE!$I285-OCTUBRE!$H285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OCTUBRE!$I286-OCTUBRE!$H286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66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OCTUBRE!$I287-OCTUBRE!$H287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66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OCTUBRE!$I288-OCTUBRE!$H288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OCTUBRE!$I289-OCTUBRE!$H289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OCTUBRE!$I290-OCTUBRE!$H290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OCTUBRE!$I291-OCTUBRE!$H291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OCTUBRE!$I292-OCTUBRE!$H292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OCTUBRE!$I293-OCTUBRE!$H293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OCTUBRE!$I294-OCTUBRE!$H294</f>
        <v/>
      </c>
      <c r="H294" s="121" t="n"/>
      <c r="I294" s="121" t="n"/>
      <c r="J294" s="123" t="n"/>
      <c r="K294" s="120" t="n"/>
      <c r="L294" s="64" t="n"/>
      <c r="M294" s="5" t="n"/>
      <c r="N294" s="71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OCTUBRE!$I295-OCTUBRE!$H295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OCTUBRE!$I296-OCTUBRE!$H296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OCTUBRE!$I297-OCTUBRE!$H297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OCTUBRE!$I298-OCTUBRE!$H298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OCTUBRE!$I299-OCTUBRE!$H299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80" t="n"/>
      <c r="E300" s="120" t="n"/>
      <c r="F300" s="120" t="n"/>
      <c r="G300" s="63">
        <f>OCTUBRE!$I300-OCTUBRE!$H300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OCTUBRE!$I301-OCTUBRE!$H301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OCTUBRE!$I302-OCTUBRE!$H302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OCTUBRE!$I303-OCTUBRE!$H303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OCTUBRE!$I304-OCTUBRE!$H304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OCTUBRE!$I305-OCTUBRE!$H305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OCTUBRE!$I306-OCTUBRE!$H306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OCTUBRE!$I307-OCTUBRE!$H307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OCTUBRE!$I308-OCTUBRE!$H308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OCTUBRE!$I309-OCTUBRE!$H309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OCTUBRE!$I310-OCTUBRE!$H310</f>
        <v/>
      </c>
      <c r="H310" s="121" t="n"/>
      <c r="I310" s="121" t="n"/>
      <c r="J310" s="123" t="n"/>
      <c r="K310" s="120" t="n"/>
      <c r="L310" s="64" t="n"/>
      <c r="M310" s="5" t="n"/>
      <c r="N310" s="71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OCTUBRE!$I311-OCTUBRE!$H311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OCTUBRE!$I312-OCTUBRE!$H312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OCTUBRE!$I313-OCTUBRE!$H313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OCTUBRE!$I314-OCTUBRE!$H314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OCTUBRE!$I315-OCTUBRE!$H315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OCTUBRE!$I316-OCTUBRE!$H316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OCTUBRE!$I317-OCTUBRE!$H317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OCTUBRE!$I318-OCTUBRE!$H318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OCTUBRE!$I319-OCTUBRE!$H319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OCTUBRE!$I320-OCTUBRE!$H320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OCTUBRE!$I321-OCTUBRE!$H321</f>
        <v/>
      </c>
      <c r="H321" s="121" t="n"/>
      <c r="I321" s="121" t="n"/>
      <c r="J321" s="123" t="n"/>
      <c r="K321" s="120" t="n"/>
      <c r="L321" s="64" t="n"/>
      <c r="M321" s="5" t="n"/>
      <c r="N321" s="71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OCTUBRE!$I322-OCTUBRE!$H322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OCTUBRE!$I323-OCTUBRE!$H323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OCTUBRE!$I324-OCTUBRE!$H324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OCTUBRE!$I325-OCTUBRE!$H325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OCTUBRE!$I326-OCTUBRE!$H326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OCTUBRE!$I327-OCTUBRE!$H327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OCTUBRE!$I328-OCTUBRE!$H328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OCTUBRE!$I329-OCTUBRE!$H329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OCTUBRE!$I330-OCTUBRE!$H330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OCTUBRE!$I331-OCTUBRE!$H331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OCTUBRE!$I332-OCTUBRE!$H332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OCTUBRE!$I333-OCTUBRE!$H333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OCTUBRE!$I334-OCTUBRE!$H334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OCTUBRE!$I335-OCTUBRE!$H335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OCTUBRE!$I336-OCTUBRE!$H336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OCTUBRE!$I337-OCTUBRE!$H337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OCTUBRE!$I338-OCTUBRE!$H338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OCTUBRE!$I339-OCTUBRE!$H339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OCTUBRE!$I340-OCTUBRE!$H340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OCTUBRE!$I341-OCTUBRE!$H341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OCTUBRE!$I342-OCTUBRE!$H342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OCTUBRE!$I343-OCTUBRE!$H343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OCTUBRE!$I344-OCTUBRE!$H344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OCTUBRE!$I345-OCTUBRE!$H345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OCTUBRE!$I346-OCTUBRE!$H346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OCTUBRE!$I347-OCTUBRE!$H347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OCTUBRE!$I348-OCTUBRE!$H348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OCTUBRE!$I349-OCTUBRE!$H349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OCTUBRE!$I350-OCTUBRE!$H350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OCTUBRE!$I351-OCTUBRE!$H351</f>
        <v/>
      </c>
      <c r="H351" s="121" t="n"/>
      <c r="I351" s="121" t="n"/>
      <c r="J351" s="123" t="n"/>
      <c r="K351" s="120" t="n"/>
      <c r="L351" s="64" t="n"/>
      <c r="M351" s="5" t="n"/>
      <c r="N351" s="71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OCTUBRE!$I352-OCTUBRE!$H352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OCTUBRE!$I353-OCTUBRE!$H353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OCTUBRE!$I354-OCTUBRE!$H354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OCTUBRE!$I355-OCTUBRE!$H355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OCTUBRE!$I356-OCTUBRE!$H356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OCTUBRE!$I357-OCTUBRE!$H357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OCTUBRE!$I358-OCTUBRE!$H358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OCTUBRE!$I359-OCTUBRE!$H359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OCTUBRE!$I360-OCTUBRE!$H360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OCTUBRE!$I361-OCTUBRE!$H361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OCTUBRE!$I362-OCTUBRE!$H362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OCTUBRE!$I363-OCTUBRE!$H363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OCTUBRE!$I364-OCTUBRE!$H364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OCTUBRE!$I365-OCTUBRE!$H365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OCTUBRE!$I366-OCTUBRE!$H366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OCTUBRE!$I367-OCTUBRE!$H367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OCTUBRE!$I368-OCTUBRE!$H368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OCTUBRE!$I369-OCTUBRE!$H369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OCTUBRE!$I370-OCTUBRE!$H370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OCTUBRE!$I371-OCTUBRE!$H371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OCTUBRE!$I372-OCTUBRE!$H372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OCTUBRE!$I373-OCTUBRE!$H373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OCTUBRE!$I374-OCTUBRE!$H374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OCTUBRE!$I375-OCTUBRE!$H375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OCTUBRE!$I376-OCTUBRE!$H376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OCTUBRE!$I377-OCTUBRE!$H377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OCTUBRE!$I378-OCTUBRE!$H378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OCTUBRE!$I379-OCTUBRE!$H379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OCTUBRE!$I380-OCTUBRE!$H380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OCTUBRE!$I381-OCTUBRE!$H381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OCTUBRE!$I382-OCTUBRE!$H382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OCTUBRE!$I383-OCTUBRE!$H383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OCTUBRE!$I384-OCTUBRE!$H384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OCTUBRE!$I385-OCTUBRE!$H385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OCTUBRE!$I386-OCTUBRE!$H386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OCTUBRE!$I387-OCTUBRE!$H387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OCTUBRE!$I388-OCTUBRE!$H388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OCTUBRE!$I389-OCTUBRE!$H389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OCTUBRE!$I390-OCTUBRE!$H390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OCTUBRE!$I391-OCTUBRE!$H391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OCTUBRE!$I392-OCTUBRE!$H392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OCTUBRE!$I393-OCTUBRE!$H393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OCTUBRE!$I394-OCTUBRE!$H394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OCTUBRE!$I395-OCTUBRE!$H395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OCTUBRE!$I396-OCTUBRE!$H396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OCTUBRE!$I397-OCTUBRE!$H397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OCTUBRE!$I398-OCTUBRE!$H398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OCTUBRE!$I399-OCTUBRE!$H399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OCTUBRE!$I400-OCTUBRE!$H400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OCTUBRE!$I401-OCTUBRE!$H401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OCTUBRE!$I402-OCTUBRE!$H402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OCTUBRE!$I403-OCTUBRE!$H403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OCTUBRE!$I404-OCTUBRE!$H404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OCTUBRE!$I405-OCTUBRE!$H405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OCTUBRE!$I406-OCTUBRE!$H406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OCTUBRE!$I407-OCTUBRE!$H407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OCTUBRE!$I408-OCTUBRE!$H408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79" t="n"/>
      <c r="B409" s="48" t="n"/>
      <c r="C409" s="49" t="n"/>
      <c r="D409" s="120" t="n"/>
      <c r="E409" s="120" t="n"/>
      <c r="F409" s="120" t="n"/>
      <c r="G409" s="63">
        <f>OCTUBRE!$I409-OCTUBRE!$H409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OCTUBRE!$I410-OCTUBRE!$H410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OCTUBRE!$I411-OCTUBRE!$H411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OCTUBRE!$I412-OCTUBRE!$H412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OCTUBRE!$I413-OCTUBRE!$H413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OCTUBRE!$I414-OCTUBRE!$H414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OCTUBRE!$I415-OCTUBRE!$H415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OCTUBRE!$I416-OCTUBRE!$H416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OCTUBRE!$I417-OCTUBRE!$H417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OCTUBRE!$I418-OCTUBRE!$H418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OCTUBRE!$I419-OCTUBRE!$H419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OCTUBRE!$I420-OCTUBRE!$H420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OCTUBRE!$I421-OCTUBRE!$H421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OCTUBRE!$I422-OCTUBRE!$H422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OCTUBRE!$I423-OCTUBRE!$H423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OCTUBRE!$I424-OCTUBRE!$H424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OCTUBRE!$I425-OCTUBRE!$H425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OCTUBRE!$I426-OCTUBRE!$H426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OCTUBRE!$I427-OCTUBRE!$H427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1" t="n"/>
      <c r="B428" s="48" t="n"/>
      <c r="C428" s="49" t="n"/>
      <c r="D428" s="120" t="n"/>
      <c r="E428" s="120" t="n"/>
      <c r="F428" s="120" t="n"/>
      <c r="G428" s="63">
        <f>OCTUBRE!$I428-OCTUBRE!$H428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OCTUBRE!$I429-OCTUBRE!$H429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OCTUBRE!$I430-OCTUBRE!$H430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OCTUBRE!$I431-OCTUBRE!$H431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OCTUBRE!$I432-OCTUBRE!$H432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OCTUBRE!$I433-OCTUBRE!$H433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OCTUBRE!$I434-OCTUBRE!$H434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OCTUBRE!$I435-OCTUBRE!$H435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OCTUBRE!$I436-OCTUBRE!$H436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OCTUBRE!$I437-OCTUBRE!$H437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OCTUBRE!$I438-OCTUBRE!$H438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OCTUBRE!$I439-OCTUBRE!$H439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OCTUBRE!$I440-OCTUBRE!$H440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OCTUBRE!$I441-OCTUBRE!$H441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OCTUBRE!$I442-OCTUBRE!$H442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OCTUBRE!$I443-OCTUBRE!$H443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OCTUBRE!$I444-OCTUBRE!$H444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OCTUBRE!$I445-OCTUBRE!$H445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OCTUBRE!$I446-OCTUBRE!$H446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OCTUBRE!$I447-OCTUBRE!$H447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OCTUBRE!$I448-OCTUBRE!$H448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OCTUBRE!$I449-OCTUBRE!$H449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OCTUBRE!$I450-OCTUBRE!$H450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OCTUBRE!$I451-OCTUBRE!$H451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OCTUBRE!$I452-OCTUBRE!$H452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OCTUBRE!$I453-OCTUBRE!$H453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OCTUBRE!$I454-OCTUBRE!$H454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OCTUBRE!$I455-OCTUBRE!$H455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OCTUBRE!$I456-OCTUBRE!$H456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OCTUBRE!$I457-OCTUBRE!$H457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OCTUBRE!$I458-OCTUBRE!$H458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OCTUBRE!$I459-OCTUBRE!$H459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OCTUBRE!$I460-OCTUBRE!$H460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OCTUBRE!$I461-OCTUBRE!$H461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OCTUBRE!$I462-OCTUBRE!$H462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OCTUBRE!$I463-OCTUBRE!$H463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OCTUBRE!$I464-OCTUBRE!$H464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OCTUBRE!$I465-OCTUBRE!$H465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OCTUBRE!$I466-OCTUBRE!$H466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OCTUBRE!$I467-OCTUBRE!$H467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OCTUBRE!$I468-OCTUBRE!$H468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OCTUBRE!$I469-OCTUBRE!$H469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OCTUBRE!$I470-OCTUBRE!$H470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OCTUBRE!$I471-OCTUBRE!$H471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OCTUBRE!$I472-OCTUBRE!$H472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OCTUBRE!$I473-OCTUBRE!$H473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OCTUBRE!$I474-OCTUBRE!$H474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OCTUBRE!$I475-OCTUBRE!$H475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OCTUBRE!$I476-OCTUBRE!$H476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OCTUBRE!$I477-OCTUBRE!$H477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OCTUBRE!$I478-OCTUBRE!$H478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OCTUBRE!$I479-OCTUBRE!$H479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OCTUBRE!$I480-OCTUBRE!$H480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OCTUBRE!$I481-OCTUBRE!$H481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OCTUBRE!$I482-OCTUBRE!$H482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OCTUBRE!$I483-OCTUBRE!$H483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OCTUBRE!$I484-OCTUBRE!$H484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OCTUBRE!$I485-OCTUBRE!$H485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OCTUBRE!$I486-OCTUBRE!$H486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OCTUBRE!$I487-OCTUBRE!$H487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OCTUBRE!$I488-OCTUBRE!$H488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OCTUBRE!$I489-OCTUBRE!$H489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OCTUBRE!$I490-OCTUBRE!$H490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OCTUBRE!$I491-OCTUBRE!$H491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OCTUBRE!$I492-OCTUBRE!$H492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OCTUBRE!$I493-OCTUBRE!$H493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OCTUBRE!$I494-OCTUBRE!$H494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OCTUBRE!$I495-OCTUBRE!$H495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OCTUBRE!$I496-OCTUBRE!$H496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OCTUBRE!$I497-OCTUBRE!$H497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OCTUBRE!$I498-OCTUBRE!$H498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OCTUBRE!$I499-OCTUBRE!$H499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OCTUBRE!$I500-OCTUBRE!$H500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OCTUBRE!$I501-OCTUBRE!$H501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OCTUBRE!$I502-OCTUBRE!$H502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OCTUBRE!$I503-OCTUBRE!$H503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OCTUBRE!$I504-OCTUBRE!$H504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OCTUBRE!$I505-OCTUBRE!$H505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OCTUBRE!$I506-OCTUBRE!$H506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OCTUBRE!$I507-OCTUBRE!$H507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OCTUBRE!$I508-OCTUBRE!$H508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OCTUBRE!$I509-OCTUBRE!$H509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OCTUBRE!$I510-OCTUBRE!$H510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OCTUBRE!$I511-OCTUBRE!$H511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OCTUBRE!$I512-OCTUBRE!$H512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OCTUBRE!$I513-OCTUBRE!$H513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OCTUBRE!$I514-OCTUBRE!$H514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OCTUBRE!$I515-OCTUBRE!$H515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OCTUBRE!$I516-OCTUBRE!$H516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OCTUBRE!$I517-OCTUBRE!$H517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OCTUBRE!$I518-OCTUBRE!$H518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OCTUBRE!$I519-OCTUBRE!$H519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OCTUBRE!$I520-OCTUBRE!$H520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OCTUBRE!$I521-OCTUBRE!$H521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OCTUBRE!$I522-OCTUBRE!$H522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OCTUBRE!$I523-OCTUBRE!$H523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OCTUBRE!$I524-OCTUBRE!$H524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OCTUBRE!$I525-OCTUBRE!$H525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OCTUBRE!$I526-OCTUBRE!$H526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OCTUBRE!$I527-OCTUBRE!$H527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OCTUBRE!$I528-OCTUBRE!$H528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OCTUBRE!$I529-OCTUBRE!$H529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OCTUBRE!$I530-OCTUBRE!$H530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OCTUBRE!$I531-OCTUBRE!$H531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OCTUBRE!$I532-OCTUBRE!$H532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OCTUBRE!$I533-OCTUBRE!$H533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OCTUBRE!$I534-OCTUBRE!$H534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OCTUBRE!$I535-OCTUBRE!$H535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OCTUBRE!$I536-OCTUBRE!$H536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OCTUBRE!$I537-OCTUBRE!$H537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OCTUBRE!$I538-OCTUBRE!$H538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OCTUBRE!$I539-OCTUBRE!$H539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OCTUBRE!$I540-OCTUBRE!$H540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OCTUBRE!$I541-OCTUBRE!$H541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OCTUBRE!$I542-OCTUBRE!$H542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OCTUBRE!$I543-OCTUBRE!$H543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OCTUBRE!$I544-OCTUBRE!$H544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OCTUBRE!$I545-OCTUBRE!$H545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OCTUBRE!$I546-OCTUBRE!$H546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OCTUBRE!$I547-OCTUBRE!$H547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OCTUBRE!$I548-OCTUBRE!$H548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OCTUBRE!$I549-OCTUBRE!$H549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OCTUBRE!$I550-OCTUBRE!$H550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OCTUBRE!$I551-OCTUBRE!$H551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OCTUBRE!$I552-OCTUBRE!$H552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OCTUBRE!$I553-OCTUBRE!$H553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OCTUBRE!$I554-OCTUBRE!$H554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OCTUBRE!$I555-OCTUBRE!$H555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OCTUBRE!$I556-OCTUBRE!$H556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OCTUBRE!$I557-OCTUBRE!$H557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OCTUBRE!$I558-OCTUBRE!$H558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OCTUBRE!$I559-OCTUBRE!$H559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OCTUBRE!$I560-OCTUBRE!$H560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OCTUBRE!$I561-OCTUBRE!$H561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OCTUBRE!$I562-OCTUBRE!$H562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OCTUBRE!$I563-OCTUBRE!$H563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OCTUBRE!$I564-OCTUBRE!$H564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OCTUBRE!$I565-OCTUBRE!$H565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OCTUBRE!$I566-OCTUBRE!$H566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OCTUBRE!$I567-OCTUBRE!$H567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OCTUBRE!$I568-OCTUBRE!$H568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OCTUBRE!$I569-OCTUBRE!$H569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OCTUBRE!$I570-OCTUBRE!$H570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OCTUBRE!$I571-OCTUBRE!$H571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OCTUBRE!$I572-OCTUBRE!$H572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OCTUBRE!$I573-OCTUBRE!$H573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OCTUBRE!$I574-OCTUBRE!$H574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OCTUBRE!$I575-OCTUBRE!$H575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OCTUBRE!$I576-OCTUBRE!$H576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OCTUBRE!$I577-OCTUBRE!$H577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OCTUBRE!$I578-OCTUBRE!$H578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OCTUBRE!$I579-OCTUBRE!$H579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OCTUBRE!$I580-OCTUBRE!$H580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OCTUBRE!$I581-OCTUBRE!$H581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OCTUBRE!$I582-OCTUBRE!$H582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OCTUBRE!$I583-OCTUBRE!$H583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OCTUBRE!$I584-OCTUBRE!$H584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OCTUBRE!$I585-OCTUBRE!$H585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OCTUBRE!$I586-OCTUBRE!$H586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OCTUBRE!$I587-OCTUBRE!$H587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OCTUBRE!$I588-OCTUBRE!$H588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OCTUBRE!$I589-OCTUBRE!$H589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OCTUBRE!$I590-OCTUBRE!$H590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OCTUBRE!$I591-OCTUBRE!$H591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OCTUBRE!$I592-OCTUBRE!$H592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OCTUBRE!$I593-OCTUBRE!$H593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OCTUBRE!$I594-OCTUBRE!$H594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OCTUBRE!$I595-OCTUBRE!$H595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OCTUBRE!$I596-OCTUBRE!$H596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OCTUBRE!$I597-OCTUBRE!$H597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OCTUBRE!$I598-OCTUBRE!$H598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OCTUBRE!$I599-OCTUBRE!$H599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OCTUBRE!$I600-OCTUBRE!$H600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OCTUBRE!$I601-OCTUBRE!$H601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OCTUBRE!$I602-OCTUBRE!$H602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OCTUBRE!$I603-OCTUBRE!$H603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OCTUBRE!$I604-OCTUBRE!$H604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OCTUBRE!$I605-OCTUBRE!$H605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OCTUBRE!$I606-OCTUBRE!$H606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OCTUBRE!$I607-OCTUBRE!$H607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OCTUBRE!$I608-OCTUBRE!$H608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OCTUBRE!$I609-OCTUBRE!$H609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OCTUBRE!$I610-OCTUBRE!$H610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OCTUBRE!$I611-OCTUBRE!$H611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OCTUBRE!$I612-OCTUBRE!$H612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OCTUBRE!$I613-OCTUBRE!$H613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OCTUBRE!$I614-OCTUBRE!$H614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OCTUBRE!$I615-OCTUBRE!$H615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OCTUBRE!$I616-OCTUBRE!$H616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OCTUBRE!$I617-OCTUBRE!$H617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OCTUBRE!$I618-OCTUBRE!$H618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OCTUBRE!$I619-OCTUBRE!$H619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OCTUBRE!$I620-OCTUBRE!$H620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OCTUBRE!$I621-OCTUBRE!$H621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OCTUBRE!$I622-OCTUBRE!$H622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OCTUBRE!$I623-OCTUBRE!$H623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OCTUBRE!$I624-OCTUBRE!$H624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OCTUBRE!$I625-OCTUBRE!$H625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OCTUBRE!$I626-OCTUBRE!$H626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OCTUBRE!$I627-OCTUBRE!$H627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OCTUBRE!$I628-OCTUBRE!$H628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OCTUBRE!$I629-OCTUBRE!$H629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OCTUBRE!$I630-OCTUBRE!$H630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OCTUBRE!$I631-OCTUBRE!$H631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OCTUBRE!$I632-OCTUBRE!$H632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OCTUBRE!$I633-OCTUBRE!$H633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OCTUBRE!$I634-OCTUBRE!$H634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OCTUBRE!$I635-OCTUBRE!$H635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OCTUBRE!$I636-OCTUBRE!$H636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14" t="n"/>
      <c r="E637" s="86" t="n"/>
      <c r="F637" s="86" t="n"/>
      <c r="G637" s="63">
        <f>OCTUBRE!$I637-OCTUBRE!$H637</f>
        <v/>
      </c>
      <c r="H637" s="87" t="n"/>
      <c r="I637" s="88" t="n"/>
      <c r="J637" s="123" t="n"/>
      <c r="K637" s="86" t="n"/>
      <c r="L637" s="89" t="n"/>
      <c r="M637" s="5" t="n"/>
      <c r="N637" s="96">
        <f>IF($D637="AL",$G637,0)</f>
        <v/>
      </c>
      <c r="O637" s="97">
        <f>IF($D637="BA",$G637,0)</f>
        <v/>
      </c>
      <c r="P637" s="97">
        <f>IF($D637="GF",$G637,0)</f>
        <v/>
      </c>
      <c r="Q637" s="97">
        <f>IF($D637="OT",$G637,0)</f>
        <v/>
      </c>
      <c r="R637" s="98">
        <f>IF($D637="AS",$G637,0)</f>
        <v/>
      </c>
      <c r="S637" s="5" t="n"/>
      <c r="T637" s="99">
        <f>IF($E637=T$8,$G637,0)</f>
        <v/>
      </c>
      <c r="U637" s="100">
        <f>IF($E637=U$8,$G637,0)</f>
        <v/>
      </c>
      <c r="V637" s="100">
        <f>IF($E637=V$8,$G637,0)</f>
        <v/>
      </c>
      <c r="W637" s="100">
        <f>IF($E637=W$8,$G637,0)</f>
        <v/>
      </c>
      <c r="X637" s="100">
        <f>IF($E637=X$8,$G637,0)</f>
        <v/>
      </c>
      <c r="Y637" s="100">
        <f>IF($E637=Y$8,$G637,0)</f>
        <v/>
      </c>
      <c r="Z637" s="100">
        <f>IF($E637=Z$8,$G637,0)</f>
        <v/>
      </c>
      <c r="AA637" s="100">
        <f>IF($E637=AA$8,$G637,0)</f>
        <v/>
      </c>
      <c r="AB637" s="100">
        <f>IF($E637=AB$8,$G637,0)</f>
        <v/>
      </c>
      <c r="AC637" s="100">
        <f>IF($E637=AC$8,$G637,0)</f>
        <v/>
      </c>
      <c r="AD637" s="100">
        <f>IF($E637=AD$8,$G637,0)</f>
        <v/>
      </c>
      <c r="AE637" s="100">
        <f>IF($E637=AE$8,$G637,0)</f>
        <v/>
      </c>
      <c r="AF637" s="100">
        <f>IF($E637=AF$8,$G637,0)</f>
        <v/>
      </c>
      <c r="AG637" s="100">
        <f>IF($E637=AG$8,$G637,0)</f>
        <v/>
      </c>
      <c r="AH637" s="100">
        <f>IF($E637=AH$8,$G637,0)</f>
        <v/>
      </c>
      <c r="AI637" s="100">
        <f>IF($E637=AI$8,$G637,0)</f>
        <v/>
      </c>
      <c r="AJ637" s="100">
        <f>IF($E637=AJ$8,$G637,0)</f>
        <v/>
      </c>
      <c r="AK637" s="100">
        <f>IF($E637=AK$8,$G637,0)</f>
        <v/>
      </c>
      <c r="AL637" s="100">
        <f>IF($E637=AL$8,$G637,0)</f>
        <v/>
      </c>
      <c r="AM637" s="100">
        <f>IF($E637=AM$8,$G637,0)</f>
        <v/>
      </c>
      <c r="AN637" s="100">
        <f>IF($E637=AN$8,$G637,0)</f>
        <v/>
      </c>
      <c r="AO637" s="100">
        <f>IF($E637=AO$8,$G637,0)</f>
        <v/>
      </c>
      <c r="AP637" s="100">
        <f>IF($E637=AP$8,$G637,0)</f>
        <v/>
      </c>
      <c r="AQ637" s="100">
        <f>IF($E637=AQ$8,$G637,0)</f>
        <v/>
      </c>
      <c r="AR637" s="100">
        <f>IF($E637=AR$8,$G637,0)</f>
        <v/>
      </c>
      <c r="AS637" s="100">
        <f>IF($E637=AS$8,$G637,0)</f>
        <v/>
      </c>
      <c r="AT637" s="100">
        <f>IF($E637=AT$8,$G637,0)</f>
        <v/>
      </c>
      <c r="AU637" s="100">
        <f>IF($E637=AU$8,$G637,0)</f>
        <v/>
      </c>
      <c r="AV637" s="100">
        <f>IF($E637=AV$8,$G637,0)</f>
        <v/>
      </c>
      <c r="AW637" s="100">
        <f>IF($E637=AW$8,$G637,0)</f>
        <v/>
      </c>
      <c r="AX637" s="100">
        <f>IF($E637=AX$8,$G637,0)</f>
        <v/>
      </c>
      <c r="AY637" s="100">
        <f>IF($E637=AY$8,$G637,0)</f>
        <v/>
      </c>
      <c r="AZ637" s="100">
        <f>IF($E637=AZ$8,$G637,0)</f>
        <v/>
      </c>
      <c r="BA637" s="100">
        <f>IF($E637=BA$8,$G637,0)</f>
        <v/>
      </c>
      <c r="BB637" s="100">
        <f>IF($E637=BB$8,$G637,0)</f>
        <v/>
      </c>
      <c r="BC637" s="100">
        <f>IF($E637=BC$8,$G637,0)</f>
        <v/>
      </c>
      <c r="BD637" s="100">
        <f>IF($E637=BD$8,$G637,0)</f>
        <v/>
      </c>
      <c r="BE637" s="100">
        <f>IF($E637=BE$8,$G637,0)</f>
        <v/>
      </c>
      <c r="BF637" s="100">
        <f>IF($E637=BF$8,$G637,0)</f>
        <v/>
      </c>
      <c r="BG637" s="100">
        <f>IF($E637=BG$8,$G637,0)</f>
        <v/>
      </c>
      <c r="BH637" s="100">
        <f>IF($E637=BH$8,$G637,0)</f>
        <v/>
      </c>
      <c r="BI637" s="100">
        <f>IF($E637=BI$8,$G637,0)</f>
        <v/>
      </c>
      <c r="BJ637" s="100">
        <f>IF($E637=BJ$8,$G637,0)</f>
        <v/>
      </c>
      <c r="BK637" s="100">
        <f>IF($E637=BK$8,$G637,0)</f>
        <v/>
      </c>
      <c r="BL637" s="100">
        <f>IF($E637=BL$8,$G637,0)</f>
        <v/>
      </c>
      <c r="BM637" s="100">
        <f>IF($E637=BM$8,$G637,0)</f>
        <v/>
      </c>
      <c r="BN637" s="100">
        <f>IF($E637=BN$8,$G637,0)</f>
        <v/>
      </c>
      <c r="BO637" s="100">
        <f>IF($E637=BO$8,$G637,0)</f>
        <v/>
      </c>
      <c r="BP637" s="100">
        <f>IF($E637=BP$8,$G637,0)</f>
        <v/>
      </c>
      <c r="BQ637" s="100">
        <f>IF($E637=BQ$8,$G637,0)</f>
        <v/>
      </c>
      <c r="BR637" s="100">
        <f>IF($E637=BR$8,$G637,0)</f>
        <v/>
      </c>
      <c r="BS637" s="100">
        <f>IF($E637=BS$8,$G637,0)</f>
        <v/>
      </c>
      <c r="BT637" s="100">
        <f>IF($E637=BT$8,$G637,0)</f>
        <v/>
      </c>
      <c r="BU637" s="100">
        <f>IF($E637=BU$8,$G637,0)</f>
        <v/>
      </c>
      <c r="BV637" s="100">
        <f>IF($E637=BV$8,$G637,0)</f>
        <v/>
      </c>
      <c r="BW637" s="100">
        <f>IF($E637=BW$8,$G637,0)</f>
        <v/>
      </c>
      <c r="BX637" s="100">
        <f>IF($E637=BX$8,$G637,0)</f>
        <v/>
      </c>
      <c r="BY637" s="100">
        <f>IF($E637=BY$8,$G637,0)</f>
        <v/>
      </c>
      <c r="BZ637" s="100">
        <f>IF($E637=BZ$8,$G637,0)</f>
        <v/>
      </c>
      <c r="CA637" s="100">
        <f>IF($E637=CA$8,$G637,0)</f>
        <v/>
      </c>
      <c r="CB637" s="100">
        <f>IF($E637=CB$8,$G637,0)</f>
        <v/>
      </c>
      <c r="CC637" s="100">
        <f>IF($E637=CC$8,$G637,0)</f>
        <v/>
      </c>
      <c r="CD637" s="100">
        <f>IF($E637=CD$8,$G637,0)</f>
        <v/>
      </c>
      <c r="CE637" s="100">
        <f>IF($E637=CE$8,$G637,0)</f>
        <v/>
      </c>
      <c r="CF637" s="100">
        <f>IF($E637=CF$8,$G637,0)</f>
        <v/>
      </c>
      <c r="CG637" s="100">
        <f>IF($E637=CG$8,$G637,0)</f>
        <v/>
      </c>
      <c r="CH637" s="100">
        <f>IF($E637=CH$8,$G637,0)</f>
        <v/>
      </c>
      <c r="CI637" s="100">
        <f>IF($E637=CI$8,$G637,0)</f>
        <v/>
      </c>
      <c r="CJ637" s="100">
        <f>IF($E637=CJ$8,$G637,0)</f>
        <v/>
      </c>
      <c r="CK637" s="100">
        <f>IF($E637=CK$8,$G637,0)</f>
        <v/>
      </c>
      <c r="CL637" s="100">
        <f>IF($E637=CL$8,$G637,0)</f>
        <v/>
      </c>
      <c r="CM637" s="100">
        <f>IF($E637=CM$8,$G637,0)</f>
        <v/>
      </c>
      <c r="CN637" s="100">
        <f>IF($E637=CN$8,$G637,0)</f>
        <v/>
      </c>
      <c r="CO637" s="100">
        <f>IF($E637=CO$8,$G637,0)</f>
        <v/>
      </c>
      <c r="CP637" s="100">
        <f>IF($E637=CP$8,$G637,0)</f>
        <v/>
      </c>
      <c r="CQ637" s="100">
        <f>IF($E637=CQ$8,$G637,0)</f>
        <v/>
      </c>
      <c r="CR637" s="100">
        <f>IF($E637=CR$8,$G637,0)</f>
        <v/>
      </c>
      <c r="CS637" s="100">
        <f>IF($E637=CS$8,$G637,0)</f>
        <v/>
      </c>
      <c r="CT637" s="100">
        <f>IF($E637=CT$8,$G637,0)</f>
        <v/>
      </c>
      <c r="CU637" s="100">
        <f>IF($E637=CU$8,$G637,0)</f>
        <v/>
      </c>
      <c r="CV637" s="100">
        <f>IF($E637=CV$8,$G637,0)</f>
        <v/>
      </c>
      <c r="CW637" s="100">
        <f>IF($E637=CW$8,$G637,0)</f>
        <v/>
      </c>
      <c r="CX637" s="100">
        <f>IF($E637=CX$8,$G637,0)</f>
        <v/>
      </c>
      <c r="CY637" s="100">
        <f>IF($E637=CY$8,$G637,0)</f>
        <v/>
      </c>
      <c r="CZ637" s="100">
        <f>IF($E637=CZ$8,$G637,0)</f>
        <v/>
      </c>
      <c r="DA637" s="101">
        <f>IF($E637=DA$8,$G637,0)</f>
        <v/>
      </c>
      <c r="DB637" s="5" t="n"/>
    </row>
    <row r="638" ht="15.75" customHeight="1" s="129">
      <c r="A638" s="1" t="n"/>
      <c r="B638" s="90" t="inlineStr">
        <is>
          <t>Total</t>
        </is>
      </c>
      <c r="C638" s="91" t="n"/>
      <c r="D638" s="91" t="n"/>
      <c r="E638" s="91" t="n"/>
      <c r="F638" s="91" t="n"/>
      <c r="G638" s="93">
        <f>SUBTOTAL(109,OCTUBRE!$G$9:$G$637)</f>
        <v/>
      </c>
      <c r="H638" s="93">
        <f>SUBTOTAL(109,OCTUBRE!$H$9:$H$637)</f>
        <v/>
      </c>
      <c r="I638" s="93">
        <f>SUBTOTAL(109,OCTUBRE!$I$9:$I$637)</f>
        <v/>
      </c>
      <c r="J638" s="91" t="n"/>
      <c r="K638" s="91" t="n"/>
      <c r="L638" s="94" t="n"/>
      <c r="M638" s="5" t="n"/>
      <c r="N638" s="102">
        <f>SUM(N9:N637)</f>
        <v/>
      </c>
      <c r="O638" s="104">
        <f>SUM(O9:O637)</f>
        <v/>
      </c>
      <c r="P638" s="104">
        <f>SUM(P9:P637)</f>
        <v/>
      </c>
      <c r="Q638" s="104">
        <f>SUM(Q9:Q637)</f>
        <v/>
      </c>
      <c r="R638" s="105">
        <f>SUM(R9:R637)</f>
        <v/>
      </c>
      <c r="S638" s="5" t="n"/>
      <c r="T638" s="106">
        <f>SUM(T9:T637)</f>
        <v/>
      </c>
      <c r="U638" s="107">
        <f>SUM(U9:U637)</f>
        <v/>
      </c>
      <c r="V638" s="107">
        <f>SUM(V9:V637)</f>
        <v/>
      </c>
      <c r="W638" s="107">
        <f>SUM(W9:W637)</f>
        <v/>
      </c>
      <c r="X638" s="107">
        <f>SUM(X9:X637)</f>
        <v/>
      </c>
      <c r="Y638" s="107">
        <f>SUM(Y9:Y637)</f>
        <v/>
      </c>
      <c r="Z638" s="107">
        <f>SUM(Z9:Z637)</f>
        <v/>
      </c>
      <c r="AA638" s="107">
        <f>SUM(AA9:AA637)</f>
        <v/>
      </c>
      <c r="AB638" s="107">
        <f>SUM(AB9:AB637)</f>
        <v/>
      </c>
      <c r="AC638" s="107">
        <f>SUM(AC9:AC637)</f>
        <v/>
      </c>
      <c r="AD638" s="107">
        <f>SUM(AD9:AD637)</f>
        <v/>
      </c>
      <c r="AE638" s="107">
        <f>SUM(AE9:AE637)</f>
        <v/>
      </c>
      <c r="AF638" s="107">
        <f>SUM(AF9:AF637)</f>
        <v/>
      </c>
      <c r="AG638" s="107">
        <f>SUM(AG9:AG637)</f>
        <v/>
      </c>
      <c r="AH638" s="107">
        <f>SUM(AH9:AH637)</f>
        <v/>
      </c>
      <c r="AI638" s="107">
        <f>SUM(AI9:AI637)</f>
        <v/>
      </c>
      <c r="AJ638" s="107">
        <f>SUM(AJ9:AJ637)</f>
        <v/>
      </c>
      <c r="AK638" s="107">
        <f>SUM(AK9:AK637)</f>
        <v/>
      </c>
      <c r="AL638" s="107">
        <f>SUM(AL9:AL637)</f>
        <v/>
      </c>
      <c r="AM638" s="107">
        <f>SUM(AM9:AM637)</f>
        <v/>
      </c>
      <c r="AN638" s="107">
        <f>SUM(AN9:AN637)</f>
        <v/>
      </c>
      <c r="AO638" s="107">
        <f>SUM(AO9:AO637)</f>
        <v/>
      </c>
      <c r="AP638" s="107">
        <f>SUM(AP9:AP637)</f>
        <v/>
      </c>
      <c r="AQ638" s="107">
        <f>SUM(AQ9:AQ637)</f>
        <v/>
      </c>
      <c r="AR638" s="107">
        <f>SUM(AR9:AR637)</f>
        <v/>
      </c>
      <c r="AS638" s="107">
        <f>SUM(AS9:AS637)</f>
        <v/>
      </c>
      <c r="AT638" s="107">
        <f>SUM(AT9:AT637)</f>
        <v/>
      </c>
      <c r="AU638" s="107">
        <f>SUM(AU9:AU637)</f>
        <v/>
      </c>
      <c r="AV638" s="107">
        <f>SUM(AV9:AV637)</f>
        <v/>
      </c>
      <c r="AW638" s="107">
        <f>SUM(AW9:AW637)</f>
        <v/>
      </c>
      <c r="AX638" s="107">
        <f>SUM(AX9:AX637)</f>
        <v/>
      </c>
      <c r="AY638" s="107">
        <f>SUM(AY9:AY637)</f>
        <v/>
      </c>
      <c r="AZ638" s="107">
        <f>SUM(AZ9:AZ637)</f>
        <v/>
      </c>
      <c r="BA638" s="107">
        <f>SUM(BA9:BA637)</f>
        <v/>
      </c>
      <c r="BB638" s="107">
        <f>SUM(BB9:BB637)</f>
        <v/>
      </c>
      <c r="BC638" s="107">
        <f>SUM(BC9:BC637)</f>
        <v/>
      </c>
      <c r="BD638" s="107">
        <f>SUM(BD9:BD637)</f>
        <v/>
      </c>
      <c r="BE638" s="107">
        <f>SUM(BE9:BE637)</f>
        <v/>
      </c>
      <c r="BF638" s="107">
        <f>SUM(BF9:BF637)</f>
        <v/>
      </c>
      <c r="BG638" s="107">
        <f>SUM(BG9:BG637)</f>
        <v/>
      </c>
      <c r="BH638" s="107">
        <f>SUM(BH9:BH637)</f>
        <v/>
      </c>
      <c r="BI638" s="107">
        <f>SUM(BI9:BI637)</f>
        <v/>
      </c>
      <c r="BJ638" s="107">
        <f>SUM(BJ9:BJ637)</f>
        <v/>
      </c>
      <c r="BK638" s="107">
        <f>SUM(BK9:BK637)</f>
        <v/>
      </c>
      <c r="BL638" s="107">
        <f>SUM(BL9:BL637)</f>
        <v/>
      </c>
      <c r="BM638" s="107">
        <f>SUM(BM9:BM637)</f>
        <v/>
      </c>
      <c r="BN638" s="107">
        <f>SUM(BN9:BN637)</f>
        <v/>
      </c>
      <c r="BO638" s="107">
        <f>SUM(BO9:BO637)</f>
        <v/>
      </c>
      <c r="BP638" s="107">
        <f>SUM(BP9:BP637)</f>
        <v/>
      </c>
      <c r="BQ638" s="107">
        <f>SUM(BQ9:BQ637)</f>
        <v/>
      </c>
      <c r="BR638" s="107">
        <f>SUM(BR9:BR637)</f>
        <v/>
      </c>
      <c r="BS638" s="107">
        <f>SUM(BS9:BS637)</f>
        <v/>
      </c>
      <c r="BT638" s="107">
        <f>SUM(BT9:BT637)</f>
        <v/>
      </c>
      <c r="BU638" s="107">
        <f>SUM(BU9:BU637)</f>
        <v/>
      </c>
      <c r="BV638" s="107">
        <f>SUM(BV9:BV637)</f>
        <v/>
      </c>
      <c r="BW638" s="107">
        <f>SUM(BW9:BW637)</f>
        <v/>
      </c>
      <c r="BX638" s="107">
        <f>SUM(BX9:BX637)</f>
        <v/>
      </c>
      <c r="BY638" s="107">
        <f>SUM(BY9:BY637)</f>
        <v/>
      </c>
      <c r="BZ638" s="107">
        <f>SUM(BZ9:BZ637)</f>
        <v/>
      </c>
      <c r="CA638" s="107">
        <f>SUM(CA9:CA637)</f>
        <v/>
      </c>
      <c r="CB638" s="107">
        <f>SUM(CB9:CB637)</f>
        <v/>
      </c>
      <c r="CC638" s="107">
        <f>SUM(CC9:CC637)</f>
        <v/>
      </c>
      <c r="CD638" s="107">
        <f>SUM(CD9:CD637)</f>
        <v/>
      </c>
      <c r="CE638" s="107">
        <f>SUM(CE9:CE637)</f>
        <v/>
      </c>
      <c r="CF638" s="107">
        <f>SUM(CF9:CF637)</f>
        <v/>
      </c>
      <c r="CG638" s="107">
        <f>SUM(CG9:CG637)</f>
        <v/>
      </c>
      <c r="CH638" s="107">
        <f>SUM(CH9:CH637)</f>
        <v/>
      </c>
      <c r="CI638" s="107">
        <f>SUM(CI9:CI637)</f>
        <v/>
      </c>
      <c r="CJ638" s="107">
        <f>SUM(CJ9:CJ637)</f>
        <v/>
      </c>
      <c r="CK638" s="107">
        <f>SUM(CK9:CK637)</f>
        <v/>
      </c>
      <c r="CL638" s="107">
        <f>SUM(CL9:CL637)</f>
        <v/>
      </c>
      <c r="CM638" s="107">
        <f>SUM(CM9:CM637)</f>
        <v/>
      </c>
      <c r="CN638" s="107">
        <f>SUM(CN9:CN637)</f>
        <v/>
      </c>
      <c r="CO638" s="107">
        <f>SUM(CO9:CO637)</f>
        <v/>
      </c>
      <c r="CP638" s="107">
        <f>SUM(CP9:CP637)</f>
        <v/>
      </c>
      <c r="CQ638" s="107">
        <f>SUM(CQ9:CQ637)</f>
        <v/>
      </c>
      <c r="CR638" s="107">
        <f>SUM(CR9:CR637)</f>
        <v/>
      </c>
      <c r="CS638" s="107">
        <f>SUM(CS9:CS637)</f>
        <v/>
      </c>
      <c r="CT638" s="107">
        <f>SUM(CT9:CT637)</f>
        <v/>
      </c>
      <c r="CU638" s="107">
        <f>SUM(CU9:CU637)</f>
        <v/>
      </c>
      <c r="CV638" s="107">
        <f>SUM(CV9:CV637)</f>
        <v/>
      </c>
      <c r="CW638" s="107">
        <f>SUM(CW9:CW637)</f>
        <v/>
      </c>
      <c r="CX638" s="107">
        <f>SUM(CX9:CX637)</f>
        <v/>
      </c>
      <c r="CY638" s="107">
        <f>SUM(CY9:CY637)</f>
        <v/>
      </c>
      <c r="CZ638" s="107">
        <f>SUM(CZ9:CZ637)</f>
        <v/>
      </c>
      <c r="DA638" s="108">
        <f>SUM(DA9:DA637)</f>
        <v/>
      </c>
      <c r="DB638" s="109">
        <f>SUM(T638:DA638)</f>
        <v/>
      </c>
    </row>
    <row r="639" ht="15.75" customHeight="1" s="12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4">
        <f>R638+Q638+P638+O638+N638</f>
        <v/>
      </c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1" t="n"/>
      <c r="CB639" s="1" t="n"/>
      <c r="CC639" s="1" t="n"/>
      <c r="CD639" s="1" t="n"/>
      <c r="CE639" s="1" t="n"/>
      <c r="CF639" s="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</row>
    <row r="640" ht="15.75" customHeight="1" s="12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  <c r="BO640" s="1" t="n"/>
      <c r="BP640" s="1" t="n"/>
      <c r="BQ640" s="1" t="n"/>
      <c r="BR640" s="1" t="n"/>
      <c r="BS640" s="1" t="n"/>
      <c r="BT640" s="1" t="n"/>
      <c r="BU640" s="1" t="n"/>
      <c r="BV640" s="1" t="n"/>
      <c r="BW640" s="1" t="n"/>
      <c r="BX640" s="1" t="n"/>
      <c r="BY640" s="1" t="n"/>
      <c r="BZ640" s="1" t="n"/>
      <c r="CA640" s="1" t="n"/>
      <c r="CB640" s="1" t="n"/>
      <c r="CC640" s="1" t="n"/>
      <c r="CD640" s="1" t="n"/>
      <c r="CE640" s="1" t="n"/>
      <c r="CF640" s="1" t="n"/>
      <c r="CG640" s="1" t="n"/>
      <c r="CH640" s="1" t="n"/>
      <c r="CI640" s="1" t="n"/>
      <c r="CJ640" s="1" t="n"/>
      <c r="CK640" s="1" t="n"/>
      <c r="CL640" s="1" t="n"/>
      <c r="CM640" s="1" t="n"/>
      <c r="CN640" s="1" t="n"/>
      <c r="CO640" s="1" t="n"/>
      <c r="CP640" s="1" t="n"/>
      <c r="CQ640" s="1" t="n"/>
      <c r="CR640" s="1" t="n"/>
      <c r="CS640" s="1" t="n"/>
      <c r="CT640" s="1" t="n"/>
      <c r="CU640" s="1" t="n"/>
      <c r="CV640" s="1" t="n"/>
      <c r="CW640" s="1" t="n"/>
      <c r="CX640" s="1" t="n"/>
      <c r="CY640" s="1" t="n"/>
      <c r="CZ640" s="1" t="n"/>
      <c r="DA640" s="1" t="n"/>
      <c r="DB640" s="1" t="n"/>
    </row>
    <row r="641" ht="15.75" customHeight="1" s="129">
      <c r="A641" s="1" t="n"/>
      <c r="B641" s="4" t="inlineStr">
        <is>
          <t xml:space="preserve">ESTADO </t>
        </is>
      </c>
      <c r="C641" s="1" t="n"/>
      <c r="D641" s="1" t="n"/>
      <c r="E641" s="1" t="inlineStr">
        <is>
          <t> </t>
        </is>
      </c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1" t="n"/>
      <c r="CB641" s="1" t="n"/>
      <c r="CC641" s="1" t="n"/>
      <c r="CD641" s="1" t="n"/>
      <c r="CE641" s="1" t="n"/>
      <c r="CF641" s="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</row>
    <row r="642" ht="15.75" customHeight="1" s="129">
      <c r="A642" s="1" t="n"/>
      <c r="B642" s="111">
        <f>IF(OCTUBRE!$G$638=R639,"BIEN","MAL")</f>
        <v/>
      </c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  <c r="BO642" s="1" t="n"/>
      <c r="BP642" s="1" t="n"/>
      <c r="BQ642" s="1" t="n"/>
      <c r="BR642" s="1" t="n"/>
      <c r="BS642" s="1" t="n"/>
      <c r="BT642" s="1" t="n"/>
      <c r="BU642" s="1" t="n"/>
      <c r="BV642" s="1" t="n"/>
      <c r="BW642" s="1" t="n"/>
      <c r="BX642" s="1" t="n"/>
      <c r="BY642" s="1" t="n"/>
      <c r="BZ642" s="1" t="n"/>
      <c r="CA642" s="1" t="n"/>
      <c r="CB642" s="1" t="n"/>
      <c r="CC642" s="1" t="n"/>
      <c r="CD642" s="1" t="n"/>
      <c r="CE642" s="1" t="n"/>
      <c r="CF642" s="1" t="n"/>
      <c r="CG642" s="1" t="n"/>
      <c r="CH642" s="1" t="n"/>
      <c r="CI642" s="1" t="n"/>
      <c r="CJ642" s="1" t="n"/>
      <c r="CK642" s="1" t="n"/>
      <c r="CL642" s="1" t="n"/>
      <c r="CM642" s="1" t="n"/>
      <c r="CN642" s="1" t="n"/>
      <c r="CO642" s="1" t="n"/>
      <c r="CP642" s="1" t="n"/>
      <c r="CQ642" s="1" t="n"/>
      <c r="CR642" s="1" t="n"/>
      <c r="CS642" s="1" t="n"/>
      <c r="CT642" s="1" t="n"/>
      <c r="CU642" s="1" t="n"/>
      <c r="CV642" s="1" t="n"/>
      <c r="CW642" s="1" t="n"/>
      <c r="CX642" s="1" t="n"/>
      <c r="CY642" s="1" t="n"/>
      <c r="CZ642" s="1" t="n"/>
      <c r="DA642" s="1" t="n"/>
      <c r="DB642" s="1" t="n"/>
    </row>
    <row r="643" ht="15.75" customHeight="1" s="129">
      <c r="A643" s="1" t="n"/>
      <c r="B643" s="112">
        <f>IF(OCTUBRE!$G$638=DB638,"BIEN","MAL")</f>
        <v/>
      </c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1" t="n"/>
      <c r="CB643" s="1" t="n"/>
      <c r="CC643" s="1" t="n"/>
      <c r="CD643" s="1" t="n"/>
      <c r="CE643" s="1" t="n"/>
      <c r="CF643" s="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</row>
  </sheetData>
  <mergeCells count="1">
    <mergeCell ref="B7:L7"/>
  </mergeCells>
  <conditionalFormatting sqref="F9:F34">
    <cfRule type="cellIs" priority="1" operator="equal" dxfId="3">
      <formula>"entre si"</formula>
    </cfRule>
  </conditionalFormatting>
  <conditionalFormatting sqref="F43:F637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2026-08-12T15:29:31Z</dcterms:modified>
</cp:coreProperties>
</file>